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s_i_mwangi_cgiar_org/Documents/"/>
    </mc:Choice>
  </mc:AlternateContent>
  <xr:revisionPtr revIDLastSave="0" documentId="14_{70DAA558-BD74-4AF8-9EEB-0B7208E0451A}" xr6:coauthVersionLast="45" xr6:coauthVersionMax="45" xr10:uidLastSave="{00000000-0000-0000-0000-000000000000}"/>
  <bookViews>
    <workbookView xWindow="-120" yWindow="-120" windowWidth="29040" windowHeight="15840" activeTab="3" xr2:uid="{2419A571-7C62-485A-9368-5C5B42D48DD1}"/>
  </bookViews>
  <sheets>
    <sheet name="RI-FLEX" sheetId="1" r:id="rId1"/>
    <sheet name="R2-FLEX" sheetId="3" r:id="rId2"/>
    <sheet name="R3-FIXED DOME" sheetId="4" r:id="rId3"/>
    <sheet name="R4-FIXED DOME" sheetId="5" r:id="rId4"/>
    <sheet name="MANURE" sheetId="6" r:id="rId5"/>
    <sheet name="BIO-SLURRY R1" sheetId="7" r:id="rId6"/>
    <sheet name="BIO-SLURRY R2" sheetId="8" r:id="rId7"/>
    <sheet name="BIO-SLURRY R3" sheetId="9" r:id="rId8"/>
    <sheet name="BIO-SLURRY R4" sheetId="10" r:id="rId9"/>
    <sheet name="GAS" sheetId="11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2" i="1" l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S3" i="3"/>
  <c r="S2" i="3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X79" i="4" s="1"/>
  <c r="V80" i="4"/>
  <c r="V81" i="4"/>
  <c r="V82" i="4"/>
  <c r="V83" i="4"/>
  <c r="V84" i="4"/>
  <c r="V85" i="4"/>
  <c r="V86" i="4"/>
  <c r="V87" i="4"/>
  <c r="X87" i="4" s="1"/>
  <c r="V88" i="4"/>
  <c r="V89" i="4"/>
  <c r="V90" i="4"/>
  <c r="V91" i="4"/>
  <c r="V92" i="4"/>
  <c r="V93" i="4"/>
  <c r="V94" i="4"/>
  <c r="V95" i="4"/>
  <c r="X95" i="4" s="1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X110" i="4" s="1"/>
  <c r="V111" i="4"/>
  <c r="X111" i="4" s="1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X126" i="4" s="1"/>
  <c r="V127" i="4"/>
  <c r="X127" i="4" s="1"/>
  <c r="V128" i="4"/>
  <c r="V129" i="4"/>
  <c r="V130" i="4"/>
  <c r="V131" i="4"/>
  <c r="V132" i="4"/>
  <c r="V133" i="4"/>
  <c r="V134" i="4"/>
  <c r="V135" i="4"/>
  <c r="X135" i="4" s="1"/>
  <c r="V136" i="4"/>
  <c r="V137" i="4"/>
  <c r="V138" i="4"/>
  <c r="V139" i="4"/>
  <c r="V140" i="4"/>
  <c r="V141" i="4"/>
  <c r="V142" i="4"/>
  <c r="X142" i="4" s="1"/>
  <c r="V143" i="4"/>
  <c r="V144" i="4"/>
  <c r="V145" i="4"/>
  <c r="V146" i="4"/>
  <c r="V147" i="4"/>
  <c r="V148" i="4"/>
  <c r="V149" i="4"/>
  <c r="V150" i="4"/>
  <c r="X150" i="4" s="1"/>
  <c r="V151" i="4"/>
  <c r="V152" i="4"/>
  <c r="V153" i="4"/>
  <c r="V154" i="4"/>
  <c r="V155" i="4"/>
  <c r="V156" i="4"/>
  <c r="V157" i="4"/>
  <c r="V158" i="4"/>
  <c r="X158" i="4" s="1"/>
  <c r="V159" i="4"/>
  <c r="V160" i="4"/>
  <c r="V161" i="4"/>
  <c r="V162" i="4"/>
  <c r="V163" i="4"/>
  <c r="V164" i="4"/>
  <c r="V165" i="4"/>
  <c r="V166" i="4"/>
  <c r="V167" i="4"/>
  <c r="X167" i="4" s="1"/>
  <c r="V168" i="4"/>
  <c r="V169" i="4"/>
  <c r="V170" i="4"/>
  <c r="V171" i="4"/>
  <c r="V172" i="4"/>
  <c r="V173" i="4"/>
  <c r="V174" i="4"/>
  <c r="X174" i="4" s="1"/>
  <c r="V175" i="4"/>
  <c r="X175" i="4" s="1"/>
  <c r="V176" i="4"/>
  <c r="V177" i="4"/>
  <c r="V178" i="4"/>
  <c r="V179" i="4"/>
  <c r="V180" i="4"/>
  <c r="V181" i="4"/>
  <c r="V182" i="4"/>
  <c r="X182" i="4" s="1"/>
  <c r="V183" i="4"/>
  <c r="X183" i="4" s="1"/>
  <c r="V184" i="4"/>
  <c r="V185" i="4"/>
  <c r="V186" i="4"/>
  <c r="V187" i="4"/>
  <c r="V188" i="4"/>
  <c r="V189" i="4"/>
  <c r="V190" i="4"/>
  <c r="X190" i="4" s="1"/>
  <c r="V191" i="4"/>
  <c r="X191" i="4" s="1"/>
  <c r="V192" i="4"/>
  <c r="V193" i="4"/>
  <c r="V194" i="4"/>
  <c r="V195" i="4"/>
  <c r="V196" i="4"/>
  <c r="V197" i="4"/>
  <c r="V198" i="4"/>
  <c r="X198" i="4" s="1"/>
  <c r="V199" i="4"/>
  <c r="X199" i="4" s="1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X214" i="4" s="1"/>
  <c r="V215" i="4"/>
  <c r="X215" i="4" s="1"/>
  <c r="V216" i="4"/>
  <c r="V217" i="4"/>
  <c r="V218" i="4"/>
  <c r="V219" i="4"/>
  <c r="V220" i="4"/>
  <c r="V221" i="4"/>
  <c r="V222" i="4"/>
  <c r="V223" i="4"/>
  <c r="X223" i="4" s="1"/>
  <c r="V224" i="4"/>
  <c r="V225" i="4"/>
  <c r="V226" i="4"/>
  <c r="V227" i="4"/>
  <c r="V228" i="4"/>
  <c r="V229" i="4"/>
  <c r="V230" i="4"/>
  <c r="X230" i="4" s="1"/>
  <c r="V231" i="4"/>
  <c r="V232" i="4"/>
  <c r="V233" i="4"/>
  <c r="V234" i="4"/>
  <c r="V235" i="4"/>
  <c r="V236" i="4"/>
  <c r="V237" i="4"/>
  <c r="V238" i="4"/>
  <c r="X238" i="4" s="1"/>
  <c r="V239" i="4"/>
  <c r="X239" i="4" s="1"/>
  <c r="V240" i="4"/>
  <c r="V241" i="4"/>
  <c r="V242" i="4"/>
  <c r="V243" i="4"/>
  <c r="V244" i="4"/>
  <c r="V245" i="4"/>
  <c r="V246" i="4"/>
  <c r="X246" i="4" s="1"/>
  <c r="V247" i="4"/>
  <c r="X247" i="4" s="1"/>
  <c r="V248" i="4"/>
  <c r="V249" i="4"/>
  <c r="V250" i="4"/>
  <c r="V251" i="4"/>
  <c r="V252" i="4"/>
  <c r="V253" i="4"/>
  <c r="V254" i="4"/>
  <c r="X254" i="4" s="1"/>
  <c r="V255" i="4"/>
  <c r="X255" i="4" s="1"/>
  <c r="V256" i="4"/>
  <c r="V257" i="4"/>
  <c r="V258" i="4"/>
  <c r="V259" i="4"/>
  <c r="V260" i="4"/>
  <c r="V261" i="4"/>
  <c r="V262" i="4"/>
  <c r="X262" i="4" s="1"/>
  <c r="V263" i="4"/>
  <c r="X263" i="4" s="1"/>
  <c r="V264" i="4"/>
  <c r="V265" i="4"/>
  <c r="V266" i="4"/>
  <c r="V267" i="4"/>
  <c r="V268" i="4"/>
  <c r="V269" i="4"/>
  <c r="V270" i="4"/>
  <c r="V271" i="4"/>
  <c r="X271" i="4" s="1"/>
  <c r="V272" i="4"/>
  <c r="V273" i="4"/>
  <c r="V274" i="4"/>
  <c r="V275" i="4"/>
  <c r="V276" i="4"/>
  <c r="V277" i="4"/>
  <c r="V278" i="4"/>
  <c r="X278" i="4" s="1"/>
  <c r="V279" i="4"/>
  <c r="X279" i="4" s="1"/>
  <c r="V280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3" i="4"/>
  <c r="U26" i="4"/>
  <c r="U27" i="4"/>
  <c r="U28" i="4"/>
  <c r="U29" i="4"/>
  <c r="U30" i="4"/>
  <c r="U31" i="4"/>
  <c r="U32" i="4"/>
  <c r="U33" i="4"/>
  <c r="X33" i="4" s="1"/>
  <c r="U34" i="4"/>
  <c r="U35" i="4"/>
  <c r="U36" i="4"/>
  <c r="U37" i="4"/>
  <c r="U38" i="4"/>
  <c r="U39" i="4"/>
  <c r="U40" i="4"/>
  <c r="U41" i="4"/>
  <c r="X41" i="4" s="1"/>
  <c r="U42" i="4"/>
  <c r="U43" i="4"/>
  <c r="U44" i="4"/>
  <c r="U45" i="4"/>
  <c r="U46" i="4"/>
  <c r="U47" i="4"/>
  <c r="U48" i="4"/>
  <c r="U49" i="4"/>
  <c r="X49" i="4" s="1"/>
  <c r="U50" i="4"/>
  <c r="U51" i="4"/>
  <c r="U52" i="4"/>
  <c r="U53" i="4"/>
  <c r="U54" i="4"/>
  <c r="U55" i="4"/>
  <c r="U56" i="4"/>
  <c r="U57" i="4"/>
  <c r="X57" i="4" s="1"/>
  <c r="U58" i="4"/>
  <c r="U59" i="4"/>
  <c r="U60" i="4"/>
  <c r="U61" i="4"/>
  <c r="U62" i="4"/>
  <c r="U63" i="4"/>
  <c r="U64" i="4"/>
  <c r="U65" i="4"/>
  <c r="X65" i="4" s="1"/>
  <c r="U66" i="4"/>
  <c r="U67" i="4"/>
  <c r="U68" i="4"/>
  <c r="U69" i="4"/>
  <c r="U70" i="4"/>
  <c r="U71" i="4"/>
  <c r="U72" i="4"/>
  <c r="U73" i="4"/>
  <c r="X73" i="4" s="1"/>
  <c r="U74" i="4"/>
  <c r="U75" i="4"/>
  <c r="U76" i="4"/>
  <c r="U77" i="4"/>
  <c r="U78" i="4"/>
  <c r="U79" i="4"/>
  <c r="U80" i="4"/>
  <c r="U81" i="4"/>
  <c r="X81" i="4" s="1"/>
  <c r="U82" i="4"/>
  <c r="U83" i="4"/>
  <c r="U84" i="4"/>
  <c r="U85" i="4"/>
  <c r="U86" i="4"/>
  <c r="U87" i="4"/>
  <c r="U88" i="4"/>
  <c r="U89" i="4"/>
  <c r="X89" i="4" s="1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X105" i="4" s="1"/>
  <c r="U106" i="4"/>
  <c r="U107" i="4"/>
  <c r="U108" i="4"/>
  <c r="U109" i="4"/>
  <c r="U110" i="4"/>
  <c r="U111" i="4"/>
  <c r="U112" i="4"/>
  <c r="U113" i="4"/>
  <c r="X113" i="4" s="1"/>
  <c r="U114" i="4"/>
  <c r="U115" i="4"/>
  <c r="U116" i="4"/>
  <c r="U117" i="4"/>
  <c r="U118" i="4"/>
  <c r="U119" i="4"/>
  <c r="U120" i="4"/>
  <c r="U121" i="4"/>
  <c r="X121" i="4" s="1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X145" i="4" s="1"/>
  <c r="U146" i="4"/>
  <c r="U147" i="4"/>
  <c r="U148" i="4"/>
  <c r="U149" i="4"/>
  <c r="U150" i="4"/>
  <c r="U151" i="4"/>
  <c r="U152" i="4"/>
  <c r="U153" i="4"/>
  <c r="X153" i="4" s="1"/>
  <c r="U154" i="4"/>
  <c r="U155" i="4"/>
  <c r="U156" i="4"/>
  <c r="U157" i="4"/>
  <c r="U158" i="4"/>
  <c r="U159" i="4"/>
  <c r="U160" i="4"/>
  <c r="U161" i="4"/>
  <c r="X161" i="4" s="1"/>
  <c r="U162" i="4"/>
  <c r="U163" i="4"/>
  <c r="U164" i="4"/>
  <c r="U165" i="4"/>
  <c r="U166" i="4"/>
  <c r="U167" i="4"/>
  <c r="U168" i="4"/>
  <c r="U169" i="4"/>
  <c r="X169" i="4" s="1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X185" i="4" s="1"/>
  <c r="U186" i="4"/>
  <c r="U187" i="4"/>
  <c r="U188" i="4"/>
  <c r="U189" i="4"/>
  <c r="U190" i="4"/>
  <c r="U191" i="4"/>
  <c r="U192" i="4"/>
  <c r="U193" i="4"/>
  <c r="X193" i="4" s="1"/>
  <c r="U194" i="4"/>
  <c r="U195" i="4"/>
  <c r="U196" i="4"/>
  <c r="U197" i="4"/>
  <c r="U198" i="4"/>
  <c r="U199" i="4"/>
  <c r="U200" i="4"/>
  <c r="U201" i="4"/>
  <c r="X201" i="4" s="1"/>
  <c r="U202" i="4"/>
  <c r="U203" i="4"/>
  <c r="U204" i="4"/>
  <c r="U205" i="4"/>
  <c r="U206" i="4"/>
  <c r="U207" i="4"/>
  <c r="U208" i="4"/>
  <c r="U209" i="4"/>
  <c r="X209" i="4" s="1"/>
  <c r="U210" i="4"/>
  <c r="U211" i="4"/>
  <c r="U212" i="4"/>
  <c r="U213" i="4"/>
  <c r="U214" i="4"/>
  <c r="U215" i="4"/>
  <c r="U216" i="4"/>
  <c r="U217" i="4"/>
  <c r="X217" i="4" s="1"/>
  <c r="U218" i="4"/>
  <c r="U219" i="4"/>
  <c r="U220" i="4"/>
  <c r="U221" i="4"/>
  <c r="U222" i="4"/>
  <c r="U223" i="4"/>
  <c r="U224" i="4"/>
  <c r="U225" i="4"/>
  <c r="X225" i="4" s="1"/>
  <c r="U226" i="4"/>
  <c r="U227" i="4"/>
  <c r="U228" i="4"/>
  <c r="U229" i="4"/>
  <c r="U230" i="4"/>
  <c r="U231" i="4"/>
  <c r="U232" i="4"/>
  <c r="U233" i="4"/>
  <c r="X233" i="4" s="1"/>
  <c r="U234" i="4"/>
  <c r="U235" i="4"/>
  <c r="U236" i="4"/>
  <c r="U237" i="4"/>
  <c r="U238" i="4"/>
  <c r="U239" i="4"/>
  <c r="U240" i="4"/>
  <c r="U241" i="4"/>
  <c r="X241" i="4" s="1"/>
  <c r="U242" i="4"/>
  <c r="U243" i="4"/>
  <c r="U244" i="4"/>
  <c r="U245" i="4"/>
  <c r="U246" i="4"/>
  <c r="U247" i="4"/>
  <c r="U248" i="4"/>
  <c r="U249" i="4"/>
  <c r="X249" i="4" s="1"/>
  <c r="U250" i="4"/>
  <c r="U251" i="4"/>
  <c r="U252" i="4"/>
  <c r="U253" i="4"/>
  <c r="U254" i="4"/>
  <c r="U255" i="4"/>
  <c r="U256" i="4"/>
  <c r="U257" i="4"/>
  <c r="X257" i="4" s="1"/>
  <c r="U258" i="4"/>
  <c r="U259" i="4"/>
  <c r="U260" i="4"/>
  <c r="U261" i="4"/>
  <c r="U262" i="4"/>
  <c r="U263" i="4"/>
  <c r="U264" i="4"/>
  <c r="U265" i="4"/>
  <c r="X265" i="4" s="1"/>
  <c r="U266" i="4"/>
  <c r="U267" i="4"/>
  <c r="U268" i="4"/>
  <c r="U269" i="4"/>
  <c r="U270" i="4"/>
  <c r="U271" i="4"/>
  <c r="U272" i="4"/>
  <c r="U273" i="4"/>
  <c r="X273" i="4" s="1"/>
  <c r="U274" i="4"/>
  <c r="U275" i="4"/>
  <c r="U276" i="4"/>
  <c r="U277" i="4"/>
  <c r="U278" i="4"/>
  <c r="U279" i="4"/>
  <c r="U280" i="4"/>
  <c r="U5" i="4"/>
  <c r="U6" i="4"/>
  <c r="U7" i="4"/>
  <c r="U8" i="4"/>
  <c r="U9" i="4"/>
  <c r="U10" i="4"/>
  <c r="X10" i="4" s="1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4" i="4"/>
  <c r="U3" i="4"/>
  <c r="U2" i="4"/>
  <c r="T280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X109" i="4" s="1"/>
  <c r="T110" i="4"/>
  <c r="T111" i="4"/>
  <c r="T112" i="4"/>
  <c r="T113" i="4"/>
  <c r="T114" i="4"/>
  <c r="T115" i="4"/>
  <c r="T116" i="4"/>
  <c r="T117" i="4"/>
  <c r="X117" i="4" s="1"/>
  <c r="T118" i="4"/>
  <c r="T119" i="4"/>
  <c r="T120" i="4"/>
  <c r="T121" i="4"/>
  <c r="T122" i="4"/>
  <c r="T123" i="4"/>
  <c r="T124" i="4"/>
  <c r="T125" i="4"/>
  <c r="X125" i="4" s="1"/>
  <c r="T126" i="4"/>
  <c r="T127" i="4"/>
  <c r="T128" i="4"/>
  <c r="T129" i="4"/>
  <c r="T130" i="4"/>
  <c r="T131" i="4"/>
  <c r="T132" i="4"/>
  <c r="T133" i="4"/>
  <c r="X133" i="4" s="1"/>
  <c r="T134" i="4"/>
  <c r="T135" i="4"/>
  <c r="T136" i="4"/>
  <c r="T137" i="4"/>
  <c r="T138" i="4"/>
  <c r="T139" i="4"/>
  <c r="T140" i="4"/>
  <c r="T141" i="4"/>
  <c r="X141" i="4" s="1"/>
  <c r="T142" i="4"/>
  <c r="T143" i="4"/>
  <c r="T144" i="4"/>
  <c r="T145" i="4"/>
  <c r="T146" i="4"/>
  <c r="T147" i="4"/>
  <c r="T148" i="4"/>
  <c r="T149" i="4"/>
  <c r="X149" i="4" s="1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X165" i="4" s="1"/>
  <c r="T166" i="4"/>
  <c r="T167" i="4"/>
  <c r="T168" i="4"/>
  <c r="T169" i="4"/>
  <c r="T170" i="4"/>
  <c r="T171" i="4"/>
  <c r="T172" i="4"/>
  <c r="T173" i="4"/>
  <c r="X173" i="4" s="1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X205" i="4" s="1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X269" i="4" s="1"/>
  <c r="T270" i="4"/>
  <c r="T271" i="4"/>
  <c r="T272" i="4"/>
  <c r="T273" i="4"/>
  <c r="T274" i="4"/>
  <c r="T275" i="4"/>
  <c r="T276" i="4"/>
  <c r="T277" i="4"/>
  <c r="X277" i="4" s="1"/>
  <c r="T278" i="4"/>
  <c r="T279" i="4"/>
  <c r="T4" i="4"/>
  <c r="T3" i="4"/>
  <c r="X267" i="4"/>
  <c r="X275" i="4"/>
  <c r="X264" i="4"/>
  <c r="X266" i="4"/>
  <c r="X268" i="4"/>
  <c r="X270" i="4"/>
  <c r="X272" i="4"/>
  <c r="X274" i="4"/>
  <c r="X276" i="4"/>
  <c r="X280" i="4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6" i="1"/>
  <c r="S4" i="1"/>
  <c r="S3" i="1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V48" i="5" s="1"/>
  <c r="X48" i="5" s="1"/>
  <c r="U49" i="5"/>
  <c r="U50" i="5"/>
  <c r="U51" i="5"/>
  <c r="U52" i="5"/>
  <c r="U53" i="5"/>
  <c r="U54" i="5"/>
  <c r="U55" i="5"/>
  <c r="U56" i="5"/>
  <c r="V56" i="5" s="1"/>
  <c r="X56" i="5" s="1"/>
  <c r="U57" i="5"/>
  <c r="U58" i="5"/>
  <c r="U59" i="5"/>
  <c r="U60" i="5"/>
  <c r="U61" i="5"/>
  <c r="U62" i="5"/>
  <c r="U63" i="5"/>
  <c r="V63" i="5" s="1"/>
  <c r="X63" i="5" s="1"/>
  <c r="U64" i="5"/>
  <c r="U65" i="5"/>
  <c r="U66" i="5"/>
  <c r="U67" i="5"/>
  <c r="U68" i="5"/>
  <c r="U69" i="5"/>
  <c r="U70" i="5"/>
  <c r="U71" i="5"/>
  <c r="V71" i="5" s="1"/>
  <c r="X71" i="5" s="1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V87" i="5" s="1"/>
  <c r="X87" i="5" s="1"/>
  <c r="U88" i="5"/>
  <c r="U89" i="5"/>
  <c r="U90" i="5"/>
  <c r="U91" i="5"/>
  <c r="U92" i="5"/>
  <c r="U93" i="5"/>
  <c r="U94" i="5"/>
  <c r="U95" i="5"/>
  <c r="V95" i="5" s="1"/>
  <c r="X95" i="5" s="1"/>
  <c r="U96" i="5"/>
  <c r="U97" i="5"/>
  <c r="U98" i="5"/>
  <c r="U99" i="5"/>
  <c r="U100" i="5"/>
  <c r="U101" i="5"/>
  <c r="U102" i="5"/>
  <c r="U103" i="5"/>
  <c r="V103" i="5" s="1"/>
  <c r="X103" i="5" s="1"/>
  <c r="U104" i="5"/>
  <c r="U105" i="5"/>
  <c r="V105" i="5" s="1"/>
  <c r="X105" i="5" s="1"/>
  <c r="U106" i="5"/>
  <c r="U107" i="5"/>
  <c r="U108" i="5"/>
  <c r="U109" i="5"/>
  <c r="U110" i="5"/>
  <c r="U111" i="5"/>
  <c r="V111" i="5" s="1"/>
  <c r="X111" i="5" s="1"/>
  <c r="U112" i="5"/>
  <c r="U113" i="5"/>
  <c r="V113" i="5" s="1"/>
  <c r="X113" i="5" s="1"/>
  <c r="U114" i="5"/>
  <c r="U115" i="5"/>
  <c r="U116" i="5"/>
  <c r="U117" i="5"/>
  <c r="U118" i="5"/>
  <c r="U119" i="5"/>
  <c r="V119" i="5" s="1"/>
  <c r="X119" i="5" s="1"/>
  <c r="U120" i="5"/>
  <c r="U121" i="5"/>
  <c r="V121" i="5" s="1"/>
  <c r="X121" i="5" s="1"/>
  <c r="U122" i="5"/>
  <c r="U123" i="5"/>
  <c r="U124" i="5"/>
  <c r="U125" i="5"/>
  <c r="U126" i="5"/>
  <c r="U127" i="5"/>
  <c r="U128" i="5"/>
  <c r="V128" i="5" s="1"/>
  <c r="X128" i="5" s="1"/>
  <c r="U129" i="5"/>
  <c r="U130" i="5"/>
  <c r="U131" i="5"/>
  <c r="U132" i="5"/>
  <c r="U133" i="5"/>
  <c r="U134" i="5"/>
  <c r="U135" i="5"/>
  <c r="U136" i="5"/>
  <c r="V136" i="5" s="1"/>
  <c r="X136" i="5" s="1"/>
  <c r="U137" i="5"/>
  <c r="V137" i="5" s="1"/>
  <c r="X137" i="5" s="1"/>
  <c r="U138" i="5"/>
  <c r="U139" i="5"/>
  <c r="U140" i="5"/>
  <c r="U141" i="5"/>
  <c r="U142" i="5"/>
  <c r="U143" i="5"/>
  <c r="V143" i="5" s="1"/>
  <c r="X143" i="5" s="1"/>
  <c r="U144" i="5"/>
  <c r="U145" i="5"/>
  <c r="V145" i="5" s="1"/>
  <c r="X145" i="5" s="1"/>
  <c r="U146" i="5"/>
  <c r="U147" i="5"/>
  <c r="U148" i="5"/>
  <c r="U149" i="5"/>
  <c r="U150" i="5"/>
  <c r="U151" i="5"/>
  <c r="U152" i="5"/>
  <c r="U153" i="5"/>
  <c r="V153" i="5" s="1"/>
  <c r="X153" i="5" s="1"/>
  <c r="U154" i="5"/>
  <c r="U155" i="5"/>
  <c r="U156" i="5"/>
  <c r="U157" i="5"/>
  <c r="U158" i="5"/>
  <c r="U159" i="5"/>
  <c r="U160" i="5"/>
  <c r="U161" i="5"/>
  <c r="V161" i="5" s="1"/>
  <c r="X161" i="5" s="1"/>
  <c r="U162" i="5"/>
  <c r="U163" i="5"/>
  <c r="U164" i="5"/>
  <c r="U165" i="5"/>
  <c r="U166" i="5"/>
  <c r="U167" i="5"/>
  <c r="V167" i="5" s="1"/>
  <c r="X167" i="5" s="1"/>
  <c r="U168" i="5"/>
  <c r="V168" i="5" s="1"/>
  <c r="X168" i="5" s="1"/>
  <c r="U169" i="5"/>
  <c r="U170" i="5"/>
  <c r="U171" i="5"/>
  <c r="U172" i="5"/>
  <c r="U173" i="5"/>
  <c r="U174" i="5"/>
  <c r="U175" i="5"/>
  <c r="V175" i="5" s="1"/>
  <c r="X175" i="5" s="1"/>
  <c r="U176" i="5"/>
  <c r="V176" i="5" s="1"/>
  <c r="X176" i="5" s="1"/>
  <c r="U177" i="5"/>
  <c r="V177" i="5" s="1"/>
  <c r="X177" i="5" s="1"/>
  <c r="U178" i="5"/>
  <c r="U179" i="5"/>
  <c r="U180" i="5"/>
  <c r="U181" i="5"/>
  <c r="U182" i="5"/>
  <c r="U183" i="5"/>
  <c r="U184" i="5"/>
  <c r="V184" i="5" s="1"/>
  <c r="X184" i="5" s="1"/>
  <c r="U185" i="5"/>
  <c r="V185" i="5" s="1"/>
  <c r="X185" i="5" s="1"/>
  <c r="U186" i="5"/>
  <c r="U187" i="5"/>
  <c r="U188" i="5"/>
  <c r="U189" i="5"/>
  <c r="U190" i="5"/>
  <c r="U191" i="5"/>
  <c r="V191" i="5" s="1"/>
  <c r="X191" i="5" s="1"/>
  <c r="U192" i="5"/>
  <c r="U193" i="5"/>
  <c r="V193" i="5" s="1"/>
  <c r="X193" i="5" s="1"/>
  <c r="U194" i="5"/>
  <c r="U195" i="5"/>
  <c r="U196" i="5"/>
  <c r="U197" i="5"/>
  <c r="U198" i="5"/>
  <c r="U199" i="5"/>
  <c r="V199" i="5" s="1"/>
  <c r="X199" i="5" s="1"/>
  <c r="U200" i="5"/>
  <c r="V200" i="5" s="1"/>
  <c r="X200" i="5" s="1"/>
  <c r="U201" i="5"/>
  <c r="V201" i="5" s="1"/>
  <c r="X201" i="5" s="1"/>
  <c r="U202" i="5"/>
  <c r="U203" i="5"/>
  <c r="U204" i="5"/>
  <c r="U205" i="5"/>
  <c r="U206" i="5"/>
  <c r="U207" i="5"/>
  <c r="U208" i="5"/>
  <c r="V208" i="5" s="1"/>
  <c r="X208" i="5" s="1"/>
  <c r="U209" i="5"/>
  <c r="V209" i="5" s="1"/>
  <c r="X209" i="5" s="1"/>
  <c r="U210" i="5"/>
  <c r="U211" i="5"/>
  <c r="U212" i="5"/>
  <c r="U213" i="5"/>
  <c r="U214" i="5"/>
  <c r="U215" i="5"/>
  <c r="V215" i="5" s="1"/>
  <c r="X215" i="5" s="1"/>
  <c r="U216" i="5"/>
  <c r="V216" i="5" s="1"/>
  <c r="X216" i="5" s="1"/>
  <c r="U217" i="5"/>
  <c r="U218" i="5"/>
  <c r="U219" i="5"/>
  <c r="U220" i="5"/>
  <c r="U221" i="5"/>
  <c r="U222" i="5"/>
  <c r="U223" i="5"/>
  <c r="V223" i="5" s="1"/>
  <c r="X223" i="5" s="1"/>
  <c r="U224" i="5"/>
  <c r="V224" i="5" s="1"/>
  <c r="X224" i="5" s="1"/>
  <c r="U225" i="5"/>
  <c r="V225" i="5" s="1"/>
  <c r="X225" i="5" s="1"/>
  <c r="U226" i="5"/>
  <c r="U227" i="5"/>
  <c r="U228" i="5"/>
  <c r="U229" i="5"/>
  <c r="U230" i="5"/>
  <c r="U231" i="5"/>
  <c r="U232" i="5"/>
  <c r="V232" i="5" s="1"/>
  <c r="X232" i="5" s="1"/>
  <c r="U233" i="5"/>
  <c r="V233" i="5" s="1"/>
  <c r="X233" i="5" s="1"/>
  <c r="U234" i="5"/>
  <c r="U235" i="5"/>
  <c r="U236" i="5"/>
  <c r="U237" i="5"/>
  <c r="U238" i="5"/>
  <c r="U239" i="5"/>
  <c r="V239" i="5" s="1"/>
  <c r="X239" i="5" s="1"/>
  <c r="U240" i="5"/>
  <c r="U241" i="5"/>
  <c r="V241" i="5" s="1"/>
  <c r="X241" i="5" s="1"/>
  <c r="U242" i="5"/>
  <c r="U243" i="5"/>
  <c r="U244" i="5"/>
  <c r="U245" i="5"/>
  <c r="U246" i="5"/>
  <c r="U247" i="5"/>
  <c r="V247" i="5" s="1"/>
  <c r="X247" i="5" s="1"/>
  <c r="U248" i="5"/>
  <c r="V248" i="5" s="1"/>
  <c r="X248" i="5" s="1"/>
  <c r="U249" i="5"/>
  <c r="V249" i="5" s="1"/>
  <c r="X249" i="5" s="1"/>
  <c r="U250" i="5"/>
  <c r="U251" i="5"/>
  <c r="U252" i="5"/>
  <c r="U253" i="5"/>
  <c r="U254" i="5"/>
  <c r="U255" i="5"/>
  <c r="U256" i="5"/>
  <c r="V256" i="5" s="1"/>
  <c r="X256" i="5" s="1"/>
  <c r="U257" i="5"/>
  <c r="V257" i="5" s="1"/>
  <c r="X257" i="5" s="1"/>
  <c r="U258" i="5"/>
  <c r="U259" i="5"/>
  <c r="U260" i="5"/>
  <c r="U261" i="5"/>
  <c r="U262" i="5"/>
  <c r="U263" i="5"/>
  <c r="V263" i="5" s="1"/>
  <c r="X263" i="5" s="1"/>
  <c r="U264" i="5"/>
  <c r="U265" i="5"/>
  <c r="V265" i="5" s="1"/>
  <c r="X265" i="5" s="1"/>
  <c r="U266" i="5"/>
  <c r="U267" i="5"/>
  <c r="U268" i="5"/>
  <c r="U269" i="5"/>
  <c r="U270" i="5"/>
  <c r="U271" i="5"/>
  <c r="V271" i="5" s="1"/>
  <c r="X271" i="5" s="1"/>
  <c r="U272" i="5"/>
  <c r="V272" i="5" s="1"/>
  <c r="X272" i="5" s="1"/>
  <c r="U273" i="5"/>
  <c r="U274" i="5"/>
  <c r="U275" i="5"/>
  <c r="U276" i="5"/>
  <c r="U277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T6" i="5"/>
  <c r="T7" i="5"/>
  <c r="T8" i="5"/>
  <c r="T9" i="5"/>
  <c r="T10" i="5"/>
  <c r="T11" i="5"/>
  <c r="T12" i="5"/>
  <c r="T13" i="5"/>
  <c r="W13" i="5" s="1"/>
  <c r="Y13" i="5" s="1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V29" i="5" s="1"/>
  <c r="X29" i="5" s="1"/>
  <c r="T30" i="5"/>
  <c r="T31" i="5"/>
  <c r="T32" i="5"/>
  <c r="T33" i="5"/>
  <c r="T34" i="5"/>
  <c r="T35" i="5"/>
  <c r="T36" i="5"/>
  <c r="T37" i="5"/>
  <c r="V37" i="5" s="1"/>
  <c r="X37" i="5" s="1"/>
  <c r="T38" i="5"/>
  <c r="T39" i="5"/>
  <c r="T40" i="5"/>
  <c r="T41" i="5"/>
  <c r="T42" i="5"/>
  <c r="T43" i="5"/>
  <c r="T44" i="5"/>
  <c r="T45" i="5"/>
  <c r="W45" i="5" s="1"/>
  <c r="Y45" i="5" s="1"/>
  <c r="T46" i="5"/>
  <c r="T47" i="5"/>
  <c r="T48" i="5"/>
  <c r="T49" i="5"/>
  <c r="T50" i="5"/>
  <c r="T51" i="5"/>
  <c r="T52" i="5"/>
  <c r="T53" i="5"/>
  <c r="V53" i="5" s="1"/>
  <c r="X53" i="5" s="1"/>
  <c r="T54" i="5"/>
  <c r="T55" i="5"/>
  <c r="T56" i="5"/>
  <c r="T57" i="5"/>
  <c r="T58" i="5"/>
  <c r="T59" i="5"/>
  <c r="T60" i="5"/>
  <c r="T61" i="5"/>
  <c r="V61" i="5" s="1"/>
  <c r="X61" i="5" s="1"/>
  <c r="T62" i="5"/>
  <c r="T63" i="5"/>
  <c r="T64" i="5"/>
  <c r="T65" i="5"/>
  <c r="T66" i="5"/>
  <c r="T67" i="5"/>
  <c r="T68" i="5"/>
  <c r="T69" i="5"/>
  <c r="W69" i="5" s="1"/>
  <c r="Y69" i="5" s="1"/>
  <c r="T70" i="5"/>
  <c r="T71" i="5"/>
  <c r="T72" i="5"/>
  <c r="T73" i="5"/>
  <c r="T74" i="5"/>
  <c r="T75" i="5"/>
  <c r="T76" i="5"/>
  <c r="T77" i="5"/>
  <c r="V77" i="5" s="1"/>
  <c r="X77" i="5" s="1"/>
  <c r="T78" i="5"/>
  <c r="T79" i="5"/>
  <c r="T80" i="5"/>
  <c r="T81" i="5"/>
  <c r="T82" i="5"/>
  <c r="T83" i="5"/>
  <c r="T84" i="5"/>
  <c r="T85" i="5"/>
  <c r="V85" i="5" s="1"/>
  <c r="X85" i="5" s="1"/>
  <c r="T86" i="5"/>
  <c r="T87" i="5"/>
  <c r="T88" i="5"/>
  <c r="T89" i="5"/>
  <c r="T90" i="5"/>
  <c r="T91" i="5"/>
  <c r="T92" i="5"/>
  <c r="T93" i="5"/>
  <c r="V93" i="5" s="1"/>
  <c r="X93" i="5" s="1"/>
  <c r="T94" i="5"/>
  <c r="T95" i="5"/>
  <c r="T96" i="5"/>
  <c r="T97" i="5"/>
  <c r="T98" i="5"/>
  <c r="T99" i="5"/>
  <c r="T100" i="5"/>
  <c r="T101" i="5"/>
  <c r="V101" i="5" s="1"/>
  <c r="X101" i="5" s="1"/>
  <c r="T102" i="5"/>
  <c r="T103" i="5"/>
  <c r="T104" i="5"/>
  <c r="T105" i="5"/>
  <c r="T106" i="5"/>
  <c r="T107" i="5"/>
  <c r="T108" i="5"/>
  <c r="T109" i="5"/>
  <c r="V109" i="5" s="1"/>
  <c r="X109" i="5" s="1"/>
  <c r="T110" i="5"/>
  <c r="T111" i="5"/>
  <c r="T112" i="5"/>
  <c r="T113" i="5"/>
  <c r="T114" i="5"/>
  <c r="T115" i="5"/>
  <c r="T116" i="5"/>
  <c r="T117" i="5"/>
  <c r="W117" i="5" s="1"/>
  <c r="Y117" i="5" s="1"/>
  <c r="T118" i="5"/>
  <c r="T119" i="5"/>
  <c r="T120" i="5"/>
  <c r="T121" i="5"/>
  <c r="T122" i="5"/>
  <c r="T123" i="5"/>
  <c r="V123" i="5" s="1"/>
  <c r="X123" i="5" s="1"/>
  <c r="T124" i="5"/>
  <c r="T125" i="5"/>
  <c r="W125" i="5" s="1"/>
  <c r="Y125" i="5" s="1"/>
  <c r="T126" i="5"/>
  <c r="T127" i="5"/>
  <c r="T128" i="5"/>
  <c r="T129" i="5"/>
  <c r="T130" i="5"/>
  <c r="T131" i="5"/>
  <c r="W131" i="5" s="1"/>
  <c r="Y131" i="5" s="1"/>
  <c r="T132" i="5"/>
  <c r="T133" i="5"/>
  <c r="W133" i="5" s="1"/>
  <c r="Y133" i="5" s="1"/>
  <c r="T134" i="5"/>
  <c r="T135" i="5"/>
  <c r="T136" i="5"/>
  <c r="T137" i="5"/>
  <c r="T138" i="5"/>
  <c r="T139" i="5"/>
  <c r="V139" i="5" s="1"/>
  <c r="X139" i="5" s="1"/>
  <c r="T140" i="5"/>
  <c r="T141" i="5"/>
  <c r="W141" i="5" s="1"/>
  <c r="Y141" i="5" s="1"/>
  <c r="T142" i="5"/>
  <c r="T143" i="5"/>
  <c r="T144" i="5"/>
  <c r="T145" i="5"/>
  <c r="T146" i="5"/>
  <c r="T147" i="5"/>
  <c r="W147" i="5" s="1"/>
  <c r="Y147" i="5" s="1"/>
  <c r="T148" i="5"/>
  <c r="T149" i="5"/>
  <c r="V149" i="5" s="1"/>
  <c r="X149" i="5" s="1"/>
  <c r="T150" i="5"/>
  <c r="T151" i="5"/>
  <c r="T152" i="5"/>
  <c r="T153" i="5"/>
  <c r="T154" i="5"/>
  <c r="T155" i="5"/>
  <c r="T156" i="5"/>
  <c r="T157" i="5"/>
  <c r="V157" i="5" s="1"/>
  <c r="X157" i="5" s="1"/>
  <c r="T158" i="5"/>
  <c r="T159" i="5"/>
  <c r="T160" i="5"/>
  <c r="T161" i="5"/>
  <c r="T162" i="5"/>
  <c r="T163" i="5"/>
  <c r="T164" i="5"/>
  <c r="T165" i="5"/>
  <c r="W165" i="5" s="1"/>
  <c r="Y165" i="5" s="1"/>
  <c r="T166" i="5"/>
  <c r="T167" i="5"/>
  <c r="T168" i="5"/>
  <c r="T169" i="5"/>
  <c r="T170" i="5"/>
  <c r="T171" i="5"/>
  <c r="T172" i="5"/>
  <c r="T173" i="5"/>
  <c r="W173" i="5" s="1"/>
  <c r="Y173" i="5" s="1"/>
  <c r="T174" i="5"/>
  <c r="T175" i="5"/>
  <c r="T176" i="5"/>
  <c r="T177" i="5"/>
  <c r="T178" i="5"/>
  <c r="T179" i="5"/>
  <c r="W179" i="5" s="1"/>
  <c r="Y179" i="5" s="1"/>
  <c r="T180" i="5"/>
  <c r="T181" i="5"/>
  <c r="W181" i="5" s="1"/>
  <c r="Y181" i="5" s="1"/>
  <c r="T182" i="5"/>
  <c r="T183" i="5"/>
  <c r="T184" i="5"/>
  <c r="T185" i="5"/>
  <c r="T186" i="5"/>
  <c r="T187" i="5"/>
  <c r="T188" i="5"/>
  <c r="T189" i="5"/>
  <c r="V189" i="5" s="1"/>
  <c r="X189" i="5" s="1"/>
  <c r="T190" i="5"/>
  <c r="T191" i="5"/>
  <c r="T192" i="5"/>
  <c r="T193" i="5"/>
  <c r="T194" i="5"/>
  <c r="T195" i="5"/>
  <c r="T196" i="5"/>
  <c r="T197" i="5"/>
  <c r="W197" i="5" s="1"/>
  <c r="Y197" i="5" s="1"/>
  <c r="T198" i="5"/>
  <c r="T199" i="5"/>
  <c r="T200" i="5"/>
  <c r="T201" i="5"/>
  <c r="T202" i="5"/>
  <c r="T203" i="5"/>
  <c r="T204" i="5"/>
  <c r="T205" i="5"/>
  <c r="V205" i="5" s="1"/>
  <c r="X205" i="5" s="1"/>
  <c r="T206" i="5"/>
  <c r="T207" i="5"/>
  <c r="T208" i="5"/>
  <c r="T209" i="5"/>
  <c r="T210" i="5"/>
  <c r="T211" i="5"/>
  <c r="T212" i="5"/>
  <c r="T213" i="5"/>
  <c r="V213" i="5" s="1"/>
  <c r="X213" i="5" s="1"/>
  <c r="T214" i="5"/>
  <c r="T215" i="5"/>
  <c r="T216" i="5"/>
  <c r="T217" i="5"/>
  <c r="T218" i="5"/>
  <c r="T219" i="5"/>
  <c r="T220" i="5"/>
  <c r="T221" i="5"/>
  <c r="W221" i="5" s="1"/>
  <c r="Y221" i="5" s="1"/>
  <c r="T222" i="5"/>
  <c r="T223" i="5"/>
  <c r="T224" i="5"/>
  <c r="T225" i="5"/>
  <c r="T226" i="5"/>
  <c r="T227" i="5"/>
  <c r="W227" i="5" s="1"/>
  <c r="Y227" i="5" s="1"/>
  <c r="T228" i="5"/>
  <c r="T229" i="5"/>
  <c r="T230" i="5"/>
  <c r="T231" i="5"/>
  <c r="T232" i="5"/>
  <c r="T233" i="5"/>
  <c r="T234" i="5"/>
  <c r="T235" i="5"/>
  <c r="T236" i="5"/>
  <c r="T237" i="5"/>
  <c r="V237" i="5" s="1"/>
  <c r="X237" i="5" s="1"/>
  <c r="T238" i="5"/>
  <c r="T239" i="5"/>
  <c r="T240" i="5"/>
  <c r="T241" i="5"/>
  <c r="T242" i="5"/>
  <c r="T243" i="5"/>
  <c r="T244" i="5"/>
  <c r="T245" i="5"/>
  <c r="W245" i="5" s="1"/>
  <c r="Y245" i="5" s="1"/>
  <c r="T246" i="5"/>
  <c r="T247" i="5"/>
  <c r="T248" i="5"/>
  <c r="T249" i="5"/>
  <c r="T250" i="5"/>
  <c r="T251" i="5"/>
  <c r="T252" i="5"/>
  <c r="T253" i="5"/>
  <c r="V253" i="5" s="1"/>
  <c r="X253" i="5" s="1"/>
  <c r="T254" i="5"/>
  <c r="T255" i="5"/>
  <c r="T256" i="5"/>
  <c r="T257" i="5"/>
  <c r="T258" i="5"/>
  <c r="T259" i="5"/>
  <c r="T260" i="5"/>
  <c r="T261" i="5"/>
  <c r="V261" i="5" s="1"/>
  <c r="X261" i="5" s="1"/>
  <c r="T262" i="5"/>
  <c r="T263" i="5"/>
  <c r="T264" i="5"/>
  <c r="T265" i="5"/>
  <c r="T266" i="5"/>
  <c r="T267" i="5"/>
  <c r="T268" i="5"/>
  <c r="T269" i="5"/>
  <c r="W269" i="5" s="1"/>
  <c r="Y269" i="5" s="1"/>
  <c r="T270" i="5"/>
  <c r="T271" i="5"/>
  <c r="T272" i="5"/>
  <c r="T273" i="5"/>
  <c r="T274" i="5"/>
  <c r="T275" i="5"/>
  <c r="T276" i="5"/>
  <c r="T277" i="5"/>
  <c r="W277" i="5" s="1"/>
  <c r="Y277" i="5" s="1"/>
  <c r="T4" i="5"/>
  <c r="T5" i="5"/>
  <c r="T3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W26" i="5" s="1"/>
  <c r="Y26" i="5" s="1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W114" i="5" s="1"/>
  <c r="Y114" i="5" s="1"/>
  <c r="S115" i="5"/>
  <c r="S116" i="5"/>
  <c r="S117" i="5"/>
  <c r="S118" i="5"/>
  <c r="S119" i="5"/>
  <c r="S120" i="5"/>
  <c r="S121" i="5"/>
  <c r="S122" i="5"/>
  <c r="W122" i="5" s="1"/>
  <c r="Y122" i="5" s="1"/>
  <c r="S123" i="5"/>
  <c r="S124" i="5"/>
  <c r="S125" i="5"/>
  <c r="S126" i="5"/>
  <c r="S127" i="5"/>
  <c r="S128" i="5"/>
  <c r="S129" i="5"/>
  <c r="S130" i="5"/>
  <c r="W130" i="5" s="1"/>
  <c r="Y130" i="5" s="1"/>
  <c r="S131" i="5"/>
  <c r="S132" i="5"/>
  <c r="S133" i="5"/>
  <c r="S134" i="5"/>
  <c r="S135" i="5"/>
  <c r="S136" i="5"/>
  <c r="S137" i="5"/>
  <c r="S138" i="5"/>
  <c r="W138" i="5" s="1"/>
  <c r="Y138" i="5" s="1"/>
  <c r="S139" i="5"/>
  <c r="S140" i="5"/>
  <c r="S141" i="5"/>
  <c r="S142" i="5"/>
  <c r="S143" i="5"/>
  <c r="S144" i="5"/>
  <c r="S145" i="5"/>
  <c r="S146" i="5"/>
  <c r="W146" i="5" s="1"/>
  <c r="Y146" i="5" s="1"/>
  <c r="S147" i="5"/>
  <c r="S148" i="5"/>
  <c r="S149" i="5"/>
  <c r="S150" i="5"/>
  <c r="S151" i="5"/>
  <c r="S152" i="5"/>
  <c r="S153" i="5"/>
  <c r="S154" i="5"/>
  <c r="W154" i="5" s="1"/>
  <c r="Y154" i="5" s="1"/>
  <c r="S155" i="5"/>
  <c r="S156" i="5"/>
  <c r="S157" i="5"/>
  <c r="S158" i="5"/>
  <c r="S159" i="5"/>
  <c r="S160" i="5"/>
  <c r="S161" i="5"/>
  <c r="S162" i="5"/>
  <c r="W162" i="5" s="1"/>
  <c r="Y162" i="5" s="1"/>
  <c r="S163" i="5"/>
  <c r="S164" i="5"/>
  <c r="S165" i="5"/>
  <c r="S166" i="5"/>
  <c r="S167" i="5"/>
  <c r="S168" i="5"/>
  <c r="S169" i="5"/>
  <c r="S170" i="5"/>
  <c r="W170" i="5" s="1"/>
  <c r="Y170" i="5" s="1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W186" i="5" s="1"/>
  <c r="Y186" i="5" s="1"/>
  <c r="S187" i="5"/>
  <c r="S188" i="5"/>
  <c r="S189" i="5"/>
  <c r="S190" i="5"/>
  <c r="S191" i="5"/>
  <c r="S192" i="5"/>
  <c r="S193" i="5"/>
  <c r="S194" i="5"/>
  <c r="W194" i="5" s="1"/>
  <c r="Y194" i="5" s="1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W218" i="5" s="1"/>
  <c r="Y218" i="5" s="1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W250" i="5" s="1"/>
  <c r="Y250" i="5" s="1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W266" i="5" s="1"/>
  <c r="Y266" i="5" s="1"/>
  <c r="S267" i="5"/>
  <c r="S268" i="5"/>
  <c r="S269" i="5"/>
  <c r="S270" i="5"/>
  <c r="S271" i="5"/>
  <c r="S272" i="5"/>
  <c r="S273" i="5"/>
  <c r="S274" i="5"/>
  <c r="S275" i="5"/>
  <c r="S276" i="5"/>
  <c r="S277" i="5"/>
  <c r="S2" i="5"/>
  <c r="W264" i="5"/>
  <c r="Y264" i="5" s="1"/>
  <c r="W265" i="5"/>
  <c r="Y265" i="5" s="1"/>
  <c r="W268" i="5"/>
  <c r="Y268" i="5" s="1"/>
  <c r="W270" i="5"/>
  <c r="Y270" i="5" s="1"/>
  <c r="W271" i="5"/>
  <c r="Y271" i="5" s="1"/>
  <c r="W272" i="5"/>
  <c r="Y272" i="5" s="1"/>
  <c r="W273" i="5"/>
  <c r="Y273" i="5" s="1"/>
  <c r="W276" i="5"/>
  <c r="Y276" i="5" s="1"/>
  <c r="W166" i="5"/>
  <c r="Y166" i="5" s="1"/>
  <c r="W167" i="5"/>
  <c r="Y167" i="5" s="1"/>
  <c r="W168" i="5"/>
  <c r="Y168" i="5" s="1"/>
  <c r="W169" i="5"/>
  <c r="Y169" i="5" s="1"/>
  <c r="W172" i="5"/>
  <c r="Y172" i="5" s="1"/>
  <c r="W174" i="5"/>
  <c r="Y174" i="5" s="1"/>
  <c r="W175" i="5"/>
  <c r="Y175" i="5" s="1"/>
  <c r="W176" i="5"/>
  <c r="Y176" i="5" s="1"/>
  <c r="W177" i="5"/>
  <c r="Y177" i="5" s="1"/>
  <c r="W180" i="5"/>
  <c r="Y180" i="5" s="1"/>
  <c r="W182" i="5"/>
  <c r="Y182" i="5"/>
  <c r="W183" i="5"/>
  <c r="Y183" i="5" s="1"/>
  <c r="W184" i="5"/>
  <c r="Y184" i="5"/>
  <c r="W185" i="5"/>
  <c r="Y185" i="5" s="1"/>
  <c r="W188" i="5"/>
  <c r="Y188" i="5" s="1"/>
  <c r="W190" i="5"/>
  <c r="Y190" i="5" s="1"/>
  <c r="W191" i="5"/>
  <c r="Y191" i="5" s="1"/>
  <c r="W192" i="5"/>
  <c r="Y192" i="5" s="1"/>
  <c r="W193" i="5"/>
  <c r="Y193" i="5" s="1"/>
  <c r="W196" i="5"/>
  <c r="Y196" i="5"/>
  <c r="W198" i="5"/>
  <c r="Y198" i="5" s="1"/>
  <c r="W199" i="5"/>
  <c r="Y199" i="5" s="1"/>
  <c r="W200" i="5"/>
  <c r="Y200" i="5"/>
  <c r="W201" i="5"/>
  <c r="Y201" i="5"/>
  <c r="W202" i="5"/>
  <c r="Y202" i="5" s="1"/>
  <c r="W204" i="5"/>
  <c r="Y204" i="5" s="1"/>
  <c r="W205" i="5"/>
  <c r="Y205" i="5" s="1"/>
  <c r="W206" i="5"/>
  <c r="Y206" i="5" s="1"/>
  <c r="W207" i="5"/>
  <c r="Y207" i="5" s="1"/>
  <c r="W208" i="5"/>
  <c r="Y208" i="5" s="1"/>
  <c r="W209" i="5"/>
  <c r="Y209" i="5" s="1"/>
  <c r="W212" i="5"/>
  <c r="Y212" i="5"/>
  <c r="W214" i="5"/>
  <c r="Y214" i="5" s="1"/>
  <c r="W215" i="5"/>
  <c r="Y215" i="5" s="1"/>
  <c r="W216" i="5"/>
  <c r="Y216" i="5" s="1"/>
  <c r="W217" i="5"/>
  <c r="Y217" i="5" s="1"/>
  <c r="W220" i="5"/>
  <c r="Y220" i="5" s="1"/>
  <c r="W222" i="5"/>
  <c r="Y222" i="5"/>
  <c r="W223" i="5"/>
  <c r="Y223" i="5" s="1"/>
  <c r="W224" i="5"/>
  <c r="Y224" i="5"/>
  <c r="W225" i="5"/>
  <c r="Y225" i="5" s="1"/>
  <c r="W228" i="5"/>
  <c r="Y228" i="5" s="1"/>
  <c r="W229" i="5"/>
  <c r="Y229" i="5" s="1"/>
  <c r="W230" i="5"/>
  <c r="Y230" i="5" s="1"/>
  <c r="W231" i="5"/>
  <c r="Y231" i="5" s="1"/>
  <c r="W232" i="5"/>
  <c r="Y232" i="5" s="1"/>
  <c r="W233" i="5"/>
  <c r="Y233" i="5"/>
  <c r="W236" i="5"/>
  <c r="Y236" i="5" s="1"/>
  <c r="W237" i="5"/>
  <c r="Y237" i="5" s="1"/>
  <c r="W238" i="5"/>
  <c r="Y238" i="5"/>
  <c r="W239" i="5"/>
  <c r="Y239" i="5" s="1"/>
  <c r="W240" i="5"/>
  <c r="Y240" i="5" s="1"/>
  <c r="W241" i="5"/>
  <c r="Y241" i="5" s="1"/>
  <c r="W242" i="5"/>
  <c r="Y242" i="5" s="1"/>
  <c r="W244" i="5"/>
  <c r="Y244" i="5" s="1"/>
  <c r="W246" i="5"/>
  <c r="Y246" i="5" s="1"/>
  <c r="W247" i="5"/>
  <c r="Y247" i="5" s="1"/>
  <c r="W248" i="5"/>
  <c r="Y248" i="5" s="1"/>
  <c r="W249" i="5"/>
  <c r="Y249" i="5" s="1"/>
  <c r="W252" i="5"/>
  <c r="Y252" i="5" s="1"/>
  <c r="W254" i="5"/>
  <c r="Y254" i="5"/>
  <c r="W255" i="5"/>
  <c r="Y255" i="5" s="1"/>
  <c r="W256" i="5"/>
  <c r="Y256" i="5" s="1"/>
  <c r="W257" i="5"/>
  <c r="Y257" i="5" s="1"/>
  <c r="W258" i="5"/>
  <c r="Y258" i="5" s="1"/>
  <c r="W260" i="5"/>
  <c r="Y260" i="5" s="1"/>
  <c r="W261" i="5"/>
  <c r="Y261" i="5" s="1"/>
  <c r="W262" i="5"/>
  <c r="Y262" i="5"/>
  <c r="W263" i="5"/>
  <c r="Y263" i="5" s="1"/>
  <c r="V276" i="5"/>
  <c r="X276" i="5" s="1"/>
  <c r="V273" i="5"/>
  <c r="X273" i="5" s="1"/>
  <c r="V270" i="5"/>
  <c r="X270" i="5" s="1"/>
  <c r="V269" i="5"/>
  <c r="X269" i="5" s="1"/>
  <c r="V268" i="5"/>
  <c r="X268" i="5" s="1"/>
  <c r="V267" i="5"/>
  <c r="X267" i="5" s="1"/>
  <c r="V264" i="5"/>
  <c r="X264" i="5" s="1"/>
  <c r="V262" i="5"/>
  <c r="X262" i="5" s="1"/>
  <c r="V260" i="5"/>
  <c r="X260" i="5" s="1"/>
  <c r="V258" i="5"/>
  <c r="X258" i="5" s="1"/>
  <c r="V255" i="5"/>
  <c r="X255" i="5" s="1"/>
  <c r="V254" i="5"/>
  <c r="X254" i="5" s="1"/>
  <c r="V252" i="5"/>
  <c r="X252" i="5" s="1"/>
  <c r="V246" i="5"/>
  <c r="X246" i="5" s="1"/>
  <c r="V244" i="5"/>
  <c r="X244" i="5" s="1"/>
  <c r="V240" i="5"/>
  <c r="X240" i="5" s="1"/>
  <c r="V238" i="5"/>
  <c r="X238" i="5" s="1"/>
  <c r="V236" i="5"/>
  <c r="X236" i="5" s="1"/>
  <c r="V231" i="5"/>
  <c r="X231" i="5" s="1"/>
  <c r="V230" i="5"/>
  <c r="X230" i="5" s="1"/>
  <c r="V229" i="5"/>
  <c r="X229" i="5" s="1"/>
  <c r="V228" i="5"/>
  <c r="X228" i="5" s="1"/>
  <c r="V222" i="5"/>
  <c r="X222" i="5" s="1"/>
  <c r="V220" i="5"/>
  <c r="X220" i="5" s="1"/>
  <c r="V218" i="5"/>
  <c r="X218" i="5" s="1"/>
  <c r="V217" i="5"/>
  <c r="X217" i="5" s="1"/>
  <c r="V214" i="5"/>
  <c r="X214" i="5" s="1"/>
  <c r="V212" i="5"/>
  <c r="X212" i="5" s="1"/>
  <c r="V207" i="5"/>
  <c r="X207" i="5" s="1"/>
  <c r="V206" i="5"/>
  <c r="X206" i="5" s="1"/>
  <c r="V204" i="5"/>
  <c r="X204" i="5" s="1"/>
  <c r="V198" i="5"/>
  <c r="X198" i="5" s="1"/>
  <c r="V196" i="5"/>
  <c r="X196" i="5" s="1"/>
  <c r="V192" i="5"/>
  <c r="X192" i="5" s="1"/>
  <c r="V190" i="5"/>
  <c r="X190" i="5" s="1"/>
  <c r="V188" i="5"/>
  <c r="X188" i="5" s="1"/>
  <c r="V186" i="5"/>
  <c r="X186" i="5" s="1"/>
  <c r="V183" i="5"/>
  <c r="X183" i="5" s="1"/>
  <c r="V182" i="5"/>
  <c r="X182" i="5" s="1"/>
  <c r="V181" i="5"/>
  <c r="X181" i="5" s="1"/>
  <c r="V180" i="5"/>
  <c r="X180" i="5" s="1"/>
  <c r="V174" i="5"/>
  <c r="X174" i="5" s="1"/>
  <c r="V172" i="5"/>
  <c r="X172" i="5" s="1"/>
  <c r="V169" i="5"/>
  <c r="X169" i="5" s="1"/>
  <c r="V166" i="5"/>
  <c r="X166" i="5" s="1"/>
  <c r="V165" i="5"/>
  <c r="X165" i="5" s="1"/>
  <c r="V164" i="5"/>
  <c r="X164" i="5" s="1"/>
  <c r="W161" i="5"/>
  <c r="Y161" i="5" s="1"/>
  <c r="V160" i="5"/>
  <c r="X160" i="5" s="1"/>
  <c r="W160" i="5"/>
  <c r="Y160" i="5" s="1"/>
  <c r="W158" i="5"/>
  <c r="Y158" i="5" s="1"/>
  <c r="V156" i="5"/>
  <c r="X156" i="5" s="1"/>
  <c r="W153" i="5"/>
  <c r="Y153" i="5" s="1"/>
  <c r="W152" i="5"/>
  <c r="Y152" i="5" s="1"/>
  <c r="W150" i="5"/>
  <c r="Y150" i="5" s="1"/>
  <c r="V148" i="5"/>
  <c r="X148" i="5" s="1"/>
  <c r="V147" i="5"/>
  <c r="X147" i="5" s="1"/>
  <c r="W145" i="5"/>
  <c r="Y145" i="5" s="1"/>
  <c r="W143" i="5"/>
  <c r="Y143" i="5" s="1"/>
  <c r="V140" i="5"/>
  <c r="X140" i="5" s="1"/>
  <c r="W140" i="5"/>
  <c r="Y140" i="5" s="1"/>
  <c r="V138" i="5"/>
  <c r="X138" i="5" s="1"/>
  <c r="W137" i="5"/>
  <c r="Y137" i="5" s="1"/>
  <c r="W136" i="5"/>
  <c r="Y136" i="5" s="1"/>
  <c r="W135" i="5"/>
  <c r="Y135" i="5" s="1"/>
  <c r="V132" i="5"/>
  <c r="X132" i="5" s="1"/>
  <c r="W129" i="5"/>
  <c r="Y129" i="5" s="1"/>
  <c r="V129" i="5"/>
  <c r="X129" i="5" s="1"/>
  <c r="W128" i="5"/>
  <c r="Y128" i="5" s="1"/>
  <c r="W127" i="5"/>
  <c r="Y127" i="5" s="1"/>
  <c r="V124" i="5"/>
  <c r="X124" i="5" s="1"/>
  <c r="W121" i="5"/>
  <c r="Y121" i="5" s="1"/>
  <c r="V120" i="5"/>
  <c r="X120" i="5" s="1"/>
  <c r="W120" i="5"/>
  <c r="Y120" i="5" s="1"/>
  <c r="W119" i="5"/>
  <c r="Y119" i="5" s="1"/>
  <c r="V117" i="5"/>
  <c r="X117" i="5" s="1"/>
  <c r="W116" i="5"/>
  <c r="Y116" i="5" s="1"/>
  <c r="W113" i="5"/>
  <c r="Y113" i="5" s="1"/>
  <c r="Y112" i="5"/>
  <c r="W112" i="5"/>
  <c r="W111" i="5"/>
  <c r="Y111" i="5" s="1"/>
  <c r="W110" i="5"/>
  <c r="Y110" i="5" s="1"/>
  <c r="V110" i="5"/>
  <c r="X110" i="5" s="1"/>
  <c r="V108" i="5"/>
  <c r="X108" i="5" s="1"/>
  <c r="W108" i="5"/>
  <c r="Y108" i="5" s="1"/>
  <c r="W105" i="5"/>
  <c r="Y105" i="5" s="1"/>
  <c r="W104" i="5"/>
  <c r="Y104" i="5" s="1"/>
  <c r="W103" i="5"/>
  <c r="Y103" i="5" s="1"/>
  <c r="W102" i="5"/>
  <c r="Y102" i="5" s="1"/>
  <c r="V102" i="5"/>
  <c r="X102" i="5" s="1"/>
  <c r="W101" i="5"/>
  <c r="Y101" i="5" s="1"/>
  <c r="W100" i="5"/>
  <c r="Y100" i="5" s="1"/>
  <c r="W97" i="5"/>
  <c r="Y97" i="5" s="1"/>
  <c r="W96" i="5"/>
  <c r="Y96" i="5" s="1"/>
  <c r="W95" i="5"/>
  <c r="Y95" i="5" s="1"/>
  <c r="W94" i="5"/>
  <c r="Y94" i="5" s="1"/>
  <c r="V94" i="5"/>
  <c r="X94" i="5" s="1"/>
  <c r="V92" i="5"/>
  <c r="X92" i="5" s="1"/>
  <c r="W92" i="5"/>
  <c r="Y92" i="5" s="1"/>
  <c r="W90" i="5"/>
  <c r="Y90" i="5" s="1"/>
  <c r="W89" i="5"/>
  <c r="Y89" i="5" s="1"/>
  <c r="Y88" i="5"/>
  <c r="W88" i="5"/>
  <c r="W87" i="5"/>
  <c r="Y87" i="5" s="1"/>
  <c r="W86" i="5"/>
  <c r="Y86" i="5" s="1"/>
  <c r="V86" i="5"/>
  <c r="X86" i="5" s="1"/>
  <c r="W85" i="5"/>
  <c r="Y85" i="5" s="1"/>
  <c r="V84" i="5"/>
  <c r="X84" i="5" s="1"/>
  <c r="W84" i="5"/>
  <c r="Y84" i="5" s="1"/>
  <c r="W81" i="5"/>
  <c r="Y81" i="5" s="1"/>
  <c r="W80" i="5"/>
  <c r="Y80" i="5" s="1"/>
  <c r="W79" i="5"/>
  <c r="Y79" i="5" s="1"/>
  <c r="V79" i="5"/>
  <c r="X79" i="5" s="1"/>
  <c r="W78" i="5"/>
  <c r="Y78" i="5" s="1"/>
  <c r="V78" i="5"/>
  <c r="X78" i="5" s="1"/>
  <c r="W76" i="5"/>
  <c r="Y76" i="5" s="1"/>
  <c r="W73" i="5"/>
  <c r="Y73" i="5" s="1"/>
  <c r="W72" i="5"/>
  <c r="Y72" i="5" s="1"/>
  <c r="W71" i="5"/>
  <c r="Y71" i="5" s="1"/>
  <c r="W70" i="5"/>
  <c r="Y70" i="5" s="1"/>
  <c r="V70" i="5"/>
  <c r="X70" i="5" s="1"/>
  <c r="V69" i="5"/>
  <c r="X69" i="5" s="1"/>
  <c r="W68" i="5"/>
  <c r="Y68" i="5" s="1"/>
  <c r="W65" i="5"/>
  <c r="Y65" i="5" s="1"/>
  <c r="W64" i="5"/>
  <c r="Y64" i="5" s="1"/>
  <c r="W63" i="5"/>
  <c r="Y63" i="5" s="1"/>
  <c r="W62" i="5"/>
  <c r="Y62" i="5" s="1"/>
  <c r="V62" i="5"/>
  <c r="X62" i="5" s="1"/>
  <c r="W60" i="5"/>
  <c r="Y60" i="5" s="1"/>
  <c r="Y57" i="5"/>
  <c r="W57" i="5"/>
  <c r="W56" i="5"/>
  <c r="Y56" i="5" s="1"/>
  <c r="W55" i="5"/>
  <c r="Y55" i="5" s="1"/>
  <c r="V55" i="5"/>
  <c r="X55" i="5" s="1"/>
  <c r="W54" i="5"/>
  <c r="Y54" i="5" s="1"/>
  <c r="V54" i="5"/>
  <c r="X54" i="5" s="1"/>
  <c r="W52" i="5"/>
  <c r="Y52" i="5" s="1"/>
  <c r="W49" i="5"/>
  <c r="Y49" i="5" s="1"/>
  <c r="W48" i="5"/>
  <c r="Y48" i="5" s="1"/>
  <c r="W47" i="5"/>
  <c r="Y47" i="5" s="1"/>
  <c r="V47" i="5"/>
  <c r="X47" i="5" s="1"/>
  <c r="W46" i="5"/>
  <c r="Y46" i="5" s="1"/>
  <c r="V46" i="5"/>
  <c r="X46" i="5" s="1"/>
  <c r="V45" i="5"/>
  <c r="X45" i="5" s="1"/>
  <c r="W44" i="5"/>
  <c r="Y44" i="5" s="1"/>
  <c r="W41" i="5"/>
  <c r="Y41" i="5" s="1"/>
  <c r="W40" i="5"/>
  <c r="Y40" i="5" s="1"/>
  <c r="W39" i="5"/>
  <c r="Y39" i="5" s="1"/>
  <c r="V39" i="5"/>
  <c r="X39" i="5" s="1"/>
  <c r="W38" i="5"/>
  <c r="Y38" i="5" s="1"/>
  <c r="V38" i="5"/>
  <c r="X38" i="5" s="1"/>
  <c r="W36" i="5"/>
  <c r="Y36" i="5" s="1"/>
  <c r="W33" i="5"/>
  <c r="Y33" i="5" s="1"/>
  <c r="W32" i="5"/>
  <c r="Y32" i="5" s="1"/>
  <c r="W31" i="5"/>
  <c r="Y31" i="5" s="1"/>
  <c r="V31" i="5"/>
  <c r="X31" i="5" s="1"/>
  <c r="W30" i="5"/>
  <c r="Y30" i="5" s="1"/>
  <c r="V30" i="5"/>
  <c r="X30" i="5" s="1"/>
  <c r="V28" i="5"/>
  <c r="X28" i="5" s="1"/>
  <c r="W28" i="5"/>
  <c r="Y28" i="5" s="1"/>
  <c r="Y25" i="5"/>
  <c r="W25" i="5"/>
  <c r="W24" i="5"/>
  <c r="Y24" i="5" s="1"/>
  <c r="V24" i="5"/>
  <c r="X24" i="5" s="1"/>
  <c r="W23" i="5"/>
  <c r="Y23" i="5" s="1"/>
  <c r="V23" i="5"/>
  <c r="X23" i="5" s="1"/>
  <c r="V22" i="5"/>
  <c r="X22" i="5" s="1"/>
  <c r="W22" i="5"/>
  <c r="Y22" i="5" s="1"/>
  <c r="W18" i="5"/>
  <c r="Y18" i="5" s="1"/>
  <c r="W17" i="5"/>
  <c r="Y17" i="5" s="1"/>
  <c r="W16" i="5"/>
  <c r="Y16" i="5" s="1"/>
  <c r="V16" i="5"/>
  <c r="X16" i="5" s="1"/>
  <c r="W15" i="5"/>
  <c r="Y15" i="5" s="1"/>
  <c r="V15" i="5"/>
  <c r="X15" i="5" s="1"/>
  <c r="V14" i="5"/>
  <c r="X14" i="5" s="1"/>
  <c r="W14" i="5"/>
  <c r="Y14" i="5" s="1"/>
  <c r="W10" i="5"/>
  <c r="Y10" i="5" s="1"/>
  <c r="W9" i="5"/>
  <c r="Y9" i="5" s="1"/>
  <c r="W8" i="5"/>
  <c r="Y8" i="5" s="1"/>
  <c r="V8" i="5"/>
  <c r="X8" i="5" s="1"/>
  <c r="W7" i="5"/>
  <c r="Y7" i="5" s="1"/>
  <c r="V7" i="5"/>
  <c r="X7" i="5" s="1"/>
  <c r="V6" i="5"/>
  <c r="X6" i="5" s="1"/>
  <c r="W6" i="5"/>
  <c r="Y6" i="5" s="1"/>
  <c r="W4" i="5"/>
  <c r="Y4" i="5" s="1"/>
  <c r="V4" i="5"/>
  <c r="X4" i="5" s="1"/>
  <c r="V3" i="5"/>
  <c r="X3" i="5" s="1"/>
  <c r="U3" i="5"/>
  <c r="W3" i="5"/>
  <c r="Y3" i="5" s="1"/>
  <c r="U2" i="5"/>
  <c r="V2" i="5" s="1"/>
  <c r="X154" i="4"/>
  <c r="X162" i="4"/>
  <c r="X164" i="4"/>
  <c r="X166" i="4"/>
  <c r="X168" i="4"/>
  <c r="X170" i="4"/>
  <c r="X171" i="4"/>
  <c r="X172" i="4"/>
  <c r="X176" i="4"/>
  <c r="X177" i="4"/>
  <c r="X178" i="4"/>
  <c r="X179" i="4"/>
  <c r="X180" i="4"/>
  <c r="X184" i="4"/>
  <c r="X186" i="4"/>
  <c r="X187" i="4"/>
  <c r="X188" i="4"/>
  <c r="X192" i="4"/>
  <c r="X194" i="4"/>
  <c r="X195" i="4"/>
  <c r="X196" i="4"/>
  <c r="X200" i="4"/>
  <c r="X202" i="4"/>
  <c r="X203" i="4"/>
  <c r="X204" i="4"/>
  <c r="X206" i="4"/>
  <c r="X207" i="4"/>
  <c r="X208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X260" i="4"/>
  <c r="S260" i="4"/>
  <c r="X259" i="4"/>
  <c r="S259" i="4"/>
  <c r="X258" i="4"/>
  <c r="S258" i="4"/>
  <c r="S257" i="4"/>
  <c r="X256" i="4"/>
  <c r="S256" i="4"/>
  <c r="S255" i="4"/>
  <c r="S254" i="4"/>
  <c r="S253" i="4"/>
  <c r="X252" i="4"/>
  <c r="S252" i="4"/>
  <c r="X251" i="4"/>
  <c r="S251" i="4"/>
  <c r="X250" i="4"/>
  <c r="S250" i="4"/>
  <c r="S249" i="4"/>
  <c r="X248" i="4"/>
  <c r="S248" i="4"/>
  <c r="S247" i="4"/>
  <c r="S246" i="4"/>
  <c r="S245" i="4"/>
  <c r="X244" i="4"/>
  <c r="S244" i="4"/>
  <c r="X243" i="4"/>
  <c r="S243" i="4"/>
  <c r="X242" i="4"/>
  <c r="S242" i="4"/>
  <c r="S241" i="4"/>
  <c r="X240" i="4"/>
  <c r="S240" i="4"/>
  <c r="S239" i="4"/>
  <c r="S238" i="4"/>
  <c r="S237" i="4"/>
  <c r="X236" i="4"/>
  <c r="S236" i="4"/>
  <c r="X235" i="4"/>
  <c r="S235" i="4"/>
  <c r="X234" i="4"/>
  <c r="S234" i="4"/>
  <c r="S233" i="4"/>
  <c r="X232" i="4"/>
  <c r="S232" i="4"/>
  <c r="X231" i="4"/>
  <c r="S231" i="4"/>
  <c r="S230" i="4"/>
  <c r="S229" i="4"/>
  <c r="X228" i="4"/>
  <c r="S228" i="4"/>
  <c r="X227" i="4"/>
  <c r="S227" i="4"/>
  <c r="X226" i="4"/>
  <c r="S226" i="4"/>
  <c r="S225" i="4"/>
  <c r="X224" i="4"/>
  <c r="S224" i="4"/>
  <c r="S223" i="4"/>
  <c r="X222" i="4"/>
  <c r="S222" i="4"/>
  <c r="S221" i="4"/>
  <c r="X220" i="4"/>
  <c r="S220" i="4"/>
  <c r="X219" i="4"/>
  <c r="S219" i="4"/>
  <c r="X218" i="4"/>
  <c r="S218" i="4"/>
  <c r="S217" i="4"/>
  <c r="X216" i="4"/>
  <c r="S216" i="4"/>
  <c r="S215" i="4"/>
  <c r="S214" i="4"/>
  <c r="S213" i="4"/>
  <c r="X212" i="4"/>
  <c r="S212" i="4"/>
  <c r="X211" i="4"/>
  <c r="S211" i="4"/>
  <c r="X210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X146" i="4"/>
  <c r="S146" i="4"/>
  <c r="S145" i="4"/>
  <c r="S144" i="4"/>
  <c r="S143" i="4"/>
  <c r="S142" i="4"/>
  <c r="S141" i="4"/>
  <c r="X140" i="4"/>
  <c r="S140" i="4"/>
  <c r="X139" i="4"/>
  <c r="S139" i="4"/>
  <c r="X138" i="4"/>
  <c r="S138" i="4"/>
  <c r="S137" i="4"/>
  <c r="S136" i="4"/>
  <c r="S135" i="4"/>
  <c r="X134" i="4"/>
  <c r="S134" i="4"/>
  <c r="S133" i="4"/>
  <c r="X132" i="4"/>
  <c r="S132" i="4"/>
  <c r="X131" i="4"/>
  <c r="S131" i="4"/>
  <c r="X130" i="4"/>
  <c r="S130" i="4"/>
  <c r="S129" i="4"/>
  <c r="X128" i="4"/>
  <c r="S128" i="4"/>
  <c r="S127" i="4"/>
  <c r="S126" i="4"/>
  <c r="S125" i="4"/>
  <c r="S124" i="4"/>
  <c r="S123" i="4"/>
  <c r="X122" i="4"/>
  <c r="S122" i="4"/>
  <c r="S121" i="4"/>
  <c r="S120" i="4"/>
  <c r="S119" i="4"/>
  <c r="X118" i="4"/>
  <c r="S118" i="4"/>
  <c r="S117" i="4"/>
  <c r="S116" i="4"/>
  <c r="S115" i="4"/>
  <c r="X114" i="4"/>
  <c r="S114" i="4"/>
  <c r="S113" i="4"/>
  <c r="S112" i="4"/>
  <c r="S111" i="4"/>
  <c r="S110" i="4"/>
  <c r="S109" i="4"/>
  <c r="S108" i="4"/>
  <c r="S107" i="4"/>
  <c r="X106" i="4"/>
  <c r="S106" i="4"/>
  <c r="S105" i="4"/>
  <c r="S104" i="4"/>
  <c r="X103" i="4"/>
  <c r="S103" i="4"/>
  <c r="S102" i="4"/>
  <c r="S101" i="4"/>
  <c r="S100" i="4"/>
  <c r="X99" i="4"/>
  <c r="S99" i="4"/>
  <c r="X98" i="4"/>
  <c r="S98" i="4"/>
  <c r="X97" i="4"/>
  <c r="S97" i="4"/>
  <c r="S96" i="4"/>
  <c r="S95" i="4"/>
  <c r="S94" i="4"/>
  <c r="S93" i="4"/>
  <c r="S92" i="4"/>
  <c r="X91" i="4"/>
  <c r="S91" i="4"/>
  <c r="S90" i="4"/>
  <c r="S89" i="4"/>
  <c r="S88" i="4"/>
  <c r="S87" i="4"/>
  <c r="S86" i="4"/>
  <c r="S85" i="4"/>
  <c r="S84" i="4"/>
  <c r="X83" i="4"/>
  <c r="S83" i="4"/>
  <c r="S82" i="4"/>
  <c r="S81" i="4"/>
  <c r="S80" i="4"/>
  <c r="S79" i="4"/>
  <c r="S78" i="4"/>
  <c r="S77" i="4"/>
  <c r="S76" i="4"/>
  <c r="X75" i="4"/>
  <c r="S75" i="4"/>
  <c r="S74" i="4"/>
  <c r="S73" i="4"/>
  <c r="S72" i="4"/>
  <c r="S71" i="4"/>
  <c r="S70" i="4"/>
  <c r="S69" i="4"/>
  <c r="S68" i="4"/>
  <c r="X67" i="4"/>
  <c r="S67" i="4"/>
  <c r="S66" i="4"/>
  <c r="S65" i="4"/>
  <c r="S64" i="4"/>
  <c r="S63" i="4"/>
  <c r="S62" i="4"/>
  <c r="S61" i="4"/>
  <c r="S60" i="4"/>
  <c r="X59" i="4"/>
  <c r="S59" i="4"/>
  <c r="S58" i="4"/>
  <c r="S57" i="4"/>
  <c r="S56" i="4"/>
  <c r="S55" i="4"/>
  <c r="S54" i="4"/>
  <c r="S53" i="4"/>
  <c r="S52" i="4"/>
  <c r="X51" i="4"/>
  <c r="S51" i="4"/>
  <c r="S50" i="4"/>
  <c r="S49" i="4"/>
  <c r="S48" i="4"/>
  <c r="S47" i="4"/>
  <c r="S46" i="4"/>
  <c r="S45" i="4"/>
  <c r="S44" i="4"/>
  <c r="X43" i="4"/>
  <c r="S43" i="4"/>
  <c r="S42" i="4"/>
  <c r="S41" i="4"/>
  <c r="S40" i="4"/>
  <c r="S39" i="4"/>
  <c r="S38" i="4"/>
  <c r="S37" i="4"/>
  <c r="S36" i="4"/>
  <c r="X35" i="4"/>
  <c r="S35" i="4"/>
  <c r="S34" i="4"/>
  <c r="S33" i="4"/>
  <c r="S32" i="4"/>
  <c r="S31" i="4"/>
  <c r="S30" i="4"/>
  <c r="S29" i="4"/>
  <c r="S28" i="4"/>
  <c r="X27" i="4"/>
  <c r="S27" i="4"/>
  <c r="X26" i="4"/>
  <c r="S26" i="4"/>
  <c r="S25" i="4"/>
  <c r="W24" i="4"/>
  <c r="Y24" i="4" s="1"/>
  <c r="X24" i="4"/>
  <c r="S24" i="4"/>
  <c r="S23" i="4"/>
  <c r="W22" i="4"/>
  <c r="Y22" i="4" s="1"/>
  <c r="S22" i="4"/>
  <c r="S21" i="4"/>
  <c r="S20" i="4"/>
  <c r="W20" i="4" s="1"/>
  <c r="Y20" i="4" s="1"/>
  <c r="S19" i="4"/>
  <c r="X18" i="4"/>
  <c r="S18" i="4"/>
  <c r="W18" i="4" s="1"/>
  <c r="Y18" i="4" s="1"/>
  <c r="S17" i="4"/>
  <c r="W16" i="4"/>
  <c r="Y16" i="4" s="1"/>
  <c r="X16" i="4"/>
  <c r="S16" i="4"/>
  <c r="S15" i="4"/>
  <c r="W14" i="4"/>
  <c r="Y14" i="4" s="1"/>
  <c r="S14" i="4"/>
  <c r="S13" i="4"/>
  <c r="S12" i="4"/>
  <c r="W12" i="4" s="1"/>
  <c r="Y12" i="4" s="1"/>
  <c r="S11" i="4"/>
  <c r="S10" i="4"/>
  <c r="W10" i="4" s="1"/>
  <c r="Y10" i="4" s="1"/>
  <c r="S9" i="4"/>
  <c r="W8" i="4"/>
  <c r="Y8" i="4" s="1"/>
  <c r="X8" i="4"/>
  <c r="S8" i="4"/>
  <c r="S7" i="4"/>
  <c r="W6" i="4"/>
  <c r="Y6" i="4" s="1"/>
  <c r="S6" i="4"/>
  <c r="T5" i="4"/>
  <c r="S5" i="4"/>
  <c r="S4" i="4"/>
  <c r="W4" i="4" s="1"/>
  <c r="Y4" i="4" s="1"/>
  <c r="S3" i="4"/>
  <c r="S2" i="4"/>
  <c r="V2" i="4" s="1"/>
  <c r="X213" i="4" l="1"/>
  <c r="X221" i="4"/>
  <c r="X229" i="4"/>
  <c r="X237" i="4"/>
  <c r="X245" i="4"/>
  <c r="X253" i="4"/>
  <c r="X261" i="4"/>
  <c r="X189" i="4"/>
  <c r="X181" i="4"/>
  <c r="X107" i="4"/>
  <c r="X197" i="4"/>
  <c r="V21" i="5"/>
  <c r="X21" i="5" s="1"/>
  <c r="V173" i="5"/>
  <c r="X173" i="5" s="1"/>
  <c r="V221" i="5"/>
  <c r="X221" i="5" s="1"/>
  <c r="W213" i="5"/>
  <c r="Y213" i="5" s="1"/>
  <c r="W189" i="5"/>
  <c r="Y189" i="5" s="1"/>
  <c r="W77" i="5"/>
  <c r="Y77" i="5" s="1"/>
  <c r="V277" i="5"/>
  <c r="X277" i="5" s="1"/>
  <c r="W29" i="5"/>
  <c r="Y29" i="5" s="1"/>
  <c r="W61" i="5"/>
  <c r="Y61" i="5" s="1"/>
  <c r="W275" i="5"/>
  <c r="Y275" i="5" s="1"/>
  <c r="W267" i="5"/>
  <c r="Y267" i="5" s="1"/>
  <c r="W259" i="5"/>
  <c r="Y259" i="5" s="1"/>
  <c r="W251" i="5"/>
  <c r="Y251" i="5" s="1"/>
  <c r="W243" i="5"/>
  <c r="Y243" i="5" s="1"/>
  <c r="W235" i="5"/>
  <c r="Y235" i="5" s="1"/>
  <c r="W219" i="5"/>
  <c r="Y219" i="5" s="1"/>
  <c r="W211" i="5"/>
  <c r="Y211" i="5" s="1"/>
  <c r="W203" i="5"/>
  <c r="Y203" i="5" s="1"/>
  <c r="W195" i="5"/>
  <c r="Y195" i="5" s="1"/>
  <c r="W187" i="5"/>
  <c r="Y187" i="5" s="1"/>
  <c r="W171" i="5"/>
  <c r="Y171" i="5" s="1"/>
  <c r="W163" i="5"/>
  <c r="Y163" i="5" s="1"/>
  <c r="W155" i="5"/>
  <c r="Y155" i="5" s="1"/>
  <c r="W93" i="5"/>
  <c r="Y93" i="5" s="1"/>
  <c r="W109" i="5"/>
  <c r="Y109" i="5" s="1"/>
  <c r="W149" i="5"/>
  <c r="Y149" i="5" s="1"/>
  <c r="V197" i="5"/>
  <c r="X197" i="5" s="1"/>
  <c r="W253" i="5"/>
  <c r="Y253" i="5" s="1"/>
  <c r="V274" i="5"/>
  <c r="X274" i="5" s="1"/>
  <c r="V242" i="5"/>
  <c r="X242" i="5" s="1"/>
  <c r="V234" i="5"/>
  <c r="X234" i="5" s="1"/>
  <c r="V226" i="5"/>
  <c r="X226" i="5" s="1"/>
  <c r="V210" i="5"/>
  <c r="X210" i="5" s="1"/>
  <c r="V202" i="5"/>
  <c r="X202" i="5" s="1"/>
  <c r="V178" i="5"/>
  <c r="X178" i="5" s="1"/>
  <c r="W21" i="5"/>
  <c r="Y21" i="5" s="1"/>
  <c r="W37" i="5"/>
  <c r="Y37" i="5" s="1"/>
  <c r="W53" i="5"/>
  <c r="Y53" i="5" s="1"/>
  <c r="V131" i="5"/>
  <c r="X131" i="5" s="1"/>
  <c r="W157" i="5"/>
  <c r="Y157" i="5" s="1"/>
  <c r="V245" i="5"/>
  <c r="X245" i="5" s="1"/>
  <c r="V179" i="5"/>
  <c r="X179" i="5" s="1"/>
  <c r="V211" i="5"/>
  <c r="X211" i="5" s="1"/>
  <c r="V130" i="5"/>
  <c r="X130" i="5" s="1"/>
  <c r="V259" i="5"/>
  <c r="X259" i="5" s="1"/>
  <c r="W226" i="5"/>
  <c r="Y226" i="5" s="1"/>
  <c r="W178" i="5"/>
  <c r="Y178" i="5" s="1"/>
  <c r="V162" i="5"/>
  <c r="X162" i="5" s="1"/>
  <c r="V187" i="5"/>
  <c r="X187" i="5" s="1"/>
  <c r="V194" i="5"/>
  <c r="X194" i="5" s="1"/>
  <c r="V219" i="5"/>
  <c r="X219" i="5" s="1"/>
  <c r="V250" i="5"/>
  <c r="X250" i="5" s="1"/>
  <c r="V154" i="5"/>
  <c r="X154" i="5" s="1"/>
  <c r="V251" i="5"/>
  <c r="X251" i="5" s="1"/>
  <c r="W234" i="5"/>
  <c r="Y234" i="5" s="1"/>
  <c r="W210" i="5"/>
  <c r="Y210" i="5" s="1"/>
  <c r="W274" i="5"/>
  <c r="Y274" i="5" s="1"/>
  <c r="V122" i="5"/>
  <c r="X122" i="5" s="1"/>
  <c r="V163" i="5"/>
  <c r="X163" i="5" s="1"/>
  <c r="V170" i="5"/>
  <c r="X170" i="5" s="1"/>
  <c r="V195" i="5"/>
  <c r="X195" i="5" s="1"/>
  <c r="V227" i="5"/>
  <c r="X227" i="5" s="1"/>
  <c r="W106" i="5"/>
  <c r="Y106" i="5" s="1"/>
  <c r="V146" i="5"/>
  <c r="X146" i="5" s="1"/>
  <c r="V155" i="5"/>
  <c r="X155" i="5" s="1"/>
  <c r="V243" i="5"/>
  <c r="X243" i="5" s="1"/>
  <c r="V275" i="5"/>
  <c r="X275" i="5" s="1"/>
  <c r="V26" i="5"/>
  <c r="X26" i="5" s="1"/>
  <c r="W98" i="5"/>
  <c r="Y98" i="5" s="1"/>
  <c r="V171" i="5"/>
  <c r="X171" i="5" s="1"/>
  <c r="V203" i="5"/>
  <c r="X203" i="5" s="1"/>
  <c r="V235" i="5"/>
  <c r="X235" i="5" s="1"/>
  <c r="V266" i="5"/>
  <c r="X266" i="5" s="1"/>
  <c r="W43" i="5"/>
  <c r="Y43" i="5" s="1"/>
  <c r="V43" i="5"/>
  <c r="X43" i="5" s="1"/>
  <c r="W67" i="5"/>
  <c r="Y67" i="5" s="1"/>
  <c r="V67" i="5"/>
  <c r="X67" i="5" s="1"/>
  <c r="W115" i="5"/>
  <c r="Y115" i="5" s="1"/>
  <c r="V115" i="5"/>
  <c r="X115" i="5" s="1"/>
  <c r="W11" i="5"/>
  <c r="Y11" i="5" s="1"/>
  <c r="V36" i="5"/>
  <c r="X36" i="5" s="1"/>
  <c r="W50" i="5"/>
  <c r="Y50" i="5" s="1"/>
  <c r="V60" i="5"/>
  <c r="X60" i="5" s="1"/>
  <c r="W74" i="5"/>
  <c r="Y74" i="5" s="1"/>
  <c r="W99" i="5"/>
  <c r="Y99" i="5" s="1"/>
  <c r="V99" i="5"/>
  <c r="X99" i="5" s="1"/>
  <c r="V127" i="5"/>
  <c r="X127" i="5" s="1"/>
  <c r="W5" i="5"/>
  <c r="Y5" i="5" s="1"/>
  <c r="W12" i="5"/>
  <c r="Y12" i="5" s="1"/>
  <c r="V12" i="5"/>
  <c r="X12" i="5" s="1"/>
  <c r="W19" i="5"/>
  <c r="Y19" i="5" s="1"/>
  <c r="V44" i="5"/>
  <c r="X44" i="5" s="1"/>
  <c r="W51" i="5"/>
  <c r="Y51" i="5" s="1"/>
  <c r="V51" i="5"/>
  <c r="X51" i="5" s="1"/>
  <c r="V68" i="5"/>
  <c r="X68" i="5" s="1"/>
  <c r="W75" i="5"/>
  <c r="Y75" i="5" s="1"/>
  <c r="V75" i="5"/>
  <c r="X75" i="5" s="1"/>
  <c r="W82" i="5"/>
  <c r="Y82" i="5" s="1"/>
  <c r="V116" i="5"/>
  <c r="X116" i="5" s="1"/>
  <c r="V5" i="5"/>
  <c r="X5" i="5" s="1"/>
  <c r="W27" i="5"/>
  <c r="Y27" i="5" s="1"/>
  <c r="V27" i="5"/>
  <c r="X27" i="5" s="1"/>
  <c r="W34" i="5"/>
  <c r="Y34" i="5" s="1"/>
  <c r="W58" i="5"/>
  <c r="Y58" i="5" s="1"/>
  <c r="V100" i="5"/>
  <c r="X100" i="5" s="1"/>
  <c r="W107" i="5"/>
  <c r="Y107" i="5" s="1"/>
  <c r="V107" i="5"/>
  <c r="X107" i="5" s="1"/>
  <c r="W20" i="5"/>
  <c r="Y20" i="5" s="1"/>
  <c r="V20" i="5"/>
  <c r="X20" i="5" s="1"/>
  <c r="W83" i="5"/>
  <c r="Y83" i="5" s="1"/>
  <c r="V83" i="5"/>
  <c r="X83" i="5" s="1"/>
  <c r="V13" i="5"/>
  <c r="X13" i="5" s="1"/>
  <c r="W35" i="5"/>
  <c r="Y35" i="5" s="1"/>
  <c r="V35" i="5"/>
  <c r="X35" i="5" s="1"/>
  <c r="W42" i="5"/>
  <c r="Y42" i="5" s="1"/>
  <c r="V52" i="5"/>
  <c r="X52" i="5" s="1"/>
  <c r="W59" i="5"/>
  <c r="Y59" i="5" s="1"/>
  <c r="V59" i="5"/>
  <c r="X59" i="5" s="1"/>
  <c r="W66" i="5"/>
  <c r="Y66" i="5" s="1"/>
  <c r="V76" i="5"/>
  <c r="X76" i="5" s="1"/>
  <c r="V114" i="5"/>
  <c r="X114" i="5" s="1"/>
  <c r="W91" i="5"/>
  <c r="Y91" i="5" s="1"/>
  <c r="V91" i="5"/>
  <c r="X91" i="5" s="1"/>
  <c r="W134" i="5"/>
  <c r="Y134" i="5" s="1"/>
  <c r="V134" i="5"/>
  <c r="X134" i="5" s="1"/>
  <c r="W151" i="5"/>
  <c r="Y151" i="5" s="1"/>
  <c r="V151" i="5"/>
  <c r="X151" i="5" s="1"/>
  <c r="V11" i="5"/>
  <c r="X11" i="5" s="1"/>
  <c r="V19" i="5"/>
  <c r="X19" i="5" s="1"/>
  <c r="V34" i="5"/>
  <c r="X34" i="5" s="1"/>
  <c r="V42" i="5"/>
  <c r="X42" i="5" s="1"/>
  <c r="V50" i="5"/>
  <c r="X50" i="5" s="1"/>
  <c r="V58" i="5"/>
  <c r="X58" i="5" s="1"/>
  <c r="V66" i="5"/>
  <c r="X66" i="5" s="1"/>
  <c r="V74" i="5"/>
  <c r="X74" i="5" s="1"/>
  <c r="V82" i="5"/>
  <c r="X82" i="5" s="1"/>
  <c r="V90" i="5"/>
  <c r="X90" i="5" s="1"/>
  <c r="V98" i="5"/>
  <c r="X98" i="5" s="1"/>
  <c r="V106" i="5"/>
  <c r="X106" i="5" s="1"/>
  <c r="V10" i="5"/>
  <c r="X10" i="5" s="1"/>
  <c r="V18" i="5"/>
  <c r="X18" i="5" s="1"/>
  <c r="V33" i="5"/>
  <c r="X33" i="5" s="1"/>
  <c r="V41" i="5"/>
  <c r="X41" i="5" s="1"/>
  <c r="V49" i="5"/>
  <c r="X49" i="5" s="1"/>
  <c r="V57" i="5"/>
  <c r="X57" i="5" s="1"/>
  <c r="V65" i="5"/>
  <c r="X65" i="5" s="1"/>
  <c r="V73" i="5"/>
  <c r="X73" i="5" s="1"/>
  <c r="V81" i="5"/>
  <c r="X81" i="5" s="1"/>
  <c r="V89" i="5"/>
  <c r="X89" i="5" s="1"/>
  <c r="V97" i="5"/>
  <c r="X97" i="5" s="1"/>
  <c r="W118" i="5"/>
  <c r="Y118" i="5" s="1"/>
  <c r="V118" i="5"/>
  <c r="X118" i="5" s="1"/>
  <c r="V9" i="5"/>
  <c r="X9" i="5" s="1"/>
  <c r="V17" i="5"/>
  <c r="X17" i="5" s="1"/>
  <c r="V25" i="5"/>
  <c r="X25" i="5" s="1"/>
  <c r="V32" i="5"/>
  <c r="X32" i="5" s="1"/>
  <c r="V40" i="5"/>
  <c r="X40" i="5" s="1"/>
  <c r="V64" i="5"/>
  <c r="X64" i="5" s="1"/>
  <c r="V72" i="5"/>
  <c r="X72" i="5" s="1"/>
  <c r="V80" i="5"/>
  <c r="X80" i="5" s="1"/>
  <c r="V88" i="5"/>
  <c r="X88" i="5" s="1"/>
  <c r="V96" i="5"/>
  <c r="X96" i="5" s="1"/>
  <c r="V104" i="5"/>
  <c r="X104" i="5" s="1"/>
  <c r="V112" i="5"/>
  <c r="X112" i="5" s="1"/>
  <c r="V135" i="5"/>
  <c r="X135" i="5" s="1"/>
  <c r="V152" i="5"/>
  <c r="X152" i="5" s="1"/>
  <c r="W126" i="5"/>
  <c r="Y126" i="5" s="1"/>
  <c r="V126" i="5"/>
  <c r="X126" i="5" s="1"/>
  <c r="W142" i="5"/>
  <c r="Y142" i="5" s="1"/>
  <c r="V142" i="5"/>
  <c r="X142" i="5" s="1"/>
  <c r="W159" i="5"/>
  <c r="Y159" i="5" s="1"/>
  <c r="V159" i="5"/>
  <c r="X159" i="5" s="1"/>
  <c r="W124" i="5"/>
  <c r="Y124" i="5" s="1"/>
  <c r="W132" i="5"/>
  <c r="Y132" i="5" s="1"/>
  <c r="W123" i="5"/>
  <c r="Y123" i="5" s="1"/>
  <c r="W139" i="5"/>
  <c r="Y139" i="5" s="1"/>
  <c r="W148" i="5"/>
  <c r="Y148" i="5" s="1"/>
  <c r="W156" i="5"/>
  <c r="Y156" i="5" s="1"/>
  <c r="W164" i="5"/>
  <c r="Y164" i="5" s="1"/>
  <c r="V125" i="5"/>
  <c r="X125" i="5" s="1"/>
  <c r="V133" i="5"/>
  <c r="X133" i="5" s="1"/>
  <c r="V141" i="5"/>
  <c r="X141" i="5" s="1"/>
  <c r="V150" i="5"/>
  <c r="X150" i="5" s="1"/>
  <c r="V158" i="5"/>
  <c r="X158" i="5" s="1"/>
  <c r="X157" i="4"/>
  <c r="W9" i="4"/>
  <c r="Y9" i="4" s="1"/>
  <c r="X9" i="4"/>
  <c r="X34" i="4"/>
  <c r="X50" i="4"/>
  <c r="X102" i="4"/>
  <c r="X36" i="4"/>
  <c r="X52" i="4"/>
  <c r="X68" i="4"/>
  <c r="X6" i="4"/>
  <c r="W15" i="4"/>
  <c r="Y15" i="4" s="1"/>
  <c r="X15" i="4"/>
  <c r="X22" i="4"/>
  <c r="X31" i="4"/>
  <c r="X40" i="4"/>
  <c r="X47" i="4"/>
  <c r="X56" i="4"/>
  <c r="X63" i="4"/>
  <c r="X72" i="4"/>
  <c r="X76" i="4"/>
  <c r="X84" i="4"/>
  <c r="X92" i="4"/>
  <c r="X100" i="4"/>
  <c r="W17" i="4"/>
  <c r="Y17" i="4" s="1"/>
  <c r="X17" i="4"/>
  <c r="X42" i="4"/>
  <c r="X90" i="4"/>
  <c r="X44" i="4"/>
  <c r="X108" i="4"/>
  <c r="Y5" i="4"/>
  <c r="X5" i="4"/>
  <c r="X12" i="4"/>
  <c r="W21" i="4"/>
  <c r="Y21" i="4" s="1"/>
  <c r="X21" i="4"/>
  <c r="X30" i="4"/>
  <c r="X37" i="4"/>
  <c r="X46" i="4"/>
  <c r="X53" i="4"/>
  <c r="X62" i="4"/>
  <c r="X69" i="4"/>
  <c r="X101" i="4"/>
  <c r="X115" i="4"/>
  <c r="X58" i="4"/>
  <c r="X74" i="4"/>
  <c r="X82" i="4"/>
  <c r="X3" i="4"/>
  <c r="W3" i="4"/>
  <c r="Y3" i="4" s="1"/>
  <c r="X19" i="4"/>
  <c r="W19" i="4"/>
  <c r="Y19" i="4" s="1"/>
  <c r="X28" i="4"/>
  <c r="X60" i="4"/>
  <c r="W7" i="4"/>
  <c r="Y7" i="4" s="1"/>
  <c r="X7" i="4"/>
  <c r="X14" i="4"/>
  <c r="W23" i="4"/>
  <c r="Y23" i="4" s="1"/>
  <c r="X23" i="4"/>
  <c r="X32" i="4"/>
  <c r="X39" i="4"/>
  <c r="X48" i="4"/>
  <c r="X55" i="4"/>
  <c r="X64" i="4"/>
  <c r="X71" i="4"/>
  <c r="X77" i="4"/>
  <c r="X85" i="4"/>
  <c r="X93" i="4"/>
  <c r="X137" i="4"/>
  <c r="W25" i="4"/>
  <c r="Y25" i="4" s="1"/>
  <c r="X25" i="4"/>
  <c r="X66" i="4"/>
  <c r="X11" i="4"/>
  <c r="W11" i="4"/>
  <c r="Y11" i="4" s="1"/>
  <c r="X119" i="4"/>
  <c r="X4" i="4"/>
  <c r="W13" i="4"/>
  <c r="Y13" i="4" s="1"/>
  <c r="X13" i="4"/>
  <c r="X20" i="4"/>
  <c r="X29" i="4"/>
  <c r="X38" i="4"/>
  <c r="X45" i="4"/>
  <c r="X54" i="4"/>
  <c r="X61" i="4"/>
  <c r="X70" i="4"/>
  <c r="X78" i="4"/>
  <c r="X86" i="4"/>
  <c r="X94" i="4"/>
  <c r="X123" i="4"/>
  <c r="X148" i="4"/>
  <c r="X152" i="4"/>
  <c r="X80" i="4"/>
  <c r="X88" i="4"/>
  <c r="X96" i="4"/>
  <c r="X104" i="4"/>
  <c r="X120" i="4"/>
  <c r="X136" i="4"/>
  <c r="X159" i="4"/>
  <c r="X144" i="4"/>
  <c r="X124" i="4"/>
  <c r="X129" i="4"/>
  <c r="X155" i="4"/>
  <c r="X160" i="4"/>
  <c r="X112" i="4"/>
  <c r="X147" i="4"/>
  <c r="X151" i="4"/>
  <c r="X156" i="4"/>
  <c r="X116" i="4"/>
  <c r="X143" i="4"/>
  <c r="X163" i="4"/>
  <c r="U198" i="3" l="1"/>
  <c r="U199" i="3"/>
  <c r="U96" i="1"/>
  <c r="U97" i="1"/>
  <c r="U98" i="1"/>
  <c r="S201" i="3"/>
  <c r="U76" i="1"/>
  <c r="U66" i="1"/>
  <c r="U289" i="3"/>
  <c r="U290" i="3"/>
  <c r="V290" i="3" s="1"/>
  <c r="X290" i="3" s="1"/>
  <c r="U291" i="3"/>
  <c r="Y291" i="3"/>
  <c r="U292" i="3"/>
  <c r="U293" i="3"/>
  <c r="V293" i="3" s="1"/>
  <c r="X293" i="3" s="1"/>
  <c r="U294" i="3"/>
  <c r="U295" i="3"/>
  <c r="U296" i="3"/>
  <c r="V296" i="3" s="1"/>
  <c r="X296" i="3" s="1"/>
  <c r="U297" i="3"/>
  <c r="V297" i="3" s="1"/>
  <c r="X297" i="3" s="1"/>
  <c r="U298" i="3"/>
  <c r="U299" i="3"/>
  <c r="U300" i="3"/>
  <c r="U301" i="3"/>
  <c r="Y302" i="3"/>
  <c r="U302" i="3"/>
  <c r="V302" i="3" s="1"/>
  <c r="X302" i="3" s="1"/>
  <c r="U303" i="3"/>
  <c r="V303" i="3" s="1"/>
  <c r="X303" i="3" s="1"/>
  <c r="Y303" i="3"/>
  <c r="U304" i="3"/>
  <c r="U305" i="3"/>
  <c r="U306" i="3"/>
  <c r="V306" i="3" s="1"/>
  <c r="X306" i="3" s="1"/>
  <c r="U307" i="3"/>
  <c r="Y307" i="3"/>
  <c r="S307" i="3"/>
  <c r="S306" i="3"/>
  <c r="S305" i="3"/>
  <c r="S304" i="3"/>
  <c r="S303" i="3"/>
  <c r="S302" i="3"/>
  <c r="S301" i="3"/>
  <c r="S300" i="3"/>
  <c r="S299" i="3"/>
  <c r="Y299" i="3" s="1"/>
  <c r="S298" i="3"/>
  <c r="S297" i="3"/>
  <c r="S296" i="3"/>
  <c r="S295" i="3"/>
  <c r="S294" i="3"/>
  <c r="S293" i="3"/>
  <c r="S292" i="3"/>
  <c r="S291" i="3"/>
  <c r="S290" i="3"/>
  <c r="S289" i="3"/>
  <c r="S263" i="3"/>
  <c r="S264" i="3"/>
  <c r="S265" i="3"/>
  <c r="S266" i="3"/>
  <c r="S267" i="3"/>
  <c r="Y267" i="3" s="1"/>
  <c r="S268" i="3"/>
  <c r="S269" i="3"/>
  <c r="S270" i="3"/>
  <c r="S271" i="3"/>
  <c r="S272" i="3"/>
  <c r="S273" i="3"/>
  <c r="S274" i="3"/>
  <c r="S275" i="3"/>
  <c r="Y275" i="3" s="1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62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9" i="3"/>
  <c r="U180" i="3"/>
  <c r="U181" i="3"/>
  <c r="U182" i="3"/>
  <c r="U183" i="3"/>
  <c r="U184" i="3"/>
  <c r="U185" i="3"/>
  <c r="U186" i="3"/>
  <c r="U188" i="3"/>
  <c r="U189" i="3"/>
  <c r="U190" i="3"/>
  <c r="U191" i="3"/>
  <c r="U192" i="3"/>
  <c r="U195" i="3"/>
  <c r="U196" i="3"/>
  <c r="U197" i="3"/>
  <c r="U200" i="3"/>
  <c r="U202" i="3"/>
  <c r="U203" i="3"/>
  <c r="U204" i="3"/>
  <c r="U205" i="3"/>
  <c r="U206" i="3"/>
  <c r="U207" i="3"/>
  <c r="U209" i="3"/>
  <c r="U210" i="3"/>
  <c r="U211" i="3"/>
  <c r="U212" i="3"/>
  <c r="U213" i="3"/>
  <c r="U214" i="3"/>
  <c r="U215" i="3"/>
  <c r="U216" i="3"/>
  <c r="U217" i="3"/>
  <c r="U218" i="3"/>
  <c r="U220" i="3"/>
  <c r="U221" i="3"/>
  <c r="U222" i="3"/>
  <c r="U224" i="3"/>
  <c r="U225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2" i="3"/>
  <c r="U253" i="3"/>
  <c r="U254" i="3"/>
  <c r="U255" i="3"/>
  <c r="U256" i="3"/>
  <c r="U257" i="3"/>
  <c r="U258" i="3"/>
  <c r="U259" i="3"/>
  <c r="U260" i="3"/>
  <c r="U261" i="3"/>
  <c r="U262" i="3"/>
  <c r="V262" i="3" s="1"/>
  <c r="X262" i="3" s="1"/>
  <c r="U263" i="3"/>
  <c r="V263" i="3" s="1"/>
  <c r="X263" i="3" s="1"/>
  <c r="U264" i="3"/>
  <c r="V264" i="3" s="1"/>
  <c r="X264" i="3" s="1"/>
  <c r="U265" i="3"/>
  <c r="V265" i="3" s="1"/>
  <c r="X265" i="3" s="1"/>
  <c r="Y266" i="3"/>
  <c r="U267" i="3"/>
  <c r="U268" i="3"/>
  <c r="U269" i="3"/>
  <c r="V269" i="3" s="1"/>
  <c r="X269" i="3" s="1"/>
  <c r="U270" i="3"/>
  <c r="V270" i="3" s="1"/>
  <c r="X270" i="3" s="1"/>
  <c r="U271" i="3"/>
  <c r="V271" i="3" s="1"/>
  <c r="X271" i="3" s="1"/>
  <c r="U272" i="3"/>
  <c r="V272" i="3" s="1"/>
  <c r="X272" i="3" s="1"/>
  <c r="U273" i="3"/>
  <c r="V273" i="3" s="1"/>
  <c r="X273" i="3" s="1"/>
  <c r="U274" i="3"/>
  <c r="V274" i="3" s="1"/>
  <c r="X274" i="3" s="1"/>
  <c r="U275" i="3"/>
  <c r="U276" i="3"/>
  <c r="U277" i="3"/>
  <c r="V277" i="3" s="1"/>
  <c r="X277" i="3" s="1"/>
  <c r="U278" i="3"/>
  <c r="V278" i="3" s="1"/>
  <c r="X278" i="3" s="1"/>
  <c r="U279" i="3"/>
  <c r="V279" i="3" s="1"/>
  <c r="X279" i="3" s="1"/>
  <c r="U280" i="3"/>
  <c r="V280" i="3" s="1"/>
  <c r="X280" i="3" s="1"/>
  <c r="U281" i="3"/>
  <c r="V281" i="3" s="1"/>
  <c r="X281" i="3" s="1"/>
  <c r="U282" i="3"/>
  <c r="V282" i="3" s="1"/>
  <c r="X282" i="3" s="1"/>
  <c r="U283" i="3"/>
  <c r="U284" i="3"/>
  <c r="U285" i="3"/>
  <c r="V285" i="3" s="1"/>
  <c r="X285" i="3" s="1"/>
  <c r="Y286" i="3"/>
  <c r="U287" i="3"/>
  <c r="V287" i="3" s="1"/>
  <c r="X287" i="3" s="1"/>
  <c r="U288" i="3"/>
  <c r="V288" i="3" s="1"/>
  <c r="X288" i="3" s="1"/>
  <c r="U152" i="3"/>
  <c r="U153" i="3"/>
  <c r="U154" i="3"/>
  <c r="U155" i="3"/>
  <c r="U156" i="3"/>
  <c r="U157" i="3"/>
  <c r="U158" i="3"/>
  <c r="Y265" i="3"/>
  <c r="Y273" i="3"/>
  <c r="Y274" i="3"/>
  <c r="Y280" i="3"/>
  <c r="Y282" i="3"/>
  <c r="Y287" i="3"/>
  <c r="U294" i="1"/>
  <c r="U288" i="1"/>
  <c r="U263" i="1"/>
  <c r="U264" i="1"/>
  <c r="W266" i="1"/>
  <c r="Y266" i="1" s="1"/>
  <c r="U269" i="1"/>
  <c r="U270" i="1"/>
  <c r="U271" i="1"/>
  <c r="U272" i="1"/>
  <c r="W274" i="1"/>
  <c r="Y274" i="1" s="1"/>
  <c r="U276" i="1"/>
  <c r="U277" i="1"/>
  <c r="U278" i="1"/>
  <c r="U279" i="1"/>
  <c r="U280" i="1"/>
  <c r="U285" i="1"/>
  <c r="U286" i="1"/>
  <c r="U287" i="1"/>
  <c r="V290" i="1"/>
  <c r="U293" i="1"/>
  <c r="U295" i="1"/>
  <c r="U296" i="1"/>
  <c r="U297" i="1"/>
  <c r="U301" i="1"/>
  <c r="U302" i="1"/>
  <c r="U303" i="1"/>
  <c r="U304" i="1"/>
  <c r="U305" i="1"/>
  <c r="U217" i="1"/>
  <c r="U218" i="1"/>
  <c r="U199" i="1"/>
  <c r="U200" i="1"/>
  <c r="U166" i="1"/>
  <c r="U255" i="1"/>
  <c r="U256" i="1"/>
  <c r="U259" i="1"/>
  <c r="U260" i="1"/>
  <c r="U261" i="1"/>
  <c r="U262" i="1"/>
  <c r="W77" i="1"/>
  <c r="Y77" i="1" s="1"/>
  <c r="U67" i="1"/>
  <c r="U68" i="1"/>
  <c r="U69" i="1"/>
  <c r="U70" i="1"/>
  <c r="U71" i="1"/>
  <c r="U72" i="1"/>
  <c r="U74" i="1"/>
  <c r="U75" i="1"/>
  <c r="U79" i="1"/>
  <c r="U81" i="1"/>
  <c r="U82" i="1"/>
  <c r="U83" i="1"/>
  <c r="U84" i="1"/>
  <c r="U87" i="1"/>
  <c r="U88" i="1"/>
  <c r="U89" i="1"/>
  <c r="U91" i="1"/>
  <c r="U92" i="1"/>
  <c r="U93" i="1"/>
  <c r="U100" i="1"/>
  <c r="U101" i="1"/>
  <c r="U102" i="1"/>
  <c r="U104" i="1"/>
  <c r="U105" i="1"/>
  <c r="U106" i="1"/>
  <c r="U107" i="1"/>
  <c r="U108" i="1"/>
  <c r="U109" i="1"/>
  <c r="U110" i="1"/>
  <c r="U112" i="1"/>
  <c r="U113" i="1"/>
  <c r="U114" i="1"/>
  <c r="U116" i="1"/>
  <c r="U117" i="1"/>
  <c r="V117" i="1" s="1"/>
  <c r="X117" i="1" s="1"/>
  <c r="U118" i="1"/>
  <c r="U120" i="1"/>
  <c r="U122" i="1"/>
  <c r="U123" i="1"/>
  <c r="U124" i="1"/>
  <c r="U125" i="1"/>
  <c r="V125" i="1" s="1"/>
  <c r="X125" i="1" s="1"/>
  <c r="U126" i="1"/>
  <c r="U127" i="1"/>
  <c r="U128" i="1"/>
  <c r="U129" i="1"/>
  <c r="U130" i="1"/>
  <c r="U131" i="1"/>
  <c r="U132" i="1"/>
  <c r="U133" i="1"/>
  <c r="V133" i="1" s="1"/>
  <c r="X133" i="1" s="1"/>
  <c r="U134" i="1"/>
  <c r="U135" i="1"/>
  <c r="U136" i="1"/>
  <c r="U138" i="1"/>
  <c r="U139" i="1"/>
  <c r="U140" i="1"/>
  <c r="U141" i="1"/>
  <c r="V141" i="1" s="1"/>
  <c r="X141" i="1" s="1"/>
  <c r="U144" i="1"/>
  <c r="U146" i="1"/>
  <c r="U147" i="1"/>
  <c r="U148" i="1"/>
  <c r="U149" i="1"/>
  <c r="V149" i="1" s="1"/>
  <c r="X149" i="1" s="1"/>
  <c r="U151" i="1"/>
  <c r="U152" i="1"/>
  <c r="U153" i="1"/>
  <c r="U154" i="1"/>
  <c r="U155" i="1"/>
  <c r="U156" i="1"/>
  <c r="U157" i="1"/>
  <c r="U159" i="1"/>
  <c r="U160" i="1"/>
  <c r="U161" i="1"/>
  <c r="U162" i="1"/>
  <c r="U163" i="1"/>
  <c r="U164" i="1"/>
  <c r="U165" i="1"/>
  <c r="U168" i="1"/>
  <c r="U169" i="1"/>
  <c r="U170" i="1"/>
  <c r="U172" i="1"/>
  <c r="U173" i="1"/>
  <c r="U174" i="1"/>
  <c r="V174" i="1" s="1"/>
  <c r="X174" i="1" s="1"/>
  <c r="U176" i="1"/>
  <c r="U177" i="1"/>
  <c r="U178" i="1"/>
  <c r="U180" i="1"/>
  <c r="U181" i="1"/>
  <c r="U183" i="1"/>
  <c r="U184" i="1"/>
  <c r="U185" i="1"/>
  <c r="U186" i="1"/>
  <c r="U187" i="1"/>
  <c r="U188" i="1"/>
  <c r="U189" i="1"/>
  <c r="U191" i="1"/>
  <c r="U192" i="1"/>
  <c r="U193" i="1"/>
  <c r="U194" i="1"/>
  <c r="U196" i="1"/>
  <c r="U197" i="1"/>
  <c r="U201" i="1"/>
  <c r="U202" i="1"/>
  <c r="U203" i="1"/>
  <c r="U204" i="1"/>
  <c r="U206" i="1"/>
  <c r="U207" i="1"/>
  <c r="V207" i="1" s="1"/>
  <c r="X207" i="1" s="1"/>
  <c r="U208" i="1"/>
  <c r="V208" i="1" s="1"/>
  <c r="X208" i="1" s="1"/>
  <c r="U209" i="1"/>
  <c r="U210" i="1"/>
  <c r="U211" i="1"/>
  <c r="U212" i="1"/>
  <c r="U213" i="1"/>
  <c r="U215" i="1"/>
  <c r="V215" i="1" s="1"/>
  <c r="X215" i="1" s="1"/>
  <c r="U216" i="1"/>
  <c r="V216" i="1" s="1"/>
  <c r="X216" i="1" s="1"/>
  <c r="U219" i="1"/>
  <c r="V219" i="1" s="1"/>
  <c r="X219" i="1" s="1"/>
  <c r="U220" i="1"/>
  <c r="V220" i="1" s="1"/>
  <c r="X220" i="1" s="1"/>
  <c r="U221" i="1"/>
  <c r="U223" i="1"/>
  <c r="U224" i="1"/>
  <c r="U225" i="1"/>
  <c r="U226" i="1"/>
  <c r="U227" i="1"/>
  <c r="V227" i="1" s="1"/>
  <c r="X227" i="1" s="1"/>
  <c r="U228" i="1"/>
  <c r="V228" i="1" s="1"/>
  <c r="X228" i="1" s="1"/>
  <c r="U229" i="1"/>
  <c r="U230" i="1"/>
  <c r="U231" i="1"/>
  <c r="U232" i="1"/>
  <c r="U233" i="1"/>
  <c r="U234" i="1"/>
  <c r="U235" i="1"/>
  <c r="V235" i="1" s="1"/>
  <c r="X235" i="1" s="1"/>
  <c r="U236" i="1"/>
  <c r="U237" i="1"/>
  <c r="U239" i="1"/>
  <c r="U240" i="1"/>
  <c r="U241" i="1"/>
  <c r="U242" i="1"/>
  <c r="U243" i="1"/>
  <c r="V243" i="1" s="1"/>
  <c r="X243" i="1" s="1"/>
  <c r="U244" i="1"/>
  <c r="U245" i="1"/>
  <c r="U248" i="1"/>
  <c r="U249" i="1"/>
  <c r="U250" i="1"/>
  <c r="U251" i="1"/>
  <c r="V251" i="1" s="1"/>
  <c r="X251" i="1" s="1"/>
  <c r="U252" i="1"/>
  <c r="V252" i="1" s="1"/>
  <c r="X252" i="1" s="1"/>
  <c r="U253" i="1"/>
  <c r="U52" i="1"/>
  <c r="U53" i="1"/>
  <c r="U54" i="1"/>
  <c r="U55" i="1"/>
  <c r="U56" i="1"/>
  <c r="U57" i="1"/>
  <c r="U58" i="1"/>
  <c r="U59" i="1"/>
  <c r="U60" i="1"/>
  <c r="U61" i="1"/>
  <c r="U62" i="1"/>
  <c r="U64" i="1"/>
  <c r="U65" i="1"/>
  <c r="W58" i="1"/>
  <c r="Y58" i="1" s="1"/>
  <c r="V136" i="1" l="1"/>
  <c r="X136" i="1" s="1"/>
  <c r="V120" i="1"/>
  <c r="X120" i="1" s="1"/>
  <c r="V93" i="1"/>
  <c r="X93" i="1" s="1"/>
  <c r="V69" i="1"/>
  <c r="X69" i="1" s="1"/>
  <c r="W86" i="1"/>
  <c r="Y86" i="1" s="1"/>
  <c r="V210" i="1"/>
  <c r="X210" i="1" s="1"/>
  <c r="W142" i="1"/>
  <c r="Y142" i="1" s="1"/>
  <c r="V134" i="1"/>
  <c r="X134" i="1" s="1"/>
  <c r="V126" i="1"/>
  <c r="X126" i="1" s="1"/>
  <c r="V118" i="1"/>
  <c r="X118" i="1" s="1"/>
  <c r="V102" i="1"/>
  <c r="X102" i="1" s="1"/>
  <c r="W78" i="1"/>
  <c r="Y78" i="1" s="1"/>
  <c r="W205" i="1"/>
  <c r="V76" i="1"/>
  <c r="X76" i="1" s="1"/>
  <c r="W59" i="1"/>
  <c r="Y59" i="1" s="1"/>
  <c r="V87" i="1"/>
  <c r="X87" i="1" s="1"/>
  <c r="V79" i="1"/>
  <c r="X79" i="1" s="1"/>
  <c r="V70" i="1"/>
  <c r="X70" i="1" s="1"/>
  <c r="V184" i="1"/>
  <c r="X184" i="1" s="1"/>
  <c r="V176" i="1"/>
  <c r="X176" i="1" s="1"/>
  <c r="V168" i="1"/>
  <c r="X168" i="1" s="1"/>
  <c r="W143" i="1"/>
  <c r="Y143" i="1" s="1"/>
  <c r="V127" i="1"/>
  <c r="X127" i="1" s="1"/>
  <c r="W119" i="1"/>
  <c r="Y119" i="1" s="1"/>
  <c r="W111" i="1"/>
  <c r="Y111" i="1" s="1"/>
  <c r="W103" i="1"/>
  <c r="Y103" i="1" s="1"/>
  <c r="W76" i="1"/>
  <c r="Y76" i="1" s="1"/>
  <c r="W292" i="1"/>
  <c r="Y292" i="1" s="1"/>
  <c r="V298" i="3"/>
  <c r="X298" i="3" s="1"/>
  <c r="Y284" i="3"/>
  <c r="Y268" i="3"/>
  <c r="Y298" i="3"/>
  <c r="V292" i="3"/>
  <c r="X292" i="3" s="1"/>
  <c r="V283" i="3"/>
  <c r="X283" i="3" s="1"/>
  <c r="V275" i="3"/>
  <c r="X275" i="3" s="1"/>
  <c r="V307" i="3"/>
  <c r="X307" i="3" s="1"/>
  <c r="V291" i="3"/>
  <c r="X291" i="3" s="1"/>
  <c r="V267" i="3"/>
  <c r="X267" i="3" s="1"/>
  <c r="V301" i="3"/>
  <c r="X301" i="3" s="1"/>
  <c r="Y295" i="3"/>
  <c r="Y306" i="3"/>
  <c r="V300" i="3"/>
  <c r="X300" i="3" s="1"/>
  <c r="V295" i="3"/>
  <c r="X295" i="3" s="1"/>
  <c r="Y290" i="3"/>
  <c r="V305" i="3"/>
  <c r="X305" i="3" s="1"/>
  <c r="V294" i="3"/>
  <c r="X294" i="3" s="1"/>
  <c r="V289" i="3"/>
  <c r="X289" i="3" s="1"/>
  <c r="U226" i="3"/>
  <c r="V304" i="3"/>
  <c r="X304" i="3" s="1"/>
  <c r="V299" i="3"/>
  <c r="X299" i="3" s="1"/>
  <c r="Y294" i="3"/>
  <c r="V66" i="1"/>
  <c r="W214" i="1"/>
  <c r="Y214" i="1" s="1"/>
  <c r="W247" i="1"/>
  <c r="Y247" i="1" s="1"/>
  <c r="V239" i="1"/>
  <c r="X239" i="1" s="1"/>
  <c r="V161" i="1"/>
  <c r="X161" i="1" s="1"/>
  <c r="V153" i="1"/>
  <c r="X153" i="1" s="1"/>
  <c r="V212" i="1"/>
  <c r="X212" i="1" s="1"/>
  <c r="V203" i="1"/>
  <c r="X203" i="1" s="1"/>
  <c r="V294" i="1"/>
  <c r="X294" i="1" s="1"/>
  <c r="V206" i="1"/>
  <c r="X206" i="1" s="1"/>
  <c r="V211" i="1"/>
  <c r="X211" i="1" s="1"/>
  <c r="V202" i="1"/>
  <c r="X202" i="1" s="1"/>
  <c r="W283" i="1"/>
  <c r="Y283" i="1" s="1"/>
  <c r="V279" i="1"/>
  <c r="X279" i="1" s="1"/>
  <c r="W167" i="1"/>
  <c r="Y167" i="1" s="1"/>
  <c r="W150" i="1"/>
  <c r="Y150" i="1" s="1"/>
  <c r="W60" i="1"/>
  <c r="Y60" i="1" s="1"/>
  <c r="W294" i="1"/>
  <c r="Y294" i="1" s="1"/>
  <c r="W55" i="1"/>
  <c r="Y55" i="1" s="1"/>
  <c r="V172" i="1"/>
  <c r="X172" i="1" s="1"/>
  <c r="W54" i="1"/>
  <c r="Y54" i="1" s="1"/>
  <c r="V248" i="1"/>
  <c r="X248" i="1" s="1"/>
  <c r="V240" i="1"/>
  <c r="X240" i="1" s="1"/>
  <c r="V232" i="1"/>
  <c r="X232" i="1" s="1"/>
  <c r="V224" i="1"/>
  <c r="X224" i="1" s="1"/>
  <c r="W195" i="1"/>
  <c r="Y195" i="1" s="1"/>
  <c r="V187" i="1"/>
  <c r="X187" i="1" s="1"/>
  <c r="W179" i="1"/>
  <c r="Y179" i="1" s="1"/>
  <c r="W171" i="1"/>
  <c r="Y171" i="1" s="1"/>
  <c r="V162" i="1"/>
  <c r="X162" i="1" s="1"/>
  <c r="V146" i="1"/>
  <c r="X146" i="1" s="1"/>
  <c r="V57" i="1"/>
  <c r="X57" i="1" s="1"/>
  <c r="W300" i="1"/>
  <c r="Y300" i="1" s="1"/>
  <c r="Y304" i="3"/>
  <c r="Y300" i="3"/>
  <c r="Y296" i="3"/>
  <c r="Y292" i="3"/>
  <c r="Y305" i="3"/>
  <c r="Y301" i="3"/>
  <c r="Y297" i="3"/>
  <c r="Y293" i="3"/>
  <c r="Y289" i="3"/>
  <c r="Y288" i="3"/>
  <c r="U286" i="3"/>
  <c r="V286" i="3" s="1"/>
  <c r="X286" i="3" s="1"/>
  <c r="Y283" i="3"/>
  <c r="Y281" i="3"/>
  <c r="V284" i="3"/>
  <c r="X284" i="3" s="1"/>
  <c r="V276" i="3"/>
  <c r="X276" i="3" s="1"/>
  <c r="V268" i="3"/>
  <c r="X268" i="3" s="1"/>
  <c r="Y279" i="3"/>
  <c r="Y278" i="3"/>
  <c r="Y276" i="3"/>
  <c r="Y272" i="3"/>
  <c r="Y271" i="3"/>
  <c r="Y270" i="3"/>
  <c r="U266" i="3"/>
  <c r="V266" i="3" s="1"/>
  <c r="X266" i="3" s="1"/>
  <c r="Y264" i="3"/>
  <c r="Y263" i="3"/>
  <c r="Y262" i="3"/>
  <c r="U251" i="3"/>
  <c r="U223" i="3"/>
  <c r="U219" i="3"/>
  <c r="U208" i="3"/>
  <c r="U194" i="3"/>
  <c r="U193" i="3"/>
  <c r="U187" i="3"/>
  <c r="U178" i="3"/>
  <c r="U177" i="3"/>
  <c r="Y277" i="3"/>
  <c r="Y269" i="3"/>
  <c r="Y285" i="3"/>
  <c r="U300" i="1"/>
  <c r="V300" i="1" s="1"/>
  <c r="X300" i="1" s="1"/>
  <c r="W57" i="1"/>
  <c r="Y57" i="1" s="1"/>
  <c r="W254" i="1"/>
  <c r="Y254" i="1" s="1"/>
  <c r="W246" i="1"/>
  <c r="Y246" i="1" s="1"/>
  <c r="W238" i="1"/>
  <c r="Y238" i="1" s="1"/>
  <c r="V230" i="1"/>
  <c r="X230" i="1" s="1"/>
  <c r="V301" i="1"/>
  <c r="X301" i="1" s="1"/>
  <c r="W56" i="1"/>
  <c r="Y56" i="1" s="1"/>
  <c r="V170" i="1"/>
  <c r="X170" i="1" s="1"/>
  <c r="W277" i="1"/>
  <c r="Y277" i="1" s="1"/>
  <c r="V138" i="1"/>
  <c r="X138" i="1" s="1"/>
  <c r="V98" i="1"/>
  <c r="X98" i="1" s="1"/>
  <c r="W73" i="1"/>
  <c r="Y73" i="1" s="1"/>
  <c r="V191" i="1"/>
  <c r="X191" i="1" s="1"/>
  <c r="V183" i="1"/>
  <c r="X183" i="1" s="1"/>
  <c r="W175" i="1"/>
  <c r="Y175" i="1" s="1"/>
  <c r="W145" i="1"/>
  <c r="Y145" i="1" s="1"/>
  <c r="W137" i="1"/>
  <c r="Y137" i="1" s="1"/>
  <c r="W121" i="1"/>
  <c r="Y121" i="1" s="1"/>
  <c r="V113" i="1"/>
  <c r="X113" i="1" s="1"/>
  <c r="V105" i="1"/>
  <c r="X105" i="1" s="1"/>
  <c r="V97" i="1"/>
  <c r="X97" i="1" s="1"/>
  <c r="V72" i="1"/>
  <c r="X72" i="1" s="1"/>
  <c r="V130" i="1"/>
  <c r="X130" i="1" s="1"/>
  <c r="V82" i="1"/>
  <c r="X82" i="1" s="1"/>
  <c r="V53" i="1"/>
  <c r="X53" i="1" s="1"/>
  <c r="W182" i="1"/>
  <c r="Y182" i="1" s="1"/>
  <c r="U167" i="1"/>
  <c r="V167" i="1" s="1"/>
  <c r="X167" i="1" s="1"/>
  <c r="V166" i="1"/>
  <c r="X166" i="1" s="1"/>
  <c r="W284" i="1"/>
  <c r="Y284" i="1" s="1"/>
  <c r="V280" i="1"/>
  <c r="X280" i="1" s="1"/>
  <c r="V114" i="1"/>
  <c r="X114" i="1" s="1"/>
  <c r="W52" i="1"/>
  <c r="Y52" i="1" s="1"/>
  <c r="V276" i="1"/>
  <c r="X276" i="1" s="1"/>
  <c r="W67" i="1"/>
  <c r="Y67" i="1" s="1"/>
  <c r="U175" i="1"/>
  <c r="V175" i="1" s="1"/>
  <c r="X175" i="1" s="1"/>
  <c r="W166" i="1"/>
  <c r="Y166" i="1" s="1"/>
  <c r="V293" i="1"/>
  <c r="X293" i="1" s="1"/>
  <c r="V197" i="1"/>
  <c r="X197" i="1" s="1"/>
  <c r="V189" i="1"/>
  <c r="X189" i="1" s="1"/>
  <c r="V181" i="1"/>
  <c r="X181" i="1" s="1"/>
  <c r="V139" i="1"/>
  <c r="X139" i="1" s="1"/>
  <c r="W301" i="1"/>
  <c r="Y301" i="1" s="1"/>
  <c r="W282" i="1"/>
  <c r="Y282" i="1" s="1"/>
  <c r="W275" i="1"/>
  <c r="Y275" i="1" s="1"/>
  <c r="V271" i="1"/>
  <c r="X271" i="1" s="1"/>
  <c r="W267" i="1"/>
  <c r="Y267" i="1" s="1"/>
  <c r="V263" i="1"/>
  <c r="X263" i="1" s="1"/>
  <c r="V213" i="1"/>
  <c r="X213" i="1" s="1"/>
  <c r="V204" i="1"/>
  <c r="X204" i="1" s="1"/>
  <c r="V123" i="1"/>
  <c r="X123" i="1" s="1"/>
  <c r="W115" i="1"/>
  <c r="Y115" i="1" s="1"/>
  <c r="V107" i="1"/>
  <c r="X107" i="1" s="1"/>
  <c r="W99" i="1"/>
  <c r="Y99" i="1" s="1"/>
  <c r="V83" i="1"/>
  <c r="X83" i="1" s="1"/>
  <c r="W136" i="1"/>
  <c r="Y136" i="1" s="1"/>
  <c r="W304" i="1"/>
  <c r="Y304" i="1" s="1"/>
  <c r="W289" i="1"/>
  <c r="Y289" i="1" s="1"/>
  <c r="V173" i="1"/>
  <c r="X173" i="1" s="1"/>
  <c r="V296" i="1"/>
  <c r="X296" i="1" s="1"/>
  <c r="W291" i="1"/>
  <c r="Y291" i="1" s="1"/>
  <c r="V255" i="1"/>
  <c r="X255" i="1" s="1"/>
  <c r="V302" i="1"/>
  <c r="X302" i="1" s="1"/>
  <c r="V295" i="1"/>
  <c r="X295" i="1" s="1"/>
  <c r="V164" i="1"/>
  <c r="X164" i="1" s="1"/>
  <c r="V156" i="1"/>
  <c r="X156" i="1" s="1"/>
  <c r="V148" i="1"/>
  <c r="X148" i="1" s="1"/>
  <c r="W276" i="1"/>
  <c r="Y276" i="1" s="1"/>
  <c r="V304" i="1"/>
  <c r="X304" i="1" s="1"/>
  <c r="V303" i="1"/>
  <c r="X303" i="1" s="1"/>
  <c r="W299" i="1"/>
  <c r="Y299" i="1" s="1"/>
  <c r="W290" i="1"/>
  <c r="Y290" i="1" s="1"/>
  <c r="V288" i="1"/>
  <c r="X288" i="1" s="1"/>
  <c r="W303" i="1"/>
  <c r="Y303" i="1" s="1"/>
  <c r="W302" i="1"/>
  <c r="Y302" i="1" s="1"/>
  <c r="U299" i="1"/>
  <c r="V299" i="1" s="1"/>
  <c r="X299" i="1" s="1"/>
  <c r="W295" i="1"/>
  <c r="Y295" i="1" s="1"/>
  <c r="U292" i="1"/>
  <c r="V292" i="1" s="1"/>
  <c r="X292" i="1" s="1"/>
  <c r="W293" i="1"/>
  <c r="Y293" i="1" s="1"/>
  <c r="U291" i="1"/>
  <c r="V291" i="1" s="1"/>
  <c r="X291" i="1" s="1"/>
  <c r="X290" i="1"/>
  <c r="U289" i="1"/>
  <c r="V289" i="1" s="1"/>
  <c r="X289" i="1" s="1"/>
  <c r="W288" i="1"/>
  <c r="Y288" i="1" s="1"/>
  <c r="V287" i="1"/>
  <c r="X287" i="1" s="1"/>
  <c r="V286" i="1"/>
  <c r="X286" i="1" s="1"/>
  <c r="V285" i="1"/>
  <c r="X285" i="1" s="1"/>
  <c r="V278" i="1"/>
  <c r="X278" i="1" s="1"/>
  <c r="V277" i="1"/>
  <c r="X277" i="1" s="1"/>
  <c r="V270" i="1"/>
  <c r="X270" i="1" s="1"/>
  <c r="V269" i="1"/>
  <c r="X269" i="1" s="1"/>
  <c r="W268" i="1"/>
  <c r="Y268" i="1" s="1"/>
  <c r="V262" i="1"/>
  <c r="X262" i="1" s="1"/>
  <c r="V261" i="1"/>
  <c r="X261" i="1" s="1"/>
  <c r="V260" i="1"/>
  <c r="X260" i="1" s="1"/>
  <c r="V259" i="1"/>
  <c r="X259" i="1" s="1"/>
  <c r="W286" i="1"/>
  <c r="Y286" i="1" s="1"/>
  <c r="U284" i="1"/>
  <c r="V284" i="1" s="1"/>
  <c r="X284" i="1" s="1"/>
  <c r="W285" i="1"/>
  <c r="Y285" i="1" s="1"/>
  <c r="U283" i="1"/>
  <c r="V283" i="1" s="1"/>
  <c r="X283" i="1" s="1"/>
  <c r="U282" i="1"/>
  <c r="V282" i="1" s="1"/>
  <c r="X282" i="1" s="1"/>
  <c r="W280" i="1"/>
  <c r="Y280" i="1" s="1"/>
  <c r="W279" i="1"/>
  <c r="Y279" i="1" s="1"/>
  <c r="W278" i="1"/>
  <c r="Y278" i="1" s="1"/>
  <c r="U275" i="1"/>
  <c r="V275" i="1" s="1"/>
  <c r="X275" i="1" s="1"/>
  <c r="W272" i="1"/>
  <c r="Y272" i="1" s="1"/>
  <c r="W271" i="1"/>
  <c r="Y271" i="1" s="1"/>
  <c r="W270" i="1"/>
  <c r="Y270" i="1" s="1"/>
  <c r="W269" i="1"/>
  <c r="Y269" i="1" s="1"/>
  <c r="U268" i="1"/>
  <c r="V268" i="1" s="1"/>
  <c r="X268" i="1" s="1"/>
  <c r="U267" i="1"/>
  <c r="V267" i="1" s="1"/>
  <c r="X267" i="1" s="1"/>
  <c r="U266" i="1"/>
  <c r="V266" i="1" s="1"/>
  <c r="X266" i="1" s="1"/>
  <c r="W262" i="1"/>
  <c r="Y262" i="1" s="1"/>
  <c r="W261" i="1"/>
  <c r="Y261" i="1" s="1"/>
  <c r="W260" i="1"/>
  <c r="Y260" i="1" s="1"/>
  <c r="W307" i="1"/>
  <c r="Y307" i="1" s="1"/>
  <c r="U307" i="1"/>
  <c r="V307" i="1" s="1"/>
  <c r="X307" i="1" s="1"/>
  <c r="U273" i="1"/>
  <c r="V273" i="1" s="1"/>
  <c r="X273" i="1" s="1"/>
  <c r="W273" i="1"/>
  <c r="Y273" i="1" s="1"/>
  <c r="U265" i="1"/>
  <c r="V265" i="1" s="1"/>
  <c r="X265" i="1" s="1"/>
  <c r="W265" i="1"/>
  <c r="Y265" i="1" s="1"/>
  <c r="U281" i="1"/>
  <c r="V281" i="1" s="1"/>
  <c r="X281" i="1" s="1"/>
  <c r="W281" i="1"/>
  <c r="Y281" i="1" s="1"/>
  <c r="U298" i="1"/>
  <c r="V298" i="1" s="1"/>
  <c r="X298" i="1" s="1"/>
  <c r="W298" i="1"/>
  <c r="Y298" i="1" s="1"/>
  <c r="U306" i="1"/>
  <c r="V306" i="1" s="1"/>
  <c r="X306" i="1" s="1"/>
  <c r="W306" i="1"/>
  <c r="Y306" i="1" s="1"/>
  <c r="V297" i="1"/>
  <c r="X297" i="1" s="1"/>
  <c r="V272" i="1"/>
  <c r="X272" i="1" s="1"/>
  <c r="V305" i="1"/>
  <c r="X305" i="1" s="1"/>
  <c r="U274" i="1"/>
  <c r="V274" i="1" s="1"/>
  <c r="X274" i="1" s="1"/>
  <c r="V264" i="1"/>
  <c r="X264" i="1" s="1"/>
  <c r="W264" i="1"/>
  <c r="Y264" i="1" s="1"/>
  <c r="W296" i="1"/>
  <c r="Y296" i="1" s="1"/>
  <c r="W287" i="1"/>
  <c r="Y287" i="1" s="1"/>
  <c r="W263" i="1"/>
  <c r="Y263" i="1" s="1"/>
  <c r="W305" i="1"/>
  <c r="Y305" i="1" s="1"/>
  <c r="W297" i="1"/>
  <c r="Y297" i="1" s="1"/>
  <c r="W258" i="1"/>
  <c r="Y258" i="1" s="1"/>
  <c r="W257" i="1"/>
  <c r="Y257" i="1" s="1"/>
  <c r="V256" i="1"/>
  <c r="X256" i="1" s="1"/>
  <c r="V253" i="1"/>
  <c r="X253" i="1" s="1"/>
  <c r="V250" i="1"/>
  <c r="X250" i="1" s="1"/>
  <c r="V245" i="1"/>
  <c r="X245" i="1" s="1"/>
  <c r="V244" i="1"/>
  <c r="X244" i="1" s="1"/>
  <c r="V242" i="1"/>
  <c r="X242" i="1" s="1"/>
  <c r="V237" i="1"/>
  <c r="X237" i="1" s="1"/>
  <c r="V236" i="1"/>
  <c r="X236" i="1" s="1"/>
  <c r="V234" i="1"/>
  <c r="X234" i="1" s="1"/>
  <c r="V231" i="1"/>
  <c r="X231" i="1" s="1"/>
  <c r="W259" i="1"/>
  <c r="Y259" i="1" s="1"/>
  <c r="U258" i="1"/>
  <c r="V258" i="1" s="1"/>
  <c r="X258" i="1" s="1"/>
  <c r="U257" i="1"/>
  <c r="V257" i="1" s="1"/>
  <c r="X257" i="1" s="1"/>
  <c r="W256" i="1"/>
  <c r="Y256" i="1" s="1"/>
  <c r="W255" i="1"/>
  <c r="Y255" i="1" s="1"/>
  <c r="U238" i="1"/>
  <c r="V238" i="1" s="1"/>
  <c r="X238" i="1" s="1"/>
  <c r="W232" i="1"/>
  <c r="Y232" i="1" s="1"/>
  <c r="V229" i="1"/>
  <c r="X229" i="1" s="1"/>
  <c r="V226" i="1"/>
  <c r="X226" i="1" s="1"/>
  <c r="V223" i="1"/>
  <c r="X223" i="1" s="1"/>
  <c r="W222" i="1"/>
  <c r="Y222" i="1" s="1"/>
  <c r="V221" i="1"/>
  <c r="X221" i="1" s="1"/>
  <c r="V218" i="1"/>
  <c r="X218" i="1" s="1"/>
  <c r="V217" i="1"/>
  <c r="X217" i="1" s="1"/>
  <c r="V200" i="1"/>
  <c r="X200" i="1" s="1"/>
  <c r="V199" i="1"/>
  <c r="X199" i="1" s="1"/>
  <c r="W198" i="1"/>
  <c r="Y198" i="1" s="1"/>
  <c r="V194" i="1"/>
  <c r="X194" i="1" s="1"/>
  <c r="V192" i="1"/>
  <c r="X192" i="1" s="1"/>
  <c r="W190" i="1"/>
  <c r="Y190" i="1" s="1"/>
  <c r="V186" i="1"/>
  <c r="X186" i="1" s="1"/>
  <c r="V178" i="1"/>
  <c r="X178" i="1" s="1"/>
  <c r="W174" i="1"/>
  <c r="Y174" i="1" s="1"/>
  <c r="U222" i="1"/>
  <c r="V222" i="1" s="1"/>
  <c r="X222" i="1" s="1"/>
  <c r="W219" i="1"/>
  <c r="Y219" i="1" s="1"/>
  <c r="W218" i="1"/>
  <c r="Y218" i="1" s="1"/>
  <c r="W217" i="1"/>
  <c r="Y217" i="1" s="1"/>
  <c r="W230" i="1"/>
  <c r="Y230" i="1" s="1"/>
  <c r="U214" i="1"/>
  <c r="V214" i="1" s="1"/>
  <c r="X214" i="1" s="1"/>
  <c r="W224" i="1"/>
  <c r="Y224" i="1" s="1"/>
  <c r="W253" i="1"/>
  <c r="Y253" i="1" s="1"/>
  <c r="U254" i="1"/>
  <c r="V254" i="1" s="1"/>
  <c r="X254" i="1" s="1"/>
  <c r="U247" i="1"/>
  <c r="V247" i="1" s="1"/>
  <c r="X247" i="1" s="1"/>
  <c r="W240" i="1"/>
  <c r="Y240" i="1" s="1"/>
  <c r="U246" i="1"/>
  <c r="V246" i="1" s="1"/>
  <c r="X246" i="1" s="1"/>
  <c r="W239" i="1"/>
  <c r="Y239" i="1" s="1"/>
  <c r="W231" i="1"/>
  <c r="Y231" i="1" s="1"/>
  <c r="W223" i="1"/>
  <c r="Y223" i="1" s="1"/>
  <c r="W215" i="1"/>
  <c r="Y215" i="1" s="1"/>
  <c r="W207" i="1"/>
  <c r="Y207" i="1" s="1"/>
  <c r="W206" i="1"/>
  <c r="Y206" i="1" s="1"/>
  <c r="W204" i="1"/>
  <c r="Y204" i="1" s="1"/>
  <c r="W252" i="1"/>
  <c r="Y252" i="1" s="1"/>
  <c r="W203" i="1"/>
  <c r="Y203" i="1" s="1"/>
  <c r="W245" i="1"/>
  <c r="Y245" i="1" s="1"/>
  <c r="W237" i="1"/>
  <c r="Y237" i="1" s="1"/>
  <c r="W229" i="1"/>
  <c r="Y229" i="1" s="1"/>
  <c r="W221" i="1"/>
  <c r="Y221" i="1" s="1"/>
  <c r="W213" i="1"/>
  <c r="Y213" i="1" s="1"/>
  <c r="W202" i="1"/>
  <c r="Y202" i="1" s="1"/>
  <c r="W251" i="1"/>
  <c r="Y251" i="1" s="1"/>
  <c r="W244" i="1"/>
  <c r="Y244" i="1" s="1"/>
  <c r="W220" i="1"/>
  <c r="Y220" i="1" s="1"/>
  <c r="W212" i="1"/>
  <c r="Y212" i="1" s="1"/>
  <c r="W243" i="1"/>
  <c r="Y243" i="1" s="1"/>
  <c r="W236" i="1"/>
  <c r="Y236" i="1" s="1"/>
  <c r="W228" i="1"/>
  <c r="Y228" i="1" s="1"/>
  <c r="W211" i="1"/>
  <c r="Y211" i="1" s="1"/>
  <c r="W250" i="1"/>
  <c r="Y250" i="1" s="1"/>
  <c r="W242" i="1"/>
  <c r="Y242" i="1" s="1"/>
  <c r="W235" i="1"/>
  <c r="Y235" i="1" s="1"/>
  <c r="W227" i="1"/>
  <c r="Y227" i="1" s="1"/>
  <c r="W210" i="1"/>
  <c r="Y210" i="1" s="1"/>
  <c r="W248" i="1"/>
  <c r="Y248" i="1" s="1"/>
  <c r="W234" i="1"/>
  <c r="Y234" i="1" s="1"/>
  <c r="W226" i="1"/>
  <c r="Y226" i="1" s="1"/>
  <c r="W216" i="1"/>
  <c r="Y216" i="1" s="1"/>
  <c r="W208" i="1"/>
  <c r="Y208" i="1" s="1"/>
  <c r="W249" i="1"/>
  <c r="Y249" i="1" s="1"/>
  <c r="W241" i="1"/>
  <c r="Y241" i="1" s="1"/>
  <c r="W233" i="1"/>
  <c r="Y233" i="1" s="1"/>
  <c r="W225" i="1"/>
  <c r="Y225" i="1" s="1"/>
  <c r="W209" i="1"/>
  <c r="Y209" i="1" s="1"/>
  <c r="W201" i="1"/>
  <c r="Y201" i="1" s="1"/>
  <c r="W200" i="1"/>
  <c r="Y200" i="1" s="1"/>
  <c r="U198" i="1"/>
  <c r="V198" i="1" s="1"/>
  <c r="X198" i="1" s="1"/>
  <c r="W199" i="1"/>
  <c r="Y199" i="1" s="1"/>
  <c r="W197" i="1"/>
  <c r="Y197" i="1" s="1"/>
  <c r="W180" i="1"/>
  <c r="Y180" i="1" s="1"/>
  <c r="U179" i="1"/>
  <c r="V179" i="1" s="1"/>
  <c r="X179" i="1" s="1"/>
  <c r="U182" i="1"/>
  <c r="V182" i="1" s="1"/>
  <c r="X182" i="1" s="1"/>
  <c r="U142" i="1"/>
  <c r="V142" i="1" s="1"/>
  <c r="X142" i="1" s="1"/>
  <c r="W192" i="1"/>
  <c r="Y192" i="1" s="1"/>
  <c r="U195" i="1"/>
  <c r="V195" i="1" s="1"/>
  <c r="X195" i="1" s="1"/>
  <c r="U143" i="1"/>
  <c r="V143" i="1" s="1"/>
  <c r="X143" i="1" s="1"/>
  <c r="U137" i="1"/>
  <c r="V137" i="1" s="1"/>
  <c r="X137" i="1" s="1"/>
  <c r="W186" i="1"/>
  <c r="Y186" i="1" s="1"/>
  <c r="U190" i="1"/>
  <c r="V190" i="1" s="1"/>
  <c r="X190" i="1" s="1"/>
  <c r="V116" i="1"/>
  <c r="X116" i="1" s="1"/>
  <c r="V92" i="1"/>
  <c r="X92" i="1" s="1"/>
  <c r="W191" i="1"/>
  <c r="Y191" i="1" s="1"/>
  <c r="W178" i="1"/>
  <c r="Y178" i="1" s="1"/>
  <c r="W187" i="1"/>
  <c r="Y187" i="1" s="1"/>
  <c r="V58" i="1"/>
  <c r="X58" i="1" s="1"/>
  <c r="V54" i="1"/>
  <c r="X54" i="1" s="1"/>
  <c r="V180" i="1"/>
  <c r="X180" i="1" s="1"/>
  <c r="V163" i="1"/>
  <c r="X163" i="1" s="1"/>
  <c r="U115" i="1"/>
  <c r="V115" i="1" s="1"/>
  <c r="X115" i="1" s="1"/>
  <c r="W184" i="1"/>
  <c r="Y184" i="1" s="1"/>
  <c r="W193" i="1"/>
  <c r="Y193" i="1" s="1"/>
  <c r="W185" i="1"/>
  <c r="Y185" i="1" s="1"/>
  <c r="W177" i="1"/>
  <c r="Y177" i="1" s="1"/>
  <c r="W160" i="1"/>
  <c r="Y160" i="1" s="1"/>
  <c r="V155" i="1"/>
  <c r="X155" i="1" s="1"/>
  <c r="V147" i="1"/>
  <c r="X147" i="1" s="1"/>
  <c r="U121" i="1"/>
  <c r="V121" i="1" s="1"/>
  <c r="X121" i="1" s="1"/>
  <c r="W189" i="1"/>
  <c r="Y189" i="1" s="1"/>
  <c r="W176" i="1"/>
  <c r="Y176" i="1" s="1"/>
  <c r="V188" i="1"/>
  <c r="X188" i="1" s="1"/>
  <c r="W196" i="1"/>
  <c r="Y196" i="1" s="1"/>
  <c r="W183" i="1"/>
  <c r="Y183" i="1" s="1"/>
  <c r="V140" i="1"/>
  <c r="X140" i="1" s="1"/>
  <c r="W188" i="1"/>
  <c r="Y188" i="1" s="1"/>
  <c r="W181" i="1"/>
  <c r="Y181" i="1" s="1"/>
  <c r="W163" i="1"/>
  <c r="Y163" i="1" s="1"/>
  <c r="V165" i="1"/>
  <c r="X165" i="1" s="1"/>
  <c r="V56" i="1"/>
  <c r="X56" i="1" s="1"/>
  <c r="V52" i="1"/>
  <c r="X52" i="1" s="1"/>
  <c r="V196" i="1"/>
  <c r="X196" i="1" s="1"/>
  <c r="V132" i="1"/>
  <c r="X132" i="1" s="1"/>
  <c r="W194" i="1"/>
  <c r="Y194" i="1" s="1"/>
  <c r="W165" i="1"/>
  <c r="Y165" i="1" s="1"/>
  <c r="V159" i="1"/>
  <c r="X159" i="1" s="1"/>
  <c r="W158" i="1"/>
  <c r="Y158" i="1" s="1"/>
  <c r="V157" i="1"/>
  <c r="X157" i="1" s="1"/>
  <c r="W157" i="1"/>
  <c r="Y157" i="1" s="1"/>
  <c r="V154" i="1"/>
  <c r="X154" i="1" s="1"/>
  <c r="V151" i="1"/>
  <c r="X151" i="1" s="1"/>
  <c r="V185" i="1"/>
  <c r="X185" i="1" s="1"/>
  <c r="V209" i="1"/>
  <c r="X209" i="1" s="1"/>
  <c r="V225" i="1"/>
  <c r="X225" i="1" s="1"/>
  <c r="V193" i="1"/>
  <c r="X193" i="1" s="1"/>
  <c r="W169" i="1"/>
  <c r="Y169" i="1" s="1"/>
  <c r="V241" i="1"/>
  <c r="X241" i="1" s="1"/>
  <c r="V201" i="1"/>
  <c r="X201" i="1" s="1"/>
  <c r="V169" i="1"/>
  <c r="X169" i="1" s="1"/>
  <c r="V249" i="1"/>
  <c r="X249" i="1" s="1"/>
  <c r="V233" i="1"/>
  <c r="X233" i="1" s="1"/>
  <c r="V160" i="1"/>
  <c r="X160" i="1" s="1"/>
  <c r="V177" i="1"/>
  <c r="X177" i="1" s="1"/>
  <c r="V152" i="1"/>
  <c r="X152" i="1" s="1"/>
  <c r="W173" i="1"/>
  <c r="Y173" i="1" s="1"/>
  <c r="U171" i="1"/>
  <c r="V171" i="1" s="1"/>
  <c r="X171" i="1" s="1"/>
  <c r="W172" i="1"/>
  <c r="Y172" i="1" s="1"/>
  <c r="W170" i="1"/>
  <c r="Y170" i="1" s="1"/>
  <c r="W168" i="1"/>
  <c r="Y168" i="1" s="1"/>
  <c r="W164" i="1"/>
  <c r="Y164" i="1" s="1"/>
  <c r="W162" i="1"/>
  <c r="Y162" i="1" s="1"/>
  <c r="W161" i="1"/>
  <c r="Y161" i="1" s="1"/>
  <c r="W159" i="1"/>
  <c r="Y159" i="1" s="1"/>
  <c r="U158" i="1"/>
  <c r="V158" i="1" s="1"/>
  <c r="X158" i="1" s="1"/>
  <c r="W156" i="1"/>
  <c r="Y156" i="1" s="1"/>
  <c r="W155" i="1"/>
  <c r="Y155" i="1" s="1"/>
  <c r="W154" i="1"/>
  <c r="Y154" i="1" s="1"/>
  <c r="W152" i="1"/>
  <c r="Y152" i="1" s="1"/>
  <c r="W153" i="1"/>
  <c r="Y153" i="1" s="1"/>
  <c r="W151" i="1"/>
  <c r="Y151" i="1" s="1"/>
  <c r="U150" i="1"/>
  <c r="V150" i="1" s="1"/>
  <c r="X150" i="1" s="1"/>
  <c r="W149" i="1"/>
  <c r="Y149" i="1" s="1"/>
  <c r="W148" i="1"/>
  <c r="Y148" i="1" s="1"/>
  <c r="W147" i="1"/>
  <c r="Y147" i="1" s="1"/>
  <c r="W146" i="1"/>
  <c r="Y146" i="1" s="1"/>
  <c r="V144" i="1"/>
  <c r="X144" i="1" s="1"/>
  <c r="V135" i="1"/>
  <c r="X135" i="1" s="1"/>
  <c r="V131" i="1"/>
  <c r="X131" i="1" s="1"/>
  <c r="V129" i="1"/>
  <c r="X129" i="1" s="1"/>
  <c r="W129" i="1"/>
  <c r="Y129" i="1" s="1"/>
  <c r="V128" i="1"/>
  <c r="X128" i="1" s="1"/>
  <c r="W126" i="1"/>
  <c r="Y126" i="1" s="1"/>
  <c r="V124" i="1"/>
  <c r="X124" i="1" s="1"/>
  <c r="V122" i="1"/>
  <c r="X122" i="1" s="1"/>
  <c r="U145" i="1"/>
  <c r="V145" i="1" s="1"/>
  <c r="X145" i="1" s="1"/>
  <c r="W144" i="1"/>
  <c r="Y144" i="1" s="1"/>
  <c r="W141" i="1"/>
  <c r="Y141" i="1" s="1"/>
  <c r="W140" i="1"/>
  <c r="Y140" i="1" s="1"/>
  <c r="W139" i="1"/>
  <c r="Y139" i="1" s="1"/>
  <c r="W138" i="1"/>
  <c r="Y138" i="1" s="1"/>
  <c r="W135" i="1"/>
  <c r="Y135" i="1" s="1"/>
  <c r="W134" i="1"/>
  <c r="Y134" i="1" s="1"/>
  <c r="W133" i="1"/>
  <c r="Y133" i="1" s="1"/>
  <c r="W118" i="1"/>
  <c r="Y118" i="1" s="1"/>
  <c r="V112" i="1"/>
  <c r="X112" i="1" s="1"/>
  <c r="V110" i="1"/>
  <c r="X110" i="1" s="1"/>
  <c r="V109" i="1"/>
  <c r="X109" i="1" s="1"/>
  <c r="V108" i="1"/>
  <c r="X108" i="1" s="1"/>
  <c r="V106" i="1"/>
  <c r="X106" i="1" s="1"/>
  <c r="V104" i="1"/>
  <c r="X104" i="1" s="1"/>
  <c r="V101" i="1"/>
  <c r="X101" i="1" s="1"/>
  <c r="V100" i="1"/>
  <c r="X100" i="1" s="1"/>
  <c r="W125" i="1"/>
  <c r="Y125" i="1" s="1"/>
  <c r="U119" i="1"/>
  <c r="V119" i="1" s="1"/>
  <c r="X119" i="1" s="1"/>
  <c r="W90" i="1"/>
  <c r="Y90" i="1" s="1"/>
  <c r="V67" i="1"/>
  <c r="X67" i="1" s="1"/>
  <c r="W132" i="1"/>
  <c r="Y132" i="1" s="1"/>
  <c r="W128" i="1"/>
  <c r="Y128" i="1" s="1"/>
  <c r="W117" i="1"/>
  <c r="Y117" i="1" s="1"/>
  <c r="W131" i="1"/>
  <c r="Y131" i="1" s="1"/>
  <c r="W124" i="1"/>
  <c r="Y124" i="1" s="1"/>
  <c r="W120" i="1"/>
  <c r="Y120" i="1" s="1"/>
  <c r="V59" i="1"/>
  <c r="X59" i="1" s="1"/>
  <c r="V55" i="1"/>
  <c r="X55" i="1" s="1"/>
  <c r="W80" i="1"/>
  <c r="Y80" i="1" s="1"/>
  <c r="W127" i="1"/>
  <c r="Y127" i="1" s="1"/>
  <c r="W68" i="1"/>
  <c r="Y68" i="1" s="1"/>
  <c r="W53" i="1"/>
  <c r="Y53" i="1" s="1"/>
  <c r="W94" i="1"/>
  <c r="Y94" i="1" s="1"/>
  <c r="W130" i="1"/>
  <c r="Y130" i="1" s="1"/>
  <c r="W123" i="1"/>
  <c r="Y123" i="1" s="1"/>
  <c r="W122" i="1"/>
  <c r="Y122" i="1" s="1"/>
  <c r="U94" i="1"/>
  <c r="V94" i="1" s="1"/>
  <c r="X94" i="1" s="1"/>
  <c r="V96" i="1"/>
  <c r="X96" i="1" s="1"/>
  <c r="W93" i="1"/>
  <c r="Y93" i="1" s="1"/>
  <c r="V91" i="1"/>
  <c r="X91" i="1" s="1"/>
  <c r="V89" i="1"/>
  <c r="X89" i="1" s="1"/>
  <c r="W88" i="1"/>
  <c r="Y88" i="1" s="1"/>
  <c r="V88" i="1"/>
  <c r="X88" i="1" s="1"/>
  <c r="W116" i="1"/>
  <c r="Y116" i="1" s="1"/>
  <c r="W114" i="1"/>
  <c r="Y114" i="1" s="1"/>
  <c r="W113" i="1"/>
  <c r="Y113" i="1" s="1"/>
  <c r="W112" i="1"/>
  <c r="Y112" i="1" s="1"/>
  <c r="U111" i="1"/>
  <c r="V111" i="1" s="1"/>
  <c r="X111" i="1" s="1"/>
  <c r="W110" i="1"/>
  <c r="Y110" i="1" s="1"/>
  <c r="W109" i="1"/>
  <c r="Y109" i="1" s="1"/>
  <c r="W108" i="1"/>
  <c r="Y108" i="1" s="1"/>
  <c r="W107" i="1"/>
  <c r="Y107" i="1" s="1"/>
  <c r="W106" i="1"/>
  <c r="Y106" i="1" s="1"/>
  <c r="W105" i="1"/>
  <c r="Y105" i="1" s="1"/>
  <c r="W104" i="1"/>
  <c r="Y104" i="1" s="1"/>
  <c r="U103" i="1"/>
  <c r="V103" i="1" s="1"/>
  <c r="X103" i="1" s="1"/>
  <c r="W102" i="1"/>
  <c r="Y102" i="1" s="1"/>
  <c r="W101" i="1"/>
  <c r="Y101" i="1" s="1"/>
  <c r="W100" i="1"/>
  <c r="Y100" i="1" s="1"/>
  <c r="U99" i="1"/>
  <c r="V99" i="1" s="1"/>
  <c r="X99" i="1" s="1"/>
  <c r="W98" i="1"/>
  <c r="Y98" i="1" s="1"/>
  <c r="W97" i="1"/>
  <c r="Y97" i="1" s="1"/>
  <c r="W96" i="1"/>
  <c r="Y96" i="1" s="1"/>
  <c r="W92" i="1"/>
  <c r="Y92" i="1" s="1"/>
  <c r="W91" i="1"/>
  <c r="Y91" i="1" s="1"/>
  <c r="U90" i="1"/>
  <c r="V90" i="1" s="1"/>
  <c r="X90" i="1" s="1"/>
  <c r="W89" i="1"/>
  <c r="Y89" i="1" s="1"/>
  <c r="W85" i="1"/>
  <c r="Y85" i="1" s="1"/>
  <c r="V84" i="1"/>
  <c r="X84" i="1" s="1"/>
  <c r="V81" i="1"/>
  <c r="X81" i="1" s="1"/>
  <c r="V75" i="1"/>
  <c r="X75" i="1" s="1"/>
  <c r="V74" i="1"/>
  <c r="X74" i="1" s="1"/>
  <c r="V71" i="1"/>
  <c r="X71" i="1" s="1"/>
  <c r="W71" i="1"/>
  <c r="Y71" i="1" s="1"/>
  <c r="V68" i="1"/>
  <c r="X68" i="1" s="1"/>
  <c r="W66" i="1"/>
  <c r="Y66" i="1" s="1"/>
  <c r="V65" i="1"/>
  <c r="X65" i="1" s="1"/>
  <c r="V64" i="1"/>
  <c r="X64" i="1" s="1"/>
  <c r="W63" i="1"/>
  <c r="Y63" i="1" s="1"/>
  <c r="V62" i="1"/>
  <c r="X62" i="1" s="1"/>
  <c r="W62" i="1"/>
  <c r="Y62" i="1" s="1"/>
  <c r="V61" i="1"/>
  <c r="X61" i="1" s="1"/>
  <c r="V60" i="1"/>
  <c r="X60" i="1" s="1"/>
  <c r="U86" i="1"/>
  <c r="V86" i="1" s="1"/>
  <c r="X86" i="1" s="1"/>
  <c r="W87" i="1"/>
  <c r="Y87" i="1" s="1"/>
  <c r="U85" i="1"/>
  <c r="V85" i="1" s="1"/>
  <c r="X85" i="1" s="1"/>
  <c r="W84" i="1"/>
  <c r="Y84" i="1" s="1"/>
  <c r="W83" i="1"/>
  <c r="Y83" i="1" s="1"/>
  <c r="W82" i="1"/>
  <c r="Y82" i="1" s="1"/>
  <c r="W81" i="1"/>
  <c r="Y81" i="1" s="1"/>
  <c r="U80" i="1"/>
  <c r="V80" i="1" s="1"/>
  <c r="X80" i="1" s="1"/>
  <c r="W79" i="1"/>
  <c r="Y79" i="1" s="1"/>
  <c r="U78" i="1"/>
  <c r="V78" i="1" s="1"/>
  <c r="X78" i="1" s="1"/>
  <c r="U77" i="1"/>
  <c r="V77" i="1" s="1"/>
  <c r="X77" i="1" s="1"/>
  <c r="W75" i="1"/>
  <c r="Y75" i="1" s="1"/>
  <c r="U73" i="1"/>
  <c r="V73" i="1" s="1"/>
  <c r="X73" i="1" s="1"/>
  <c r="W74" i="1"/>
  <c r="Y74" i="1" s="1"/>
  <c r="W72" i="1"/>
  <c r="Y72" i="1" s="1"/>
  <c r="W70" i="1"/>
  <c r="Y70" i="1" s="1"/>
  <c r="W69" i="1"/>
  <c r="Y69" i="1" s="1"/>
  <c r="X66" i="1"/>
  <c r="W65" i="1"/>
  <c r="Y65" i="1" s="1"/>
  <c r="U63" i="1"/>
  <c r="V63" i="1" s="1"/>
  <c r="X63" i="1" s="1"/>
  <c r="W64" i="1"/>
  <c r="Y64" i="1" s="1"/>
  <c r="W61" i="1"/>
  <c r="Y61" i="1" s="1"/>
  <c r="T48" i="3"/>
  <c r="T49" i="3"/>
  <c r="T50" i="3"/>
  <c r="T51" i="3"/>
  <c r="U47" i="1"/>
  <c r="U48" i="1"/>
  <c r="U49" i="1"/>
  <c r="U50" i="1"/>
  <c r="U51" i="1"/>
  <c r="V49" i="1" l="1"/>
  <c r="X49" i="1" s="1"/>
  <c r="W48" i="1"/>
  <c r="Y48" i="1" s="1"/>
  <c r="W49" i="1"/>
  <c r="Y49" i="1" s="1"/>
  <c r="W50" i="1"/>
  <c r="Y50" i="1" s="1"/>
  <c r="W51" i="1"/>
  <c r="Y51" i="1" s="1"/>
  <c r="V50" i="1"/>
  <c r="X50" i="1" s="1"/>
  <c r="V48" i="1"/>
  <c r="X48" i="1" s="1"/>
  <c r="V51" i="1"/>
  <c r="X51" i="1" s="1"/>
  <c r="T42" i="3"/>
  <c r="T43" i="3"/>
  <c r="T44" i="3"/>
  <c r="T45" i="3"/>
  <c r="T46" i="3"/>
  <c r="T47" i="3"/>
  <c r="U46" i="1"/>
  <c r="T36" i="3"/>
  <c r="T37" i="3"/>
  <c r="T38" i="3"/>
  <c r="T39" i="3"/>
  <c r="T40" i="3"/>
  <c r="T41" i="3"/>
  <c r="W47" i="1" l="1"/>
  <c r="Y47" i="1" s="1"/>
  <c r="V47" i="1"/>
  <c r="X47" i="1" s="1"/>
  <c r="W31" i="1" l="1"/>
  <c r="Y31" i="1" s="1"/>
  <c r="U32" i="1"/>
  <c r="V32" i="1" s="1"/>
  <c r="X32" i="1" s="1"/>
  <c r="U33" i="1"/>
  <c r="V33" i="1" s="1"/>
  <c r="X33" i="1" s="1"/>
  <c r="U34" i="1"/>
  <c r="V34" i="1" s="1"/>
  <c r="X34" i="1" s="1"/>
  <c r="W35" i="1"/>
  <c r="Y35" i="1" s="1"/>
  <c r="U36" i="1"/>
  <c r="U37" i="1"/>
  <c r="W39" i="1"/>
  <c r="Y39" i="1" s="1"/>
  <c r="U39" i="1"/>
  <c r="U40" i="1"/>
  <c r="U41" i="1"/>
  <c r="U43" i="1"/>
  <c r="U44" i="1"/>
  <c r="U45" i="1"/>
  <c r="W30" i="1"/>
  <c r="Y30" i="1" s="1"/>
  <c r="U28" i="1"/>
  <c r="U27" i="1"/>
  <c r="U24" i="1"/>
  <c r="U20" i="1"/>
  <c r="U19" i="1"/>
  <c r="U16" i="1"/>
  <c r="U12" i="1"/>
  <c r="U11" i="1"/>
  <c r="U10" i="1"/>
  <c r="U8" i="1"/>
  <c r="S5" i="1"/>
  <c r="T4" i="1"/>
  <c r="U4" i="1" s="1"/>
  <c r="T3" i="1"/>
  <c r="U3" i="1" s="1"/>
  <c r="U2" i="1"/>
  <c r="S2" i="1"/>
  <c r="T3" i="3"/>
  <c r="V40" i="1" l="1"/>
  <c r="X40" i="1" s="1"/>
  <c r="W43" i="1"/>
  <c r="Y43" i="1" s="1"/>
  <c r="V37" i="1"/>
  <c r="X37" i="1" s="1"/>
  <c r="V2" i="1"/>
  <c r="V46" i="1"/>
  <c r="X46" i="1" s="1"/>
  <c r="W38" i="1"/>
  <c r="Y38" i="1" s="1"/>
  <c r="V45" i="1"/>
  <c r="X45" i="1" s="1"/>
  <c r="V44" i="1"/>
  <c r="X44" i="1" s="1"/>
  <c r="V3" i="1"/>
  <c r="X3" i="1" s="1"/>
  <c r="W7" i="1"/>
  <c r="Y7" i="1" s="1"/>
  <c r="V43" i="1"/>
  <c r="X43" i="1" s="1"/>
  <c r="W42" i="1"/>
  <c r="Y42" i="1" s="1"/>
  <c r="V41" i="1"/>
  <c r="X41" i="1" s="1"/>
  <c r="V10" i="1"/>
  <c r="X10" i="1" s="1"/>
  <c r="W10" i="1"/>
  <c r="Y10" i="1" s="1"/>
  <c r="W40" i="1"/>
  <c r="Y40" i="1" s="1"/>
  <c r="W4" i="1"/>
  <c r="Y4" i="1" s="1"/>
  <c r="V39" i="1"/>
  <c r="X39" i="1" s="1"/>
  <c r="V36" i="1"/>
  <c r="X36" i="1" s="1"/>
  <c r="W29" i="1"/>
  <c r="Y29" i="1" s="1"/>
  <c r="V28" i="1"/>
  <c r="X28" i="1" s="1"/>
  <c r="W26" i="1"/>
  <c r="Y26" i="1" s="1"/>
  <c r="V11" i="1"/>
  <c r="X11" i="1" s="1"/>
  <c r="W15" i="1"/>
  <c r="Y15" i="1" s="1"/>
  <c r="W22" i="1"/>
  <c r="Y22" i="1" s="1"/>
  <c r="W12" i="1"/>
  <c r="Y12" i="1" s="1"/>
  <c r="W16" i="1"/>
  <c r="Y16" i="1" s="1"/>
  <c r="W23" i="1"/>
  <c r="Y23" i="1" s="1"/>
  <c r="V27" i="1"/>
  <c r="X27" i="1" s="1"/>
  <c r="V8" i="1"/>
  <c r="X8" i="1" s="1"/>
  <c r="W14" i="1"/>
  <c r="Y14" i="1" s="1"/>
  <c r="W25" i="1"/>
  <c r="Y25" i="1" s="1"/>
  <c r="W5" i="1"/>
  <c r="Y5" i="1" s="1"/>
  <c r="W6" i="1"/>
  <c r="Y6" i="1" s="1"/>
  <c r="W9" i="1"/>
  <c r="Y9" i="1" s="1"/>
  <c r="V12" i="1"/>
  <c r="X12" i="1" s="1"/>
  <c r="U15" i="1"/>
  <c r="V15" i="1" s="1"/>
  <c r="X15" i="1" s="1"/>
  <c r="V4" i="1"/>
  <c r="X4" i="1" s="1"/>
  <c r="U7" i="1"/>
  <c r="V7" i="1" s="1"/>
  <c r="X7" i="1" s="1"/>
  <c r="W13" i="1"/>
  <c r="Y13" i="1" s="1"/>
  <c r="V20" i="1"/>
  <c r="X20" i="1" s="1"/>
  <c r="W44" i="1"/>
  <c r="Y44" i="1" s="1"/>
  <c r="W41" i="1"/>
  <c r="Y41" i="1" s="1"/>
  <c r="U31" i="1"/>
  <c r="V31" i="1" s="1"/>
  <c r="X31" i="1" s="1"/>
  <c r="W34" i="1"/>
  <c r="Y34" i="1" s="1"/>
  <c r="U38" i="1"/>
  <c r="V38" i="1" s="1"/>
  <c r="X38" i="1" s="1"/>
  <c r="W36" i="1"/>
  <c r="Y36" i="1" s="1"/>
  <c r="W33" i="1"/>
  <c r="Y33" i="1" s="1"/>
  <c r="W32" i="1"/>
  <c r="Y32" i="1" s="1"/>
  <c r="W28" i="1"/>
  <c r="Y28" i="1" s="1"/>
  <c r="U26" i="1"/>
  <c r="V26" i="1" s="1"/>
  <c r="X26" i="1" s="1"/>
  <c r="V24" i="1"/>
  <c r="X24" i="1" s="1"/>
  <c r="U23" i="1"/>
  <c r="V23" i="1" s="1"/>
  <c r="X23" i="1" s="1"/>
  <c r="W21" i="1"/>
  <c r="Y21" i="1" s="1"/>
  <c r="V19" i="1"/>
  <c r="X19" i="1" s="1"/>
  <c r="W18" i="1"/>
  <c r="Y18" i="1" s="1"/>
  <c r="W17" i="1"/>
  <c r="Y17" i="1" s="1"/>
  <c r="W20" i="1"/>
  <c r="Y20" i="1" s="1"/>
  <c r="U18" i="1"/>
  <c r="V18" i="1" s="1"/>
  <c r="X18" i="1" s="1"/>
  <c r="W46" i="1"/>
  <c r="Y46" i="1" s="1"/>
  <c r="U42" i="1"/>
  <c r="V42" i="1" s="1"/>
  <c r="X42" i="1" s="1"/>
  <c r="U35" i="1"/>
  <c r="V35" i="1" s="1"/>
  <c r="X35" i="1" s="1"/>
  <c r="W37" i="1"/>
  <c r="Y37" i="1" s="1"/>
  <c r="W45" i="1"/>
  <c r="Y45" i="1" s="1"/>
  <c r="W3" i="1"/>
  <c r="Y3" i="1" s="1"/>
  <c r="U9" i="1"/>
  <c r="V9" i="1" s="1"/>
  <c r="X9" i="1" s="1"/>
  <c r="W11" i="1"/>
  <c r="Y11" i="1" s="1"/>
  <c r="U17" i="1"/>
  <c r="V17" i="1" s="1"/>
  <c r="X17" i="1" s="1"/>
  <c r="W19" i="1"/>
  <c r="Y19" i="1" s="1"/>
  <c r="U25" i="1"/>
  <c r="V25" i="1" s="1"/>
  <c r="X25" i="1" s="1"/>
  <c r="W27" i="1"/>
  <c r="Y27" i="1" s="1"/>
  <c r="V16" i="1"/>
  <c r="X16" i="1" s="1"/>
  <c r="U6" i="1"/>
  <c r="V6" i="1" s="1"/>
  <c r="X6" i="1" s="1"/>
  <c r="W8" i="1"/>
  <c r="Y8" i="1" s="1"/>
  <c r="U14" i="1"/>
  <c r="V14" i="1" s="1"/>
  <c r="X14" i="1" s="1"/>
  <c r="U22" i="1"/>
  <c r="V22" i="1" s="1"/>
  <c r="X22" i="1" s="1"/>
  <c r="W24" i="1"/>
  <c r="Y24" i="1" s="1"/>
  <c r="U30" i="1"/>
  <c r="V30" i="1" s="1"/>
  <c r="X30" i="1" s="1"/>
  <c r="U5" i="1"/>
  <c r="V5" i="1" s="1"/>
  <c r="X5" i="1" s="1"/>
  <c r="U13" i="1"/>
  <c r="V13" i="1" s="1"/>
  <c r="X13" i="1" s="1"/>
  <c r="U21" i="1"/>
  <c r="V21" i="1" s="1"/>
  <c r="X21" i="1" s="1"/>
  <c r="U29" i="1"/>
  <c r="V29" i="1" s="1"/>
  <c r="X29" i="1" s="1"/>
  <c r="K52" i="11"/>
  <c r="J52" i="11"/>
  <c r="L52" i="11" s="1"/>
  <c r="H51" i="11"/>
  <c r="G51" i="11"/>
  <c r="K50" i="11"/>
  <c r="J50" i="11"/>
  <c r="H49" i="11"/>
  <c r="G49" i="11"/>
  <c r="K48" i="11"/>
  <c r="J48" i="11"/>
  <c r="L48" i="11" s="1"/>
  <c r="H47" i="11"/>
  <c r="G47" i="11"/>
  <c r="K46" i="11"/>
  <c r="J46" i="11"/>
  <c r="H45" i="11"/>
  <c r="G45" i="11"/>
  <c r="L44" i="11"/>
  <c r="K44" i="11"/>
  <c r="M44" i="11" s="1"/>
  <c r="J44" i="11"/>
  <c r="H43" i="11"/>
  <c r="G43" i="11"/>
  <c r="K42" i="11"/>
  <c r="J42" i="11"/>
  <c r="L42" i="11" s="1"/>
  <c r="H41" i="11"/>
  <c r="G41" i="11"/>
  <c r="K40" i="11"/>
  <c r="J40" i="11"/>
  <c r="H39" i="11"/>
  <c r="G39" i="11"/>
  <c r="K38" i="11"/>
  <c r="M38" i="11" s="1"/>
  <c r="J38" i="11"/>
  <c r="L38" i="11" s="1"/>
  <c r="H37" i="11"/>
  <c r="G37" i="11"/>
  <c r="K36" i="11"/>
  <c r="J36" i="11"/>
  <c r="L36" i="11" s="1"/>
  <c r="H35" i="11"/>
  <c r="G35" i="11"/>
  <c r="K34" i="11"/>
  <c r="J34" i="11"/>
  <c r="L34" i="11" s="1"/>
  <c r="H33" i="11"/>
  <c r="G33" i="11"/>
  <c r="K32" i="11"/>
  <c r="J32" i="11"/>
  <c r="H31" i="11"/>
  <c r="G31" i="11"/>
  <c r="K30" i="11"/>
  <c r="M30" i="11" s="1"/>
  <c r="J30" i="11"/>
  <c r="L30" i="11" s="1"/>
  <c r="H29" i="11"/>
  <c r="G29" i="11"/>
  <c r="K28" i="11"/>
  <c r="J28" i="11"/>
  <c r="L28" i="11" s="1"/>
  <c r="H27" i="11"/>
  <c r="G27" i="11"/>
  <c r="K26" i="11"/>
  <c r="M26" i="11" s="1"/>
  <c r="J26" i="11"/>
  <c r="H25" i="11"/>
  <c r="G25" i="11"/>
  <c r="K24" i="11"/>
  <c r="J24" i="11"/>
  <c r="L24" i="11" s="1"/>
  <c r="H23" i="11"/>
  <c r="G23" i="11"/>
  <c r="L22" i="11"/>
  <c r="K22" i="11"/>
  <c r="J22" i="11"/>
  <c r="H21" i="11"/>
  <c r="G21" i="11"/>
  <c r="K20" i="11"/>
  <c r="J20" i="11"/>
  <c r="L20" i="11" s="1"/>
  <c r="H19" i="11"/>
  <c r="G19" i="11"/>
  <c r="K18" i="11"/>
  <c r="J18" i="11"/>
  <c r="H17" i="11"/>
  <c r="G17" i="11"/>
  <c r="K16" i="11"/>
  <c r="J16" i="11"/>
  <c r="L16" i="11" s="1"/>
  <c r="H15" i="11"/>
  <c r="G15" i="11"/>
  <c r="K14" i="11"/>
  <c r="J14" i="11"/>
  <c r="H13" i="11"/>
  <c r="G13" i="11"/>
  <c r="L12" i="11"/>
  <c r="K12" i="11"/>
  <c r="J12" i="11"/>
  <c r="H11" i="11"/>
  <c r="G11" i="11"/>
  <c r="K10" i="11"/>
  <c r="J10" i="11"/>
  <c r="L10" i="11" s="1"/>
  <c r="H9" i="11"/>
  <c r="G9" i="11"/>
  <c r="K8" i="11"/>
  <c r="J8" i="11"/>
  <c r="H7" i="11"/>
  <c r="G7" i="11"/>
  <c r="K6" i="11"/>
  <c r="M6" i="11" s="1"/>
  <c r="J6" i="11"/>
  <c r="M36" i="11" s="1"/>
  <c r="H5" i="11"/>
  <c r="G5" i="11"/>
  <c r="K4" i="11"/>
  <c r="M4" i="11" s="1"/>
  <c r="J4" i="11"/>
  <c r="L4" i="11" s="1"/>
  <c r="N4" i="11" s="1"/>
  <c r="H3" i="11"/>
  <c r="G3" i="11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V155" i="3" s="1"/>
  <c r="S154" i="3"/>
  <c r="V154" i="3" s="1"/>
  <c r="X154" i="3" s="1"/>
  <c r="S153" i="3"/>
  <c r="V153" i="3" s="1"/>
  <c r="S152" i="3"/>
  <c r="V152" i="3" s="1"/>
  <c r="U151" i="3"/>
  <c r="S151" i="3"/>
  <c r="U150" i="3"/>
  <c r="S150" i="3"/>
  <c r="U149" i="3"/>
  <c r="S149" i="3"/>
  <c r="S148" i="3"/>
  <c r="S147" i="3"/>
  <c r="U146" i="3"/>
  <c r="S146" i="3"/>
  <c r="S145" i="3"/>
  <c r="U144" i="3"/>
  <c r="S144" i="3"/>
  <c r="U143" i="3"/>
  <c r="S143" i="3"/>
  <c r="S142" i="3"/>
  <c r="S141" i="3"/>
  <c r="S140" i="3"/>
  <c r="U139" i="3"/>
  <c r="S139" i="3"/>
  <c r="Y139" i="3" s="1"/>
  <c r="S138" i="3"/>
  <c r="U137" i="3"/>
  <c r="S137" i="3"/>
  <c r="S136" i="3"/>
  <c r="U135" i="3"/>
  <c r="S135" i="3"/>
  <c r="U134" i="3"/>
  <c r="S134" i="3"/>
  <c r="S133" i="3"/>
  <c r="S132" i="3"/>
  <c r="U131" i="3"/>
  <c r="S131" i="3"/>
  <c r="S130" i="3"/>
  <c r="S129" i="3"/>
  <c r="U128" i="3"/>
  <c r="S128" i="3"/>
  <c r="U127" i="3"/>
  <c r="S127" i="3"/>
  <c r="U126" i="3"/>
  <c r="S126" i="3"/>
  <c r="S125" i="3"/>
  <c r="S124" i="3"/>
  <c r="U123" i="3"/>
  <c r="S123" i="3"/>
  <c r="S122" i="3"/>
  <c r="U121" i="3"/>
  <c r="S121" i="3"/>
  <c r="U120" i="3"/>
  <c r="S120" i="3"/>
  <c r="U119" i="3"/>
  <c r="S119" i="3"/>
  <c r="S118" i="3"/>
  <c r="U117" i="3"/>
  <c r="S117" i="3"/>
  <c r="S116" i="3"/>
  <c r="Y115" i="3"/>
  <c r="S115" i="3"/>
  <c r="S114" i="3"/>
  <c r="U113" i="3"/>
  <c r="S113" i="3"/>
  <c r="U112" i="3"/>
  <c r="S112" i="3"/>
  <c r="U111" i="3"/>
  <c r="S111" i="3"/>
  <c r="S110" i="3"/>
  <c r="U109" i="3"/>
  <c r="S109" i="3"/>
  <c r="S108" i="3"/>
  <c r="Y107" i="3"/>
  <c r="S107" i="3"/>
  <c r="U106" i="3"/>
  <c r="V106" i="3" s="1"/>
  <c r="X106" i="3" s="1"/>
  <c r="S106" i="3"/>
  <c r="U105" i="3"/>
  <c r="S105" i="3"/>
  <c r="S104" i="3"/>
  <c r="S103" i="3"/>
  <c r="U102" i="3"/>
  <c r="S102" i="3"/>
  <c r="U101" i="3"/>
  <c r="S101" i="3"/>
  <c r="S100" i="3"/>
  <c r="Y99" i="3"/>
  <c r="S99" i="3"/>
  <c r="S98" i="3"/>
  <c r="S97" i="3"/>
  <c r="S96" i="3"/>
  <c r="S95" i="3"/>
  <c r="Y94" i="3"/>
  <c r="S94" i="3"/>
  <c r="U93" i="3"/>
  <c r="V93" i="3" s="1"/>
  <c r="X93" i="3" s="1"/>
  <c r="S93" i="3"/>
  <c r="U92" i="3"/>
  <c r="S92" i="3"/>
  <c r="U91" i="3"/>
  <c r="S91" i="3"/>
  <c r="S90" i="3"/>
  <c r="Y89" i="3"/>
  <c r="S89" i="3"/>
  <c r="S88" i="3"/>
  <c r="S87" i="3"/>
  <c r="S86" i="3"/>
  <c r="U85" i="3"/>
  <c r="V85" i="3" s="1"/>
  <c r="X85" i="3" s="1"/>
  <c r="S85" i="3"/>
  <c r="U84" i="3"/>
  <c r="S84" i="3"/>
  <c r="U83" i="3"/>
  <c r="S83" i="3"/>
  <c r="Y82" i="3"/>
  <c r="S82" i="3"/>
  <c r="U81" i="3"/>
  <c r="V81" i="3" s="1"/>
  <c r="X81" i="3" s="1"/>
  <c r="S81" i="3"/>
  <c r="S80" i="3"/>
  <c r="U79" i="3"/>
  <c r="S79" i="3"/>
  <c r="Y78" i="3"/>
  <c r="S78" i="3"/>
  <c r="U77" i="3"/>
  <c r="V77" i="3" s="1"/>
  <c r="X77" i="3" s="1"/>
  <c r="S77" i="3"/>
  <c r="U76" i="3"/>
  <c r="S76" i="3"/>
  <c r="U75" i="3"/>
  <c r="S75" i="3"/>
  <c r="Y74" i="3"/>
  <c r="S74" i="3"/>
  <c r="U73" i="3"/>
  <c r="V73" i="3" s="1"/>
  <c r="X73" i="3" s="1"/>
  <c r="S73" i="3"/>
  <c r="S72" i="3"/>
  <c r="U71" i="3"/>
  <c r="S71" i="3"/>
  <c r="S70" i="3"/>
  <c r="U69" i="3"/>
  <c r="S69" i="3"/>
  <c r="S68" i="3"/>
  <c r="S67" i="3"/>
  <c r="S66" i="3"/>
  <c r="U65" i="3"/>
  <c r="S65" i="3"/>
  <c r="S64" i="3"/>
  <c r="U63" i="3"/>
  <c r="S63" i="3"/>
  <c r="S62" i="3"/>
  <c r="U61" i="3"/>
  <c r="S61" i="3"/>
  <c r="S60" i="3"/>
  <c r="U59" i="3"/>
  <c r="S59" i="3"/>
  <c r="Y58" i="3"/>
  <c r="S58" i="3"/>
  <c r="Y57" i="3"/>
  <c r="S57" i="3"/>
  <c r="S56" i="3"/>
  <c r="U55" i="3"/>
  <c r="S55" i="3"/>
  <c r="S54" i="3"/>
  <c r="U53" i="3"/>
  <c r="V53" i="3" s="1"/>
  <c r="X53" i="3" s="1"/>
  <c r="S53" i="3"/>
  <c r="S52" i="3"/>
  <c r="U51" i="3"/>
  <c r="S51" i="3"/>
  <c r="S50" i="3"/>
  <c r="S49" i="3"/>
  <c r="S48" i="3"/>
  <c r="U47" i="3"/>
  <c r="S47" i="3"/>
  <c r="W47" i="3" s="1"/>
  <c r="Y47" i="3" s="1"/>
  <c r="S46" i="3"/>
  <c r="W46" i="3" s="1"/>
  <c r="Y46" i="3" s="1"/>
  <c r="S45" i="3"/>
  <c r="W45" i="3" s="1"/>
  <c r="Y45" i="3" s="1"/>
  <c r="S44" i="3"/>
  <c r="U43" i="3"/>
  <c r="S43" i="3"/>
  <c r="S42" i="3"/>
  <c r="W42" i="3" s="1"/>
  <c r="Y42" i="3" s="1"/>
  <c r="S41" i="3"/>
  <c r="W41" i="3" s="1"/>
  <c r="Y41" i="3" s="1"/>
  <c r="S40" i="3"/>
  <c r="U39" i="3"/>
  <c r="S39" i="3"/>
  <c r="S38" i="3"/>
  <c r="W38" i="3" s="1"/>
  <c r="Y38" i="3" s="1"/>
  <c r="U37" i="3"/>
  <c r="S37" i="3"/>
  <c r="W37" i="3" s="1"/>
  <c r="Y37" i="3" s="1"/>
  <c r="S36" i="3"/>
  <c r="T35" i="3"/>
  <c r="U35" i="3" s="1"/>
  <c r="S35" i="3"/>
  <c r="T34" i="3"/>
  <c r="S34" i="3"/>
  <c r="T33" i="3"/>
  <c r="W33" i="3" s="1"/>
  <c r="Y33" i="3" s="1"/>
  <c r="S33" i="3"/>
  <c r="T32" i="3"/>
  <c r="S32" i="3"/>
  <c r="T31" i="3"/>
  <c r="U31" i="3" s="1"/>
  <c r="S31" i="3"/>
  <c r="T30" i="3"/>
  <c r="S30" i="3"/>
  <c r="T29" i="3"/>
  <c r="W29" i="3" s="1"/>
  <c r="Y29" i="3" s="1"/>
  <c r="S29" i="3"/>
  <c r="T28" i="3"/>
  <c r="S28" i="3"/>
  <c r="T27" i="3"/>
  <c r="U27" i="3" s="1"/>
  <c r="S27" i="3"/>
  <c r="T26" i="3"/>
  <c r="S26" i="3"/>
  <c r="T25" i="3"/>
  <c r="U25" i="3" s="1"/>
  <c r="S25" i="3"/>
  <c r="T24" i="3"/>
  <c r="S24" i="3"/>
  <c r="T23" i="3"/>
  <c r="U23" i="3" s="1"/>
  <c r="S23" i="3"/>
  <c r="T22" i="3"/>
  <c r="S22" i="3"/>
  <c r="T21" i="3"/>
  <c r="S21" i="3"/>
  <c r="T20" i="3"/>
  <c r="S20" i="3"/>
  <c r="T19" i="3"/>
  <c r="U19" i="3" s="1"/>
  <c r="S19" i="3"/>
  <c r="T18" i="3"/>
  <c r="U18" i="3" s="1"/>
  <c r="S18" i="3"/>
  <c r="T17" i="3"/>
  <c r="U17" i="3" s="1"/>
  <c r="S17" i="3"/>
  <c r="T16" i="3"/>
  <c r="S16" i="3"/>
  <c r="T15" i="3"/>
  <c r="S15" i="3"/>
  <c r="T14" i="3"/>
  <c r="S14" i="3"/>
  <c r="T13" i="3"/>
  <c r="S13" i="3"/>
  <c r="T12" i="3"/>
  <c r="U12" i="3" s="1"/>
  <c r="S12" i="3"/>
  <c r="T11" i="3"/>
  <c r="S11" i="3"/>
  <c r="T10" i="3"/>
  <c r="U10" i="3" s="1"/>
  <c r="S10" i="3"/>
  <c r="T9" i="3"/>
  <c r="U9" i="3" s="1"/>
  <c r="S9" i="3"/>
  <c r="T8" i="3"/>
  <c r="W8" i="3" s="1"/>
  <c r="Y8" i="3" s="1"/>
  <c r="S8" i="3"/>
  <c r="T7" i="3"/>
  <c r="S7" i="3"/>
  <c r="T6" i="3"/>
  <c r="S6" i="3"/>
  <c r="T5" i="3"/>
  <c r="W5" i="3" s="1"/>
  <c r="Y5" i="3" s="1"/>
  <c r="S5" i="3"/>
  <c r="T4" i="3"/>
  <c r="U4" i="3" s="1"/>
  <c r="V4" i="3" s="1"/>
  <c r="X4" i="3" s="1"/>
  <c r="S4" i="3"/>
  <c r="W3" i="3"/>
  <c r="Y3" i="3" s="1"/>
  <c r="U2" i="3"/>
  <c r="V2" i="3" s="1"/>
  <c r="Y67" i="3" l="1"/>
  <c r="V84" i="3"/>
  <c r="X84" i="3" s="1"/>
  <c r="V105" i="3"/>
  <c r="X105" i="3" s="1"/>
  <c r="Y125" i="3"/>
  <c r="W15" i="3"/>
  <c r="Y15" i="3" s="1"/>
  <c r="Y142" i="3"/>
  <c r="Y155" i="3"/>
  <c r="V112" i="3"/>
  <c r="X112" i="3" s="1"/>
  <c r="V128" i="3"/>
  <c r="X128" i="3" s="1"/>
  <c r="V76" i="3"/>
  <c r="X76" i="3" s="1"/>
  <c r="V121" i="3"/>
  <c r="X121" i="3" s="1"/>
  <c r="V91" i="3"/>
  <c r="X91" i="3" s="1"/>
  <c r="Y97" i="3"/>
  <c r="V12" i="3"/>
  <c r="X12" i="3" s="1"/>
  <c r="W16" i="3"/>
  <c r="Y16" i="3" s="1"/>
  <c r="V135" i="3"/>
  <c r="X135" i="3" s="1"/>
  <c r="Y154" i="3"/>
  <c r="Y157" i="3"/>
  <c r="V157" i="3"/>
  <c r="Y164" i="3"/>
  <c r="V164" i="3"/>
  <c r="X164" i="3" s="1"/>
  <c r="Y170" i="3"/>
  <c r="V170" i="3"/>
  <c r="V176" i="3"/>
  <c r="X176" i="3" s="1"/>
  <c r="Y176" i="3"/>
  <c r="Y181" i="3"/>
  <c r="V181" i="3"/>
  <c r="Y187" i="3"/>
  <c r="V187" i="3"/>
  <c r="X187" i="3" s="1"/>
  <c r="Y193" i="3"/>
  <c r="V193" i="3"/>
  <c r="X193" i="3" s="1"/>
  <c r="V207" i="3"/>
  <c r="X207" i="3" s="1"/>
  <c r="Y207" i="3"/>
  <c r="Y213" i="3"/>
  <c r="V213" i="3"/>
  <c r="X213" i="3" s="1"/>
  <c r="Y219" i="3"/>
  <c r="V219" i="3"/>
  <c r="X219" i="3" s="1"/>
  <c r="Y224" i="3"/>
  <c r="V224" i="3"/>
  <c r="X224" i="3" s="1"/>
  <c r="Y232" i="3"/>
  <c r="V232" i="3"/>
  <c r="Y244" i="3"/>
  <c r="V244" i="3"/>
  <c r="X244" i="3" s="1"/>
  <c r="Y250" i="3"/>
  <c r="V250" i="3"/>
  <c r="Y153" i="3"/>
  <c r="Y158" i="3"/>
  <c r="V158" i="3"/>
  <c r="X158" i="3" s="1"/>
  <c r="V171" i="3"/>
  <c r="X171" i="3" s="1"/>
  <c r="Y171" i="3"/>
  <c r="Y177" i="3"/>
  <c r="V177" i="3"/>
  <c r="Y182" i="3"/>
  <c r="V182" i="3"/>
  <c r="X182" i="3" s="1"/>
  <c r="X194" i="3"/>
  <c r="Y194" i="3"/>
  <c r="V194" i="3"/>
  <c r="Y202" i="3"/>
  <c r="V202" i="3"/>
  <c r="Y208" i="3"/>
  <c r="V208" i="3"/>
  <c r="Y225" i="3"/>
  <c r="V225" i="3"/>
  <c r="X225" i="3" s="1"/>
  <c r="Y233" i="3"/>
  <c r="V233" i="3"/>
  <c r="X233" i="3" s="1"/>
  <c r="Y238" i="3"/>
  <c r="V238" i="3"/>
  <c r="Y251" i="3"/>
  <c r="V251" i="3"/>
  <c r="Y257" i="3"/>
  <c r="V257" i="3"/>
  <c r="X257" i="3" s="1"/>
  <c r="Y129" i="3"/>
  <c r="Y159" i="3"/>
  <c r="V159" i="3"/>
  <c r="V165" i="3"/>
  <c r="Y165" i="3"/>
  <c r="Y178" i="3"/>
  <c r="V178" i="3"/>
  <c r="X178" i="3" s="1"/>
  <c r="Y188" i="3"/>
  <c r="V188" i="3"/>
  <c r="X188" i="3" s="1"/>
  <c r="Y195" i="3"/>
  <c r="V195" i="3"/>
  <c r="V203" i="3"/>
  <c r="Y203" i="3"/>
  <c r="V209" i="3"/>
  <c r="Y209" i="3"/>
  <c r="V214" i="3"/>
  <c r="Y214" i="3"/>
  <c r="Y220" i="3"/>
  <c r="V220" i="3"/>
  <c r="X220" i="3" s="1"/>
  <c r="Y226" i="3"/>
  <c r="V226" i="3"/>
  <c r="V239" i="3"/>
  <c r="X239" i="3" s="1"/>
  <c r="Y239" i="3"/>
  <c r="Y245" i="3"/>
  <c r="V245" i="3"/>
  <c r="X245" i="3" s="1"/>
  <c r="V252" i="3"/>
  <c r="Y252" i="3"/>
  <c r="V258" i="3"/>
  <c r="X258" i="3" s="1"/>
  <c r="Y258" i="3"/>
  <c r="V102" i="3"/>
  <c r="X102" i="3" s="1"/>
  <c r="V160" i="3"/>
  <c r="X160" i="3" s="1"/>
  <c r="Y160" i="3"/>
  <c r="Y166" i="3"/>
  <c r="V166" i="3"/>
  <c r="Y172" i="3"/>
  <c r="V172" i="3"/>
  <c r="X172" i="3" s="1"/>
  <c r="V183" i="3"/>
  <c r="Y183" i="3"/>
  <c r="Y189" i="3"/>
  <c r="V189" i="3"/>
  <c r="X189" i="3" s="1"/>
  <c r="Y196" i="3"/>
  <c r="V196" i="3"/>
  <c r="X196" i="3" s="1"/>
  <c r="V204" i="3"/>
  <c r="X204" i="3" s="1"/>
  <c r="Y204" i="3"/>
  <c r="Y210" i="3"/>
  <c r="V210" i="3"/>
  <c r="V215" i="3"/>
  <c r="X215" i="3" s="1"/>
  <c r="Y215" i="3"/>
  <c r="X227" i="3"/>
  <c r="Y227" i="3"/>
  <c r="V227" i="3"/>
  <c r="Y234" i="3"/>
  <c r="V234" i="3"/>
  <c r="Y240" i="3"/>
  <c r="V240" i="3"/>
  <c r="X240" i="3" s="1"/>
  <c r="V253" i="3"/>
  <c r="X253" i="3" s="1"/>
  <c r="Y253" i="3"/>
  <c r="Y259" i="3"/>
  <c r="V259" i="3"/>
  <c r="X259" i="3" s="1"/>
  <c r="Y110" i="3"/>
  <c r="Y118" i="3"/>
  <c r="Y167" i="3"/>
  <c r="V167" i="3"/>
  <c r="X167" i="3" s="1"/>
  <c r="Y179" i="3"/>
  <c r="V179" i="3"/>
  <c r="X179" i="3" s="1"/>
  <c r="V184" i="3"/>
  <c r="Y184" i="3"/>
  <c r="V190" i="3"/>
  <c r="X190" i="3" s="1"/>
  <c r="Y190" i="3"/>
  <c r="Y197" i="3"/>
  <c r="V197" i="3"/>
  <c r="X197" i="3" s="1"/>
  <c r="Y211" i="3"/>
  <c r="V211" i="3"/>
  <c r="X211" i="3" s="1"/>
  <c r="V221" i="3"/>
  <c r="Y221" i="3"/>
  <c r="Y228" i="3"/>
  <c r="V228" i="3"/>
  <c r="Y235" i="3"/>
  <c r="V235" i="3"/>
  <c r="X235" i="3" s="1"/>
  <c r="Y241" i="3"/>
  <c r="V241" i="3"/>
  <c r="X241" i="3" s="1"/>
  <c r="V246" i="3"/>
  <c r="Y246" i="3"/>
  <c r="V254" i="3"/>
  <c r="Y254" i="3"/>
  <c r="Y260" i="3"/>
  <c r="V260" i="3"/>
  <c r="X260" i="3" s="1"/>
  <c r="V37" i="3"/>
  <c r="X37" i="3" s="1"/>
  <c r="Y161" i="3"/>
  <c r="V161" i="3"/>
  <c r="Y168" i="3"/>
  <c r="V168" i="3"/>
  <c r="X168" i="3" s="1"/>
  <c r="V173" i="3"/>
  <c r="Y173" i="3"/>
  <c r="Y185" i="3"/>
  <c r="V185" i="3"/>
  <c r="X198" i="3"/>
  <c r="Y198" i="3"/>
  <c r="V198" i="3"/>
  <c r="V205" i="3"/>
  <c r="X205" i="3" s="1"/>
  <c r="Y205" i="3"/>
  <c r="V216" i="3"/>
  <c r="Y216" i="3"/>
  <c r="V222" i="3"/>
  <c r="Y222" i="3"/>
  <c r="Y229" i="3"/>
  <c r="V229" i="3"/>
  <c r="X229" i="3" s="1"/>
  <c r="Y236" i="3"/>
  <c r="V236" i="3"/>
  <c r="X236" i="3" s="1"/>
  <c r="Y242" i="3"/>
  <c r="V242" i="3"/>
  <c r="X242" i="3" s="1"/>
  <c r="V247" i="3"/>
  <c r="Y247" i="3"/>
  <c r="Y255" i="3"/>
  <c r="V255" i="3"/>
  <c r="X255" i="3" s="1"/>
  <c r="Y261" i="3"/>
  <c r="V261" i="3"/>
  <c r="X261" i="3" s="1"/>
  <c r="V123" i="3"/>
  <c r="X123" i="3" s="1"/>
  <c r="Y162" i="3"/>
  <c r="V162" i="3"/>
  <c r="X162" i="3" s="1"/>
  <c r="Y174" i="3"/>
  <c r="V174" i="3"/>
  <c r="X174" i="3" s="1"/>
  <c r="V180" i="3"/>
  <c r="X180" i="3" s="1"/>
  <c r="Y180" i="3"/>
  <c r="Y186" i="3"/>
  <c r="V186" i="3"/>
  <c r="X186" i="3" s="1"/>
  <c r="Y191" i="3"/>
  <c r="V191" i="3"/>
  <c r="X191" i="3" s="1"/>
  <c r="Y199" i="3"/>
  <c r="V199" i="3"/>
  <c r="Y212" i="3"/>
  <c r="V212" i="3"/>
  <c r="X212" i="3" s="1"/>
  <c r="V217" i="3"/>
  <c r="X217" i="3" s="1"/>
  <c r="Y217" i="3"/>
  <c r="Y223" i="3"/>
  <c r="V223" i="3"/>
  <c r="X223" i="3" s="1"/>
  <c r="V230" i="3"/>
  <c r="X230" i="3" s="1"/>
  <c r="Y230" i="3"/>
  <c r="Y243" i="3"/>
  <c r="V243" i="3"/>
  <c r="X243" i="3" s="1"/>
  <c r="Y248" i="3"/>
  <c r="V248" i="3"/>
  <c r="Y152" i="3"/>
  <c r="Y156" i="3"/>
  <c r="V156" i="3"/>
  <c r="X156" i="3" s="1"/>
  <c r="Y163" i="3"/>
  <c r="V163" i="3"/>
  <c r="Y169" i="3"/>
  <c r="V169" i="3"/>
  <c r="X169" i="3" s="1"/>
  <c r="V175" i="3"/>
  <c r="Y175" i="3"/>
  <c r="V192" i="3"/>
  <c r="X192" i="3" s="1"/>
  <c r="Y192" i="3"/>
  <c r="Y200" i="3"/>
  <c r="V200" i="3"/>
  <c r="X200" i="3" s="1"/>
  <c r="Y206" i="3"/>
  <c r="V206" i="3"/>
  <c r="X206" i="3" s="1"/>
  <c r="V218" i="3"/>
  <c r="Y218" i="3"/>
  <c r="V231" i="3"/>
  <c r="X231" i="3" s="1"/>
  <c r="Y231" i="3"/>
  <c r="Y237" i="3"/>
  <c r="V237" i="3"/>
  <c r="X237" i="3" s="1"/>
  <c r="Y249" i="3"/>
  <c r="V249" i="3"/>
  <c r="Y256" i="3"/>
  <c r="V256" i="3"/>
  <c r="X256" i="3" s="1"/>
  <c r="Y91" i="3"/>
  <c r="W18" i="3"/>
  <c r="Y18" i="3" s="1"/>
  <c r="U89" i="3"/>
  <c r="Y112" i="3"/>
  <c r="X152" i="3"/>
  <c r="Y151" i="3"/>
  <c r="Y146" i="3"/>
  <c r="Y143" i="3"/>
  <c r="Y137" i="3"/>
  <c r="Y135" i="3"/>
  <c r="Y131" i="3"/>
  <c r="U129" i="3"/>
  <c r="U125" i="3"/>
  <c r="V125" i="3" s="1"/>
  <c r="X125" i="3" s="1"/>
  <c r="V126" i="3"/>
  <c r="X126" i="3" s="1"/>
  <c r="Y123" i="3"/>
  <c r="Y121" i="3"/>
  <c r="Y120" i="3"/>
  <c r="Y119" i="3"/>
  <c r="Y117" i="3"/>
  <c r="U115" i="3"/>
  <c r="V115" i="3" s="1"/>
  <c r="X115" i="3" s="1"/>
  <c r="Y113" i="3"/>
  <c r="Y111" i="3"/>
  <c r="U110" i="3"/>
  <c r="V110" i="3" s="1"/>
  <c r="X110" i="3" s="1"/>
  <c r="Y109" i="3"/>
  <c r="U107" i="3"/>
  <c r="V107" i="3" s="1"/>
  <c r="X107" i="3" s="1"/>
  <c r="Y106" i="3"/>
  <c r="Y102" i="3"/>
  <c r="Y101" i="3"/>
  <c r="Y100" i="3"/>
  <c r="U99" i="3"/>
  <c r="V99" i="3" s="1"/>
  <c r="X99" i="3" s="1"/>
  <c r="U97" i="3"/>
  <c r="V97" i="3" s="1"/>
  <c r="X97" i="3" s="1"/>
  <c r="Y93" i="3"/>
  <c r="Y92" i="3"/>
  <c r="Y85" i="3"/>
  <c r="Y83" i="3"/>
  <c r="Y77" i="3"/>
  <c r="Y75" i="3"/>
  <c r="Y71" i="3"/>
  <c r="Y69" i="3"/>
  <c r="U67" i="3"/>
  <c r="V67" i="3" s="1"/>
  <c r="X67" i="3" s="1"/>
  <c r="Y65" i="3"/>
  <c r="Y63" i="3"/>
  <c r="Y61" i="3"/>
  <c r="Y59" i="3"/>
  <c r="U57" i="3"/>
  <c r="V57" i="3" s="1"/>
  <c r="X57" i="3" s="1"/>
  <c r="Y55" i="3"/>
  <c r="Y53" i="3"/>
  <c r="Y62" i="3"/>
  <c r="Y70" i="3"/>
  <c r="X100" i="3"/>
  <c r="V144" i="3"/>
  <c r="X144" i="3" s="1"/>
  <c r="Y149" i="3"/>
  <c r="X209" i="3"/>
  <c r="X252" i="3"/>
  <c r="X249" i="3"/>
  <c r="V149" i="3"/>
  <c r="X149" i="3" s="1"/>
  <c r="Y54" i="3"/>
  <c r="Y66" i="3"/>
  <c r="Y86" i="3"/>
  <c r="V101" i="3"/>
  <c r="X101" i="3" s="1"/>
  <c r="V109" i="3"/>
  <c r="X109" i="3" s="1"/>
  <c r="V111" i="3"/>
  <c r="X111" i="3" s="1"/>
  <c r="V113" i="3"/>
  <c r="X113" i="3" s="1"/>
  <c r="V134" i="3"/>
  <c r="X134" i="3" s="1"/>
  <c r="X166" i="3"/>
  <c r="X170" i="3"/>
  <c r="X184" i="3"/>
  <c r="X195" i="3"/>
  <c r="X203" i="3"/>
  <c r="X221" i="3"/>
  <c r="X228" i="3"/>
  <c r="V65" i="3"/>
  <c r="X65" i="3" s="1"/>
  <c r="V92" i="3"/>
  <c r="X92" i="3" s="1"/>
  <c r="V61" i="3"/>
  <c r="X61" i="3" s="1"/>
  <c r="V69" i="3"/>
  <c r="X69" i="3" s="1"/>
  <c r="V75" i="3"/>
  <c r="X75" i="3" s="1"/>
  <c r="Y81" i="3"/>
  <c r="Y90" i="3"/>
  <c r="V119" i="3"/>
  <c r="X119" i="3" s="1"/>
  <c r="V131" i="3"/>
  <c r="X131" i="3" s="1"/>
  <c r="V137" i="3"/>
  <c r="X137" i="3" s="1"/>
  <c r="X163" i="3"/>
  <c r="V89" i="3"/>
  <c r="X89" i="3" s="1"/>
  <c r="Y126" i="3"/>
  <c r="X177" i="3"/>
  <c r="V143" i="3"/>
  <c r="X143" i="3" s="1"/>
  <c r="V83" i="3"/>
  <c r="X83" i="3" s="1"/>
  <c r="Y98" i="3"/>
  <c r="Y134" i="3"/>
  <c r="X210" i="3"/>
  <c r="V59" i="3"/>
  <c r="X59" i="3" s="1"/>
  <c r="Y73" i="3"/>
  <c r="Y105" i="3"/>
  <c r="V117" i="3"/>
  <c r="X117" i="3" s="1"/>
  <c r="V120" i="3"/>
  <c r="X120" i="3" s="1"/>
  <c r="Y145" i="3"/>
  <c r="V151" i="3"/>
  <c r="X151" i="3" s="1"/>
  <c r="X175" i="3"/>
  <c r="X208" i="3"/>
  <c r="X226" i="3"/>
  <c r="X247" i="3"/>
  <c r="X251" i="3"/>
  <c r="V51" i="3"/>
  <c r="X51" i="3" s="1"/>
  <c r="W50" i="3"/>
  <c r="Y50" i="3" s="1"/>
  <c r="W49" i="3"/>
  <c r="Y49" i="3" s="1"/>
  <c r="W51" i="3"/>
  <c r="Y51" i="3" s="1"/>
  <c r="U49" i="3"/>
  <c r="V49" i="3" s="1"/>
  <c r="X49" i="3" s="1"/>
  <c r="V47" i="3"/>
  <c r="X47" i="3" s="1"/>
  <c r="U45" i="3"/>
  <c r="V45" i="3" s="1"/>
  <c r="X45" i="3" s="1"/>
  <c r="W43" i="3"/>
  <c r="Y43" i="3" s="1"/>
  <c r="V39" i="3"/>
  <c r="X39" i="3" s="1"/>
  <c r="U41" i="3"/>
  <c r="V41" i="3" s="1"/>
  <c r="X41" i="3" s="1"/>
  <c r="W39" i="3"/>
  <c r="Y39" i="3" s="1"/>
  <c r="W35" i="3"/>
  <c r="Y35" i="3" s="1"/>
  <c r="W34" i="3"/>
  <c r="Y34" i="3" s="1"/>
  <c r="W30" i="3"/>
  <c r="Y30" i="3" s="1"/>
  <c r="U33" i="3"/>
  <c r="V33" i="3" s="1"/>
  <c r="X33" i="3" s="1"/>
  <c r="W31" i="3"/>
  <c r="Y31" i="3" s="1"/>
  <c r="W26" i="3"/>
  <c r="Y26" i="3" s="1"/>
  <c r="W25" i="3"/>
  <c r="Y25" i="3" s="1"/>
  <c r="V25" i="3"/>
  <c r="X25" i="3" s="1"/>
  <c r="W22" i="3"/>
  <c r="Y22" i="3" s="1"/>
  <c r="W21" i="3"/>
  <c r="Y21" i="3" s="1"/>
  <c r="V18" i="3"/>
  <c r="X18" i="3" s="1"/>
  <c r="V17" i="3"/>
  <c r="X17" i="3" s="1"/>
  <c r="W14" i="3"/>
  <c r="Y14" i="3" s="1"/>
  <c r="W13" i="3"/>
  <c r="Y13" i="3" s="1"/>
  <c r="W11" i="3"/>
  <c r="Y11" i="3" s="1"/>
  <c r="V10" i="3"/>
  <c r="X10" i="3" s="1"/>
  <c r="V9" i="3"/>
  <c r="X9" i="3" s="1"/>
  <c r="W7" i="3"/>
  <c r="Y7" i="3" s="1"/>
  <c r="W6" i="3"/>
  <c r="Y6" i="3" s="1"/>
  <c r="U29" i="3"/>
  <c r="V29" i="3" s="1"/>
  <c r="X29" i="3" s="1"/>
  <c r="W27" i="3"/>
  <c r="Y27" i="3" s="1"/>
  <c r="W23" i="3"/>
  <c r="Y23" i="3" s="1"/>
  <c r="U21" i="3"/>
  <c r="V21" i="3" s="1"/>
  <c r="X21" i="3" s="1"/>
  <c r="W19" i="3"/>
  <c r="Y19" i="3" s="1"/>
  <c r="W17" i="3"/>
  <c r="Y17" i="3" s="1"/>
  <c r="U8" i="3"/>
  <c r="V8" i="3" s="1"/>
  <c r="X8" i="3" s="1"/>
  <c r="U16" i="3"/>
  <c r="V16" i="3" s="1"/>
  <c r="X16" i="3" s="1"/>
  <c r="W12" i="3"/>
  <c r="Y12" i="3" s="1"/>
  <c r="W10" i="3"/>
  <c r="Y10" i="3" s="1"/>
  <c r="W9" i="3"/>
  <c r="Y9" i="3" s="1"/>
  <c r="W4" i="3"/>
  <c r="Y4" i="3" s="1"/>
  <c r="L6" i="11"/>
  <c r="M10" i="11"/>
  <c r="M42" i="11"/>
  <c r="M14" i="11"/>
  <c r="L18" i="11"/>
  <c r="L32" i="11"/>
  <c r="M46" i="11"/>
  <c r="L50" i="11"/>
  <c r="L14" i="11"/>
  <c r="M18" i="11"/>
  <c r="L46" i="11"/>
  <c r="M50" i="11"/>
  <c r="L8" i="11"/>
  <c r="M22" i="11"/>
  <c r="L26" i="11"/>
  <c r="L40" i="11"/>
  <c r="M34" i="11"/>
  <c r="M52" i="11"/>
  <c r="M8" i="11"/>
  <c r="M16" i="11"/>
  <c r="M24" i="11"/>
  <c r="M32" i="11"/>
  <c r="M40" i="11"/>
  <c r="M48" i="11"/>
  <c r="M12" i="11"/>
  <c r="M20" i="11"/>
  <c r="M28" i="11"/>
  <c r="U7" i="3"/>
  <c r="V7" i="3" s="1"/>
  <c r="X7" i="3" s="1"/>
  <c r="U15" i="3"/>
  <c r="V15" i="3" s="1"/>
  <c r="X15" i="3" s="1"/>
  <c r="V35" i="3"/>
  <c r="X35" i="3" s="1"/>
  <c r="W40" i="3"/>
  <c r="Y40" i="3" s="1"/>
  <c r="U40" i="3"/>
  <c r="V40" i="3" s="1"/>
  <c r="X40" i="3" s="1"/>
  <c r="Y141" i="3"/>
  <c r="U6" i="3"/>
  <c r="V6" i="3" s="1"/>
  <c r="X6" i="3" s="1"/>
  <c r="U14" i="3"/>
  <c r="V14" i="3" s="1"/>
  <c r="X14" i="3" s="1"/>
  <c r="V23" i="3"/>
  <c r="X23" i="3" s="1"/>
  <c r="U28" i="3"/>
  <c r="V28" i="3" s="1"/>
  <c r="X28" i="3" s="1"/>
  <c r="W28" i="3"/>
  <c r="Y28" i="3" s="1"/>
  <c r="Y64" i="3"/>
  <c r="U64" i="3"/>
  <c r="V64" i="3" s="1"/>
  <c r="X64" i="3" s="1"/>
  <c r="Y133" i="3"/>
  <c r="U133" i="3"/>
  <c r="V133" i="3" s="1"/>
  <c r="X133" i="3" s="1"/>
  <c r="X159" i="3"/>
  <c r="U20" i="3"/>
  <c r="V20" i="3" s="1"/>
  <c r="X20" i="3" s="1"/>
  <c r="W20" i="3"/>
  <c r="Y20" i="3" s="1"/>
  <c r="U52" i="3"/>
  <c r="V52" i="3" s="1"/>
  <c r="X52" i="3" s="1"/>
  <c r="Y52" i="3"/>
  <c r="U5" i="3"/>
  <c r="V5" i="3" s="1"/>
  <c r="X5" i="3" s="1"/>
  <c r="U13" i="3"/>
  <c r="V13" i="3" s="1"/>
  <c r="X13" i="3" s="1"/>
  <c r="V43" i="3"/>
  <c r="X43" i="3" s="1"/>
  <c r="W48" i="3"/>
  <c r="Y48" i="3" s="1"/>
  <c r="U48" i="3"/>
  <c r="V48" i="3" s="1"/>
  <c r="X48" i="3" s="1"/>
  <c r="V55" i="3"/>
  <c r="X55" i="3" s="1"/>
  <c r="U60" i="3"/>
  <c r="V60" i="3" s="1"/>
  <c r="X60" i="3" s="1"/>
  <c r="Y60" i="3"/>
  <c r="V71" i="3"/>
  <c r="X71" i="3" s="1"/>
  <c r="Y79" i="3"/>
  <c r="Y87" i="3"/>
  <c r="Y95" i="3"/>
  <c r="U136" i="3"/>
  <c r="V136" i="3" s="1"/>
  <c r="X136" i="3" s="1"/>
  <c r="Y136" i="3"/>
  <c r="U68" i="3"/>
  <c r="V68" i="3" s="1"/>
  <c r="X68" i="3" s="1"/>
  <c r="Y68" i="3"/>
  <c r="V19" i="3"/>
  <c r="X19" i="3" s="1"/>
  <c r="V31" i="3"/>
  <c r="X31" i="3" s="1"/>
  <c r="U36" i="3"/>
  <c r="V36" i="3" s="1"/>
  <c r="X36" i="3" s="1"/>
  <c r="W36" i="3"/>
  <c r="Y36" i="3" s="1"/>
  <c r="V79" i="3"/>
  <c r="X79" i="3" s="1"/>
  <c r="Y103" i="3"/>
  <c r="U3" i="3"/>
  <c r="V3" i="3" s="1"/>
  <c r="X3" i="3" s="1"/>
  <c r="U11" i="3"/>
  <c r="V11" i="3" s="1"/>
  <c r="X11" i="3" s="1"/>
  <c r="W24" i="3"/>
  <c r="Y24" i="3" s="1"/>
  <c r="U24" i="3"/>
  <c r="V24" i="3" s="1"/>
  <c r="X24" i="3" s="1"/>
  <c r="Y88" i="3"/>
  <c r="U88" i="3"/>
  <c r="V88" i="3" s="1"/>
  <c r="X88" i="3" s="1"/>
  <c r="Y96" i="3"/>
  <c r="U96" i="3"/>
  <c r="V96" i="3" s="1"/>
  <c r="X96" i="3" s="1"/>
  <c r="Y150" i="3"/>
  <c r="V150" i="3"/>
  <c r="X150" i="3" s="1"/>
  <c r="U44" i="3"/>
  <c r="V44" i="3" s="1"/>
  <c r="X44" i="3" s="1"/>
  <c r="W44" i="3"/>
  <c r="Y44" i="3" s="1"/>
  <c r="Y56" i="3"/>
  <c r="U56" i="3"/>
  <c r="V56" i="3" s="1"/>
  <c r="X56" i="3" s="1"/>
  <c r="Y72" i="3"/>
  <c r="U72" i="3"/>
  <c r="V72" i="3" s="1"/>
  <c r="X72" i="3" s="1"/>
  <c r="Y80" i="3"/>
  <c r="U80" i="3"/>
  <c r="V80" i="3" s="1"/>
  <c r="X80" i="3" s="1"/>
  <c r="Y104" i="3"/>
  <c r="U104" i="3"/>
  <c r="V104" i="3" s="1"/>
  <c r="X104" i="3" s="1"/>
  <c r="V27" i="3"/>
  <c r="X27" i="3" s="1"/>
  <c r="W32" i="3"/>
  <c r="Y32" i="3" s="1"/>
  <c r="U32" i="3"/>
  <c r="V32" i="3" s="1"/>
  <c r="X32" i="3" s="1"/>
  <c r="V63" i="3"/>
  <c r="X63" i="3" s="1"/>
  <c r="Y114" i="3"/>
  <c r="U114" i="3"/>
  <c r="V114" i="3" s="1"/>
  <c r="X114" i="3" s="1"/>
  <c r="Y127" i="3"/>
  <c r="V127" i="3"/>
  <c r="X127" i="3" s="1"/>
  <c r="Y147" i="3"/>
  <c r="U147" i="3"/>
  <c r="V147" i="3" s="1"/>
  <c r="X147" i="3" s="1"/>
  <c r="U26" i="3"/>
  <c r="V26" i="3" s="1"/>
  <c r="X26" i="3" s="1"/>
  <c r="U34" i="3"/>
  <c r="V34" i="3" s="1"/>
  <c r="X34" i="3" s="1"/>
  <c r="U42" i="3"/>
  <c r="V42" i="3" s="1"/>
  <c r="X42" i="3" s="1"/>
  <c r="U50" i="3"/>
  <c r="V50" i="3" s="1"/>
  <c r="X50" i="3" s="1"/>
  <c r="U58" i="3"/>
  <c r="V58" i="3" s="1"/>
  <c r="X58" i="3" s="1"/>
  <c r="U66" i="3"/>
  <c r="V66" i="3" s="1"/>
  <c r="X66" i="3" s="1"/>
  <c r="U74" i="3"/>
  <c r="V74" i="3" s="1"/>
  <c r="X74" i="3" s="1"/>
  <c r="Y76" i="3"/>
  <c r="U82" i="3"/>
  <c r="V82" i="3" s="1"/>
  <c r="X82" i="3" s="1"/>
  <c r="Y84" i="3"/>
  <c r="U90" i="3"/>
  <c r="V90" i="3" s="1"/>
  <c r="X90" i="3" s="1"/>
  <c r="V98" i="3"/>
  <c r="X98" i="3" s="1"/>
  <c r="U142" i="3"/>
  <c r="V142" i="3" s="1"/>
  <c r="X142" i="3" s="1"/>
  <c r="X165" i="3"/>
  <c r="X181" i="3"/>
  <c r="X214" i="3"/>
  <c r="X246" i="3"/>
  <c r="Y108" i="3"/>
  <c r="U108" i="3"/>
  <c r="V108" i="3" s="1"/>
  <c r="X108" i="3" s="1"/>
  <c r="Y122" i="3"/>
  <c r="U122" i="3"/>
  <c r="V122" i="3" s="1"/>
  <c r="X122" i="3" s="1"/>
  <c r="Y128" i="3"/>
  <c r="V139" i="3"/>
  <c r="X139" i="3" s="1"/>
  <c r="Y148" i="3"/>
  <c r="X185" i="3"/>
  <c r="X202" i="3"/>
  <c r="X218" i="3"/>
  <c r="X234" i="3"/>
  <c r="X250" i="3"/>
  <c r="U87" i="3"/>
  <c r="V87" i="3" s="1"/>
  <c r="X87" i="3" s="1"/>
  <c r="U95" i="3"/>
  <c r="V95" i="3" s="1"/>
  <c r="X95" i="3" s="1"/>
  <c r="U103" i="3"/>
  <c r="V103" i="3" s="1"/>
  <c r="X103" i="3" s="1"/>
  <c r="Y116" i="3"/>
  <c r="U116" i="3"/>
  <c r="V116" i="3" s="1"/>
  <c r="X116" i="3" s="1"/>
  <c r="Y130" i="3"/>
  <c r="U130" i="3"/>
  <c r="V130" i="3" s="1"/>
  <c r="X130" i="3" s="1"/>
  <c r="U141" i="3"/>
  <c r="V141" i="3" s="1"/>
  <c r="X141" i="3" s="1"/>
  <c r="V146" i="3"/>
  <c r="X146" i="3" s="1"/>
  <c r="U148" i="3"/>
  <c r="V148" i="3" s="1"/>
  <c r="X148" i="3" s="1"/>
  <c r="X157" i="3"/>
  <c r="U22" i="3"/>
  <c r="V22" i="3" s="1"/>
  <c r="X22" i="3" s="1"/>
  <c r="U30" i="3"/>
  <c r="V30" i="3" s="1"/>
  <c r="X30" i="3" s="1"/>
  <c r="U38" i="3"/>
  <c r="V38" i="3" s="1"/>
  <c r="X38" i="3" s="1"/>
  <c r="U46" i="3"/>
  <c r="V46" i="3" s="1"/>
  <c r="X46" i="3" s="1"/>
  <c r="U54" i="3"/>
  <c r="V54" i="3" s="1"/>
  <c r="X54" i="3" s="1"/>
  <c r="U62" i="3"/>
  <c r="V62" i="3" s="1"/>
  <c r="X62" i="3" s="1"/>
  <c r="U70" i="3"/>
  <c r="V70" i="3" s="1"/>
  <c r="X70" i="3" s="1"/>
  <c r="U78" i="3"/>
  <c r="V78" i="3" s="1"/>
  <c r="X78" i="3" s="1"/>
  <c r="U86" i="3"/>
  <c r="V86" i="3" s="1"/>
  <c r="X86" i="3" s="1"/>
  <c r="U94" i="3"/>
  <c r="V94" i="3" s="1"/>
  <c r="X94" i="3" s="1"/>
  <c r="Y124" i="3"/>
  <c r="U124" i="3"/>
  <c r="V124" i="3" s="1"/>
  <c r="X124" i="3" s="1"/>
  <c r="Y138" i="3"/>
  <c r="U138" i="3"/>
  <c r="V138" i="3" s="1"/>
  <c r="X138" i="3" s="1"/>
  <c r="Y144" i="3"/>
  <c r="X173" i="3"/>
  <c r="X222" i="3"/>
  <c r="X238" i="3"/>
  <c r="X254" i="3"/>
  <c r="U118" i="3"/>
  <c r="V118" i="3" s="1"/>
  <c r="X118" i="3" s="1"/>
  <c r="Y132" i="3"/>
  <c r="U132" i="3"/>
  <c r="V132" i="3" s="1"/>
  <c r="X132" i="3" s="1"/>
  <c r="X183" i="3"/>
  <c r="X199" i="3"/>
  <c r="X216" i="3"/>
  <c r="X232" i="3"/>
  <c r="X248" i="3"/>
  <c r="V129" i="3"/>
  <c r="X129" i="3" s="1"/>
  <c r="Y140" i="3"/>
  <c r="U140" i="3"/>
  <c r="V140" i="3" s="1"/>
  <c r="X140" i="3" s="1"/>
  <c r="X155" i="3"/>
  <c r="U145" i="3"/>
  <c r="V145" i="3" s="1"/>
  <c r="X145" i="3" s="1"/>
  <c r="X153" i="3"/>
  <c r="X161" i="3"/>
</calcChain>
</file>

<file path=xl/sharedStrings.xml><?xml version="1.0" encoding="utf-8"?>
<sst xmlns="http://schemas.openxmlformats.org/spreadsheetml/2006/main" count="1452" uniqueCount="93">
  <si>
    <t>Date (m/d/y)</t>
  </si>
  <si>
    <t>Time for data collection</t>
  </si>
  <si>
    <t>Time for feeding</t>
  </si>
  <si>
    <t>Time (Day)</t>
  </si>
  <si>
    <t>Manure fed (kg)</t>
  </si>
  <si>
    <t>Water added (kg)</t>
  </si>
  <si>
    <t>Biogas Reading (No.)time 09:10am</t>
  </si>
  <si>
    <t>Air Temp (C)time 09:15am</t>
  </si>
  <si>
    <t>DigesterTemp (C)time 09:25am</t>
  </si>
  <si>
    <t>pH</t>
  </si>
  <si>
    <t>TS (%)</t>
  </si>
  <si>
    <t>Ash(%) wet weight basis</t>
  </si>
  <si>
    <t>VS (%) wet weight basis</t>
  </si>
  <si>
    <t>Vs (%) dry matter weight basis</t>
  </si>
  <si>
    <t>TAN (mg N/L)</t>
  </si>
  <si>
    <t>CH4(%)</t>
  </si>
  <si>
    <t>CO2(%)</t>
  </si>
  <si>
    <t>NO Gas Bags produced</t>
  </si>
  <si>
    <t>Gas Temp (*C)</t>
  </si>
  <si>
    <t>Daily Biogas (mL)</t>
  </si>
  <si>
    <t>Daily CH4 (mL)</t>
  </si>
  <si>
    <t>Daily CH4 at STP (mL)</t>
  </si>
  <si>
    <t>Daily Biogas at STP (mL)</t>
  </si>
  <si>
    <t>Daily CH4 at STP (mL)/g vs</t>
  </si>
  <si>
    <t>Daily Biogas at STP (mL)/g vs</t>
  </si>
  <si>
    <t>Acetate (mg/L)</t>
  </si>
  <si>
    <t>VFA (mg/L)</t>
  </si>
  <si>
    <t>Comment</t>
  </si>
  <si>
    <t>@</t>
  </si>
  <si>
    <t>R3</t>
  </si>
  <si>
    <t>Digester Temp C</t>
  </si>
  <si>
    <t>kg VS</t>
  </si>
  <si>
    <t>OlsenP</t>
  </si>
  <si>
    <t>NH4+ (mg N/L)</t>
  </si>
  <si>
    <t>NO3- (mg N/L)</t>
  </si>
  <si>
    <t>NDF (%)</t>
  </si>
  <si>
    <t>ADF (%)</t>
  </si>
  <si>
    <t>ADL (%)</t>
  </si>
  <si>
    <t>C (%)</t>
  </si>
  <si>
    <t>N(%)</t>
  </si>
  <si>
    <t>PH</t>
  </si>
  <si>
    <t>Ammonium (μg NH4-N g-1 DW)</t>
  </si>
  <si>
    <t>Nitrate (μg NO3-N g-1 DW)</t>
  </si>
  <si>
    <t>Corrected Average CH4 Conc (%)</t>
  </si>
  <si>
    <t>Corrected Average CO2 Conc (%)</t>
  </si>
  <si>
    <t>Sampling Date(mmddyyyy)</t>
  </si>
  <si>
    <t>Sample Name</t>
  </si>
  <si>
    <t>CH4 Conc (ppm)</t>
  </si>
  <si>
    <t>CO2 Conc (ppm)</t>
  </si>
  <si>
    <t>CH4 Conc (%)</t>
  </si>
  <si>
    <t>CO2 Conc (%)</t>
  </si>
  <si>
    <t>average CH4</t>
  </si>
  <si>
    <t>average CO2</t>
  </si>
  <si>
    <t>Dillution</t>
  </si>
  <si>
    <t>Average CH4 Conc (%)</t>
  </si>
  <si>
    <t>Average CO2 Conc (%)</t>
  </si>
  <si>
    <t>Key</t>
  </si>
  <si>
    <t>BDA = Biodigester A</t>
  </si>
  <si>
    <t>BDB = Biodigester B</t>
  </si>
  <si>
    <t>DigesterTemp (C)09:25am</t>
  </si>
  <si>
    <t>20kg</t>
  </si>
  <si>
    <t>repairing broken pipe</t>
  </si>
  <si>
    <t>140kg</t>
  </si>
  <si>
    <t>13/2/2024</t>
  </si>
  <si>
    <t>14/2/2024</t>
  </si>
  <si>
    <t>15/2/2024</t>
  </si>
  <si>
    <t>nl</t>
  </si>
  <si>
    <t>19/2/2024</t>
  </si>
  <si>
    <t>20/2/2024</t>
  </si>
  <si>
    <t>21/2/2024</t>
  </si>
  <si>
    <t>16/2/2024</t>
  </si>
  <si>
    <t>17/2/2024</t>
  </si>
  <si>
    <t>22/2/2024</t>
  </si>
  <si>
    <t>23/2/2024</t>
  </si>
  <si>
    <t>24/2/2024</t>
  </si>
  <si>
    <t>26/2/2024</t>
  </si>
  <si>
    <t>27/2/2024</t>
  </si>
  <si>
    <t>28/2/2024</t>
  </si>
  <si>
    <t>29/2/2024</t>
  </si>
  <si>
    <t xml:space="preserve">repair </t>
  </si>
  <si>
    <t>repair</t>
  </si>
  <si>
    <t>repar</t>
  </si>
  <si>
    <t>flarinf experiment running</t>
  </si>
  <si>
    <t>closed valve</t>
  </si>
  <si>
    <t>meter was swarped from r2</t>
  </si>
  <si>
    <t xml:space="preserve">                                                                           </t>
  </si>
  <si>
    <t>valve was closed</t>
  </si>
  <si>
    <t>feeding done in the afternoon</t>
  </si>
  <si>
    <t>valve closed at 4pm and oped at 8am</t>
  </si>
  <si>
    <t>weekend</t>
  </si>
  <si>
    <t>after opening the valve the meter reversed</t>
  </si>
  <si>
    <t xml:space="preserve">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</si>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</sst>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0"/>
      <color theme="0"/>
      <name val="Arial"/>
      <family val="2"/>
    </font>
    <font>
      <sz val="11"/>
      <color theme="0"/>
      <name val="Calibri"/>
      <family val="2"/>
    </font>
    <font>
      <b/>
      <sz val="11"/>
      <color rgb="FF434343"/>
      <name val="Calibri"/>
      <family val="2"/>
    </font>
    <font>
      <b/>
      <sz val="11"/>
      <color theme="1"/>
      <name val="Calibri"/>
      <family val="2"/>
    </font>
    <font>
      <sz val="11"/>
      <color rgb="FF434343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A6E3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18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18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4" fillId="2" borderId="1" xfId="0" applyFont="1" applyFill="1" applyBorder="1" applyAlignment="1">
      <alignment wrapText="1"/>
    </xf>
    <xf numFmtId="0" fontId="1" fillId="6" borderId="2" xfId="0" applyFont="1" applyFill="1" applyBorder="1" applyAlignment="1">
      <alignment vertical="top" wrapText="1"/>
    </xf>
    <xf numFmtId="0" fontId="1" fillId="7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8" fontId="2" fillId="2" borderId="1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4" fillId="6" borderId="1" xfId="0" applyFont="1" applyFill="1" applyBorder="1" applyAlignment="1">
      <alignment horizontal="right" wrapText="1"/>
    </xf>
    <xf numFmtId="0" fontId="4" fillId="7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right" wrapText="1"/>
    </xf>
    <xf numFmtId="0" fontId="1" fillId="5" borderId="2" xfId="0" applyFont="1" applyFill="1" applyBorder="1" applyAlignment="1">
      <alignment vertical="top" wrapText="1"/>
    </xf>
    <xf numFmtId="0" fontId="1" fillId="5" borderId="2" xfId="0" applyFont="1" applyFill="1" applyBorder="1" applyAlignment="1">
      <alignment horizontal="right" vertical="top" wrapText="1"/>
    </xf>
    <xf numFmtId="0" fontId="1" fillId="5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0" fontId="2" fillId="5" borderId="3" xfId="0" applyFont="1" applyFill="1" applyBorder="1" applyAlignment="1">
      <alignment wrapText="1"/>
    </xf>
    <xf numFmtId="0" fontId="4" fillId="5" borderId="4" xfId="0" applyFont="1" applyFill="1" applyBorder="1" applyAlignment="1">
      <alignment horizontal="right" wrapText="1"/>
    </xf>
    <xf numFmtId="0" fontId="1" fillId="9" borderId="2" xfId="0" applyFont="1" applyFill="1" applyBorder="1" applyAlignment="1">
      <alignment vertical="top" wrapText="1"/>
    </xf>
    <xf numFmtId="0" fontId="4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1" fillId="4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right" wrapText="1"/>
    </xf>
    <xf numFmtId="0" fontId="2" fillId="10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9" fontId="4" fillId="0" borderId="1" xfId="0" applyNumberFormat="1" applyFont="1" applyBorder="1" applyAlignment="1">
      <alignment horizontal="right" wrapText="1"/>
    </xf>
    <xf numFmtId="10" fontId="4" fillId="0" borderId="1" xfId="0" applyNumberFormat="1" applyFont="1" applyBorder="1" applyAlignment="1">
      <alignment horizontal="right" wrapText="1"/>
    </xf>
    <xf numFmtId="9" fontId="2" fillId="0" borderId="1" xfId="0" applyNumberFormat="1" applyFont="1" applyBorder="1" applyAlignment="1">
      <alignment horizontal="right" wrapText="1"/>
    </xf>
    <xf numFmtId="14" fontId="4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14" fontId="12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8" fillId="8" borderId="1" xfId="0" applyFont="1" applyFill="1" applyBorder="1" applyAlignment="1">
      <alignment wrapText="1"/>
    </xf>
    <xf numFmtId="0" fontId="9" fillId="8" borderId="1" xfId="0" applyFont="1" applyFill="1" applyBorder="1" applyAlignment="1">
      <alignment wrapText="1"/>
    </xf>
    <xf numFmtId="0" fontId="10" fillId="8" borderId="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18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20" fontId="2" fillId="2" borderId="1" xfId="0" applyNumberFormat="1" applyFont="1" applyFill="1" applyBorder="1" applyAlignment="1">
      <alignment wrapText="1"/>
    </xf>
    <xf numFmtId="0" fontId="0" fillId="2" borderId="0" xfId="0" applyFill="1"/>
    <xf numFmtId="10" fontId="2" fillId="5" borderId="1" xfId="0" applyNumberFormat="1" applyFont="1" applyFill="1" applyBorder="1" applyAlignment="1">
      <alignment wrapText="1"/>
    </xf>
    <xf numFmtId="10" fontId="4" fillId="5" borderId="1" xfId="0" applyNumberFormat="1" applyFont="1" applyFill="1" applyBorder="1" applyAlignment="1">
      <alignment wrapText="1"/>
    </xf>
    <xf numFmtId="10" fontId="3" fillId="5" borderId="1" xfId="0" applyNumberFormat="1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2" fillId="5" borderId="8" xfId="0" applyFont="1" applyFill="1" applyBorder="1" applyAlignment="1">
      <alignment wrapText="1"/>
    </xf>
    <xf numFmtId="0" fontId="0" fillId="5" borderId="0" xfId="0" applyFill="1"/>
    <xf numFmtId="18" fontId="2" fillId="5" borderId="1" xfId="0" applyNumberFormat="1" applyFont="1" applyFill="1" applyBorder="1" applyAlignment="1">
      <alignment wrapText="1"/>
    </xf>
    <xf numFmtId="18" fontId="2" fillId="2" borderId="1" xfId="0" applyNumberFormat="1" applyFont="1" applyFill="1" applyBorder="1" applyAlignment="1">
      <alignment horizontal="right" wrapText="1"/>
    </xf>
    <xf numFmtId="18" fontId="2" fillId="5" borderId="1" xfId="0" applyNumberFormat="1" applyFont="1" applyFill="1" applyBorder="1" applyAlignment="1">
      <alignment horizontal="right" wrapText="1"/>
    </xf>
    <xf numFmtId="18" fontId="2" fillId="5" borderId="1" xfId="0" applyNumberFormat="1" applyFont="1" applyFill="1" applyBorder="1" applyAlignment="1">
      <alignment horizontal="center" wrapText="1"/>
    </xf>
    <xf numFmtId="0" fontId="0" fillId="0" borderId="0" xfId="0"/>
    <xf numFmtId="0" fontId="2" fillId="2" borderId="1" xfId="0" applyFont="1" applyFill="1" applyBorder="1" applyAlignment="1">
      <alignment wrapText="1"/>
    </xf>
    <xf numFmtId="18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18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10" fontId="2" fillId="5" borderId="1" xfId="0" applyNumberFormat="1" applyFont="1" applyFill="1" applyBorder="1" applyAlignment="1">
      <alignment wrapText="1"/>
    </xf>
    <xf numFmtId="10" fontId="3" fillId="5" borderId="1" xfId="0" applyNumberFormat="1" applyFont="1" applyFill="1" applyBorder="1" applyAlignment="1">
      <alignment wrapText="1"/>
    </xf>
    <xf numFmtId="0" fontId="14" fillId="2" borderId="1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wrapText="1"/>
    </xf>
    <xf numFmtId="0" fontId="2" fillId="5" borderId="8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Mwangi\Downloads\Anaerobic%20Digesters%20-%202023%20D.%20Mulat%20(ILR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1_Flexi"/>
      <sheetName val="R2_Flexi"/>
      <sheetName val="R3_Fixed-Dome"/>
      <sheetName val="Manure"/>
      <sheetName val="Bioslurry_Gas_R1"/>
      <sheetName val="R4_Fixed-Dome"/>
      <sheetName val="GAS"/>
      <sheetName val="Bioslurry_Gas_R2"/>
      <sheetName val="Bioslurry_Gas_R3"/>
      <sheetName val="Bioslurry_Gas_R4"/>
    </sheetNames>
    <sheetDataSet>
      <sheetData sheetId="0"/>
      <sheetData sheetId="1"/>
      <sheetData sheetId="2"/>
      <sheetData sheetId="3">
        <row r="2">
          <cell r="I2">
            <v>1.4021878000000001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D7BB-D983-452E-83D3-3AA810B61E4E}">
  <dimension ref="A1:AC1253"/>
  <sheetViews>
    <sheetView topLeftCell="A282" workbookViewId="0">
      <selection activeCell="O309" sqref="O309"/>
    </sheetView>
  </sheetViews>
  <sheetFormatPr defaultRowHeight="15" x14ac:dyDescent="0.25"/>
  <cols>
    <col min="1" max="1" width="12" customWidth="1"/>
    <col min="2" max="2" width="13.42578125" bestFit="1" customWidth="1"/>
    <col min="4" max="4" width="9.140625" style="74"/>
    <col min="7" max="7" width="12" style="74" bestFit="1" customWidth="1"/>
    <col min="28" max="28" width="18.5703125" customWidth="1"/>
  </cols>
  <sheetData>
    <row r="1" spans="1:29" ht="64.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59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5" t="s">
        <v>28</v>
      </c>
    </row>
    <row r="2" spans="1:29" ht="15.75" thickBot="1" x14ac:dyDescent="0.3">
      <c r="A2" s="13">
        <v>45295</v>
      </c>
      <c r="B2" s="33">
        <v>0.5</v>
      </c>
      <c r="C2" s="6"/>
      <c r="D2" s="6"/>
      <c r="E2" s="6"/>
      <c r="F2" s="6"/>
      <c r="G2" s="6">
        <v>8355</v>
      </c>
      <c r="H2" s="6">
        <v>23.4</v>
      </c>
      <c r="I2" s="6">
        <v>23.4</v>
      </c>
      <c r="J2" s="21"/>
      <c r="K2" s="24"/>
      <c r="L2" s="24"/>
      <c r="M2" s="24"/>
      <c r="N2" s="24"/>
      <c r="O2" s="21"/>
      <c r="P2" s="21"/>
      <c r="Q2" s="21"/>
      <c r="R2" s="21"/>
      <c r="S2" s="10">
        <f>H2</f>
        <v>23.4</v>
      </c>
      <c r="T2" s="11"/>
      <c r="U2" s="11">
        <f>T2*(I2/100)</f>
        <v>0</v>
      </c>
      <c r="V2" s="11">
        <f t="shared" ref="V2:V30" si="0">U2*(273/(273+S2))</f>
        <v>0</v>
      </c>
      <c r="W2" s="12"/>
      <c r="X2" s="12"/>
      <c r="Y2" s="12"/>
      <c r="Z2" s="12"/>
      <c r="AA2" s="12"/>
      <c r="AB2" s="11"/>
      <c r="AC2" s="11"/>
    </row>
    <row r="3" spans="1:29" ht="15.75" thickBot="1" x14ac:dyDescent="0.3">
      <c r="A3" s="13">
        <v>45297</v>
      </c>
      <c r="B3" s="73"/>
      <c r="C3" s="6"/>
      <c r="D3" s="6"/>
      <c r="E3" s="6"/>
      <c r="F3" s="6"/>
      <c r="G3" s="6">
        <v>8355</v>
      </c>
      <c r="H3" s="6">
        <v>29.8</v>
      </c>
      <c r="I3" s="6">
        <v>24.6</v>
      </c>
      <c r="J3" s="21"/>
      <c r="K3" s="24"/>
      <c r="L3" s="24"/>
      <c r="M3" s="24"/>
      <c r="N3" s="24"/>
      <c r="O3" s="21"/>
      <c r="P3" s="21"/>
      <c r="Q3" s="22"/>
      <c r="R3" s="21"/>
      <c r="S3" s="10">
        <f>H3</f>
        <v>29.8</v>
      </c>
      <c r="T3" s="11">
        <f>G3-G2</f>
        <v>0</v>
      </c>
      <c r="U3" s="11">
        <f t="shared" ref="U3:U30" si="1">T3*(P3/100)</f>
        <v>0</v>
      </c>
      <c r="V3" s="11">
        <f t="shared" si="0"/>
        <v>0</v>
      </c>
      <c r="W3" s="12">
        <f t="shared" ref="W3:W30" si="2">T3*(273/(273+S3))</f>
        <v>0</v>
      </c>
      <c r="X3" s="12">
        <f>V3/[1]Manure!$I$2</f>
        <v>0</v>
      </c>
      <c r="Y3" s="12">
        <f>W3/[1]Manure!$I$2</f>
        <v>0</v>
      </c>
      <c r="Z3" s="12"/>
      <c r="AA3" s="12"/>
      <c r="AB3" s="11"/>
      <c r="AC3" s="11"/>
    </row>
    <row r="4" spans="1:29" ht="15.75" thickBot="1" x14ac:dyDescent="0.3">
      <c r="A4" s="13">
        <v>45300</v>
      </c>
      <c r="B4" s="33">
        <v>0.5</v>
      </c>
      <c r="C4" s="6"/>
      <c r="E4" s="6" t="s">
        <v>60</v>
      </c>
      <c r="F4" s="6">
        <v>30</v>
      </c>
      <c r="G4" s="6">
        <v>8355</v>
      </c>
      <c r="H4" s="6">
        <v>27.5</v>
      </c>
      <c r="I4" s="6">
        <v>25.4</v>
      </c>
      <c r="J4" s="21"/>
      <c r="K4" s="24"/>
      <c r="L4" s="24"/>
      <c r="M4" s="24"/>
      <c r="N4" s="24"/>
      <c r="O4" s="21"/>
      <c r="P4" s="21"/>
      <c r="Q4" s="22"/>
      <c r="R4" s="21"/>
      <c r="S4" s="10">
        <f>H4</f>
        <v>27.5</v>
      </c>
      <c r="T4" s="11">
        <f t="shared" ref="T4:T67" si="3">G4-G3</f>
        <v>0</v>
      </c>
      <c r="U4" s="11">
        <f t="shared" si="1"/>
        <v>0</v>
      </c>
      <c r="V4" s="11">
        <f t="shared" si="0"/>
        <v>0</v>
      </c>
      <c r="W4" s="12">
        <f t="shared" si="2"/>
        <v>0</v>
      </c>
      <c r="X4" s="12">
        <f>V4/[1]Manure!$I$2</f>
        <v>0</v>
      </c>
      <c r="Y4" s="12">
        <f>W4/[1]Manure!$I$2</f>
        <v>0</v>
      </c>
      <c r="Z4" s="12"/>
      <c r="AA4" s="12"/>
      <c r="AB4" s="11"/>
      <c r="AC4" s="11"/>
    </row>
    <row r="5" spans="1:29" ht="15.75" thickBot="1" x14ac:dyDescent="0.3">
      <c r="A5" s="13">
        <v>45301</v>
      </c>
      <c r="B5" s="33">
        <v>0.5</v>
      </c>
      <c r="C5" s="6"/>
      <c r="E5" s="6"/>
      <c r="F5" s="6"/>
      <c r="G5" s="6">
        <v>8355</v>
      </c>
      <c r="H5" s="6">
        <v>25.4</v>
      </c>
      <c r="I5" s="6">
        <v>27.2</v>
      </c>
      <c r="J5" s="21"/>
      <c r="K5" s="24"/>
      <c r="L5" s="24"/>
      <c r="M5" s="24"/>
      <c r="N5" s="24"/>
      <c r="O5" s="21"/>
      <c r="P5" s="21"/>
      <c r="Q5" s="22"/>
      <c r="R5" s="21"/>
      <c r="S5" s="10">
        <f t="shared" ref="S4:S67" si="4">H5</f>
        <v>25.4</v>
      </c>
      <c r="T5" s="11">
        <f>G5-G4</f>
        <v>0</v>
      </c>
      <c r="U5" s="11">
        <f t="shared" si="1"/>
        <v>0</v>
      </c>
      <c r="V5" s="11">
        <f t="shared" si="0"/>
        <v>0</v>
      </c>
      <c r="W5" s="12">
        <f t="shared" si="2"/>
        <v>0</v>
      </c>
      <c r="X5" s="12">
        <f>V5/[1]Manure!$I$2</f>
        <v>0</v>
      </c>
      <c r="Y5" s="12">
        <f>W5/[1]Manure!$I$2</f>
        <v>0</v>
      </c>
      <c r="Z5" s="12"/>
      <c r="AA5" s="12"/>
      <c r="AB5" s="11"/>
      <c r="AC5" s="11"/>
    </row>
    <row r="6" spans="1:29" ht="15.75" thickBot="1" x14ac:dyDescent="0.3">
      <c r="A6" s="13">
        <v>45302</v>
      </c>
      <c r="B6" s="33">
        <v>0.4375</v>
      </c>
      <c r="C6" s="6"/>
      <c r="E6" s="6" t="s">
        <v>60</v>
      </c>
      <c r="F6" s="6">
        <v>30</v>
      </c>
      <c r="G6" s="6">
        <v>8605</v>
      </c>
      <c r="H6" s="6">
        <v>22.7</v>
      </c>
      <c r="I6" s="6">
        <v>28.1</v>
      </c>
      <c r="J6" s="21"/>
      <c r="K6" s="24"/>
      <c r="L6" s="24"/>
      <c r="M6" s="24"/>
      <c r="N6" s="24"/>
      <c r="O6" s="21"/>
      <c r="P6" s="21"/>
      <c r="Q6" s="22"/>
      <c r="R6" s="21"/>
      <c r="S6" s="10">
        <f>H6</f>
        <v>22.7</v>
      </c>
      <c r="T6" s="95">
        <f t="shared" ref="T6:T69" si="5">G6-G5</f>
        <v>250</v>
      </c>
      <c r="U6" s="11">
        <f t="shared" si="1"/>
        <v>0</v>
      </c>
      <c r="V6" s="11">
        <f t="shared" si="0"/>
        <v>0</v>
      </c>
      <c r="W6" s="12">
        <f t="shared" si="2"/>
        <v>230.80825160635783</v>
      </c>
      <c r="X6" s="12">
        <f>V6/[1]Manure!$I$2</f>
        <v>0</v>
      </c>
      <c r="Y6" s="12">
        <f>W6/[1]Manure!$I$2</f>
        <v>164.60580501866997</v>
      </c>
      <c r="Z6" s="12"/>
      <c r="AA6" s="12"/>
      <c r="AB6" s="11"/>
      <c r="AC6" s="11"/>
    </row>
    <row r="7" spans="1:29" ht="15.75" thickBot="1" x14ac:dyDescent="0.3">
      <c r="A7" s="13">
        <v>45303</v>
      </c>
      <c r="B7" s="33">
        <v>0.47916666666666669</v>
      </c>
      <c r="C7" s="6"/>
      <c r="E7" s="6" t="s">
        <v>60</v>
      </c>
      <c r="F7" s="6">
        <v>30</v>
      </c>
      <c r="G7" s="6">
        <v>8947</v>
      </c>
      <c r="H7" s="6">
        <v>27.1</v>
      </c>
      <c r="I7" s="6">
        <v>26.3</v>
      </c>
      <c r="J7" s="21"/>
      <c r="K7" s="24"/>
      <c r="L7" s="24"/>
      <c r="M7" s="24"/>
      <c r="N7" s="24"/>
      <c r="O7" s="21"/>
      <c r="P7" s="21"/>
      <c r="Q7" s="22"/>
      <c r="R7" s="21"/>
      <c r="S7" s="94">
        <f t="shared" ref="S7:S70" si="6">H7</f>
        <v>27.1</v>
      </c>
      <c r="T7" s="95">
        <f t="shared" si="3"/>
        <v>342</v>
      </c>
      <c r="U7" s="11">
        <f t="shared" si="1"/>
        <v>0</v>
      </c>
      <c r="V7" s="11">
        <f t="shared" si="0"/>
        <v>0</v>
      </c>
      <c r="W7" s="12">
        <f t="shared" si="2"/>
        <v>311.11629456847714</v>
      </c>
      <c r="X7" s="12">
        <f>V7/[1]Manure!$I$2</f>
        <v>0</v>
      </c>
      <c r="Y7" s="12">
        <f>W7/[1]Manure!$I$2</f>
        <v>221.87919091043091</v>
      </c>
      <c r="Z7" s="12"/>
      <c r="AA7" s="12"/>
      <c r="AB7" s="11"/>
      <c r="AC7" s="11"/>
    </row>
    <row r="8" spans="1:29" ht="15.75" thickBot="1" x14ac:dyDescent="0.3">
      <c r="A8" s="13">
        <v>45304</v>
      </c>
      <c r="B8" s="33">
        <v>0.41666666666666669</v>
      </c>
      <c r="C8" s="6"/>
      <c r="E8" s="6" t="s">
        <v>60</v>
      </c>
      <c r="F8" s="6">
        <v>30</v>
      </c>
      <c r="G8" s="6">
        <v>9242</v>
      </c>
      <c r="H8" s="6">
        <v>22.7</v>
      </c>
      <c r="I8" s="6">
        <v>25.9</v>
      </c>
      <c r="J8" s="21"/>
      <c r="K8" s="24"/>
      <c r="L8" s="24"/>
      <c r="M8" s="24"/>
      <c r="N8" s="24"/>
      <c r="O8" s="21"/>
      <c r="P8" s="21"/>
      <c r="Q8" s="22"/>
      <c r="R8" s="21"/>
      <c r="S8" s="94">
        <f t="shared" si="6"/>
        <v>22.7</v>
      </c>
      <c r="T8" s="95">
        <f t="shared" si="3"/>
        <v>295</v>
      </c>
      <c r="U8" s="11">
        <f t="shared" si="1"/>
        <v>0</v>
      </c>
      <c r="V8" s="11">
        <f t="shared" si="0"/>
        <v>0</v>
      </c>
      <c r="W8" s="12">
        <f t="shared" si="2"/>
        <v>272.35373689550221</v>
      </c>
      <c r="X8" s="12">
        <f>V8/[1]Manure!$I$2</f>
        <v>0</v>
      </c>
      <c r="Y8" s="12">
        <f>W8/[1]Manure!$I$2</f>
        <v>194.23484992203055</v>
      </c>
      <c r="Z8" s="12"/>
      <c r="AA8" s="12"/>
      <c r="AB8" s="11"/>
      <c r="AC8" s="11"/>
    </row>
    <row r="9" spans="1:29" ht="15.75" thickBot="1" x14ac:dyDescent="0.3">
      <c r="A9" s="13">
        <v>45306</v>
      </c>
      <c r="B9" s="33">
        <v>0.41666666666666669</v>
      </c>
      <c r="C9" s="33"/>
      <c r="E9" s="33" t="s">
        <v>60</v>
      </c>
      <c r="F9" s="6">
        <v>30</v>
      </c>
      <c r="G9" s="6">
        <v>9578</v>
      </c>
      <c r="H9" s="6">
        <v>23.4</v>
      </c>
      <c r="I9" s="6">
        <v>26.2</v>
      </c>
      <c r="J9" s="21"/>
      <c r="K9" s="24"/>
      <c r="L9" s="24"/>
      <c r="M9" s="24"/>
      <c r="N9" s="24"/>
      <c r="O9" s="21"/>
      <c r="P9" s="21"/>
      <c r="Q9" s="22"/>
      <c r="R9" s="21"/>
      <c r="S9" s="94">
        <f t="shared" si="6"/>
        <v>23.4</v>
      </c>
      <c r="T9" s="95">
        <f t="shared" si="3"/>
        <v>336</v>
      </c>
      <c r="U9" s="11">
        <f t="shared" si="1"/>
        <v>0</v>
      </c>
      <c r="V9" s="11">
        <f t="shared" si="0"/>
        <v>0</v>
      </c>
      <c r="W9" s="12">
        <f t="shared" si="2"/>
        <v>309.47368421052636</v>
      </c>
      <c r="X9" s="12">
        <f>V9/[1]Manure!$I$2</f>
        <v>0</v>
      </c>
      <c r="Y9" s="12">
        <f>W9/[1]Manure!$I$2</f>
        <v>220.70772845871738</v>
      </c>
      <c r="Z9" s="12"/>
      <c r="AA9" s="12"/>
      <c r="AB9" s="11"/>
      <c r="AC9" s="11"/>
    </row>
    <row r="10" spans="1:29" ht="15.75" thickBot="1" x14ac:dyDescent="0.3">
      <c r="A10" s="13">
        <v>45307</v>
      </c>
      <c r="B10" s="33">
        <v>0.41666666666666669</v>
      </c>
      <c r="C10" s="33"/>
      <c r="E10" s="33" t="s">
        <v>60</v>
      </c>
      <c r="F10" s="6">
        <v>30</v>
      </c>
      <c r="G10" s="6">
        <v>10117</v>
      </c>
      <c r="H10" s="6">
        <v>23.9</v>
      </c>
      <c r="I10" s="6">
        <v>22.7</v>
      </c>
      <c r="J10" s="21"/>
      <c r="K10" s="24"/>
      <c r="L10" s="24"/>
      <c r="M10" s="24"/>
      <c r="N10" s="24"/>
      <c r="O10" s="21"/>
      <c r="P10" s="21"/>
      <c r="Q10" s="22"/>
      <c r="R10" s="21"/>
      <c r="S10" s="94">
        <f t="shared" si="4"/>
        <v>23.9</v>
      </c>
      <c r="T10" s="95">
        <f t="shared" si="3"/>
        <v>539</v>
      </c>
      <c r="U10" s="11">
        <f t="shared" si="1"/>
        <v>0</v>
      </c>
      <c r="V10" s="11">
        <f t="shared" si="0"/>
        <v>0</v>
      </c>
      <c r="W10" s="12">
        <f t="shared" si="2"/>
        <v>495.61131694173122</v>
      </c>
      <c r="X10" s="12">
        <f>V10/[1]Manure!$I$2</f>
        <v>0</v>
      </c>
      <c r="Y10" s="12">
        <f>W10/[1]Manure!$I$2</f>
        <v>353.4557332061591</v>
      </c>
      <c r="Z10" s="12"/>
      <c r="AA10" s="12"/>
      <c r="AB10" s="11"/>
      <c r="AC10" s="11"/>
    </row>
    <row r="11" spans="1:29" ht="15.75" thickBot="1" x14ac:dyDescent="0.3">
      <c r="A11" s="13">
        <v>45308</v>
      </c>
      <c r="B11" s="33">
        <v>0.47916666666666669</v>
      </c>
      <c r="C11" s="33"/>
      <c r="E11" s="33" t="s">
        <v>60</v>
      </c>
      <c r="F11" s="6">
        <v>30</v>
      </c>
      <c r="G11" s="6">
        <v>10732</v>
      </c>
      <c r="H11" s="6">
        <v>26.8</v>
      </c>
      <c r="I11" s="6">
        <v>22.6</v>
      </c>
      <c r="J11" s="21"/>
      <c r="K11" s="25"/>
      <c r="L11" s="25"/>
      <c r="M11" s="25"/>
      <c r="N11" s="25"/>
      <c r="O11" s="21"/>
      <c r="P11" s="21"/>
      <c r="Q11" s="22"/>
      <c r="R11" s="21"/>
      <c r="S11" s="94">
        <f t="shared" si="4"/>
        <v>26.8</v>
      </c>
      <c r="T11" s="95">
        <f t="shared" si="3"/>
        <v>615</v>
      </c>
      <c r="U11" s="11">
        <f t="shared" si="1"/>
        <v>0</v>
      </c>
      <c r="V11" s="11">
        <f t="shared" si="0"/>
        <v>0</v>
      </c>
      <c r="W11" s="12">
        <f t="shared" si="2"/>
        <v>560.02334889926613</v>
      </c>
      <c r="X11" s="12">
        <f>V11/[1]Manure!$I$2</f>
        <v>0</v>
      </c>
      <c r="Y11" s="12">
        <f>W11/[1]Manure!$I$2</f>
        <v>399.39254135520656</v>
      </c>
      <c r="Z11" s="12"/>
      <c r="AA11" s="12"/>
      <c r="AB11" s="11"/>
      <c r="AC11" s="11"/>
    </row>
    <row r="12" spans="1:29" ht="15.75" thickBot="1" x14ac:dyDescent="0.3">
      <c r="A12" s="13">
        <v>45309</v>
      </c>
      <c r="B12" s="33">
        <v>0.41666666666666669</v>
      </c>
      <c r="C12" s="33"/>
      <c r="E12" s="33" t="s">
        <v>60</v>
      </c>
      <c r="F12" s="6">
        <v>30</v>
      </c>
      <c r="G12" s="6">
        <v>11333</v>
      </c>
      <c r="H12" s="6">
        <v>20.399999999999999</v>
      </c>
      <c r="I12" s="6">
        <v>23.7</v>
      </c>
      <c r="J12" s="21"/>
      <c r="K12" s="25"/>
      <c r="L12" s="25"/>
      <c r="M12" s="25"/>
      <c r="N12" s="25"/>
      <c r="O12" s="21"/>
      <c r="P12" s="21"/>
      <c r="Q12" s="22"/>
      <c r="R12" s="21"/>
      <c r="S12" s="94">
        <f t="shared" si="4"/>
        <v>20.399999999999999</v>
      </c>
      <c r="T12" s="95">
        <f t="shared" si="3"/>
        <v>601</v>
      </c>
      <c r="U12" s="11">
        <f t="shared" si="1"/>
        <v>0</v>
      </c>
      <c r="V12" s="11">
        <f t="shared" si="0"/>
        <v>0</v>
      </c>
      <c r="W12" s="12">
        <f t="shared" si="2"/>
        <v>559.21267893660536</v>
      </c>
      <c r="X12" s="12">
        <f>V12/[1]Manure!$I$2</f>
        <v>0</v>
      </c>
      <c r="Y12" s="12">
        <f>W12/[1]Manure!$I$2</f>
        <v>398.81439485966524</v>
      </c>
      <c r="Z12" s="12"/>
      <c r="AA12" s="12"/>
      <c r="AB12" s="11"/>
      <c r="AC12" s="11"/>
    </row>
    <row r="13" spans="1:29" ht="15.75" thickBot="1" x14ac:dyDescent="0.3">
      <c r="A13" s="13">
        <v>45310</v>
      </c>
      <c r="B13" s="33">
        <v>0.41666666666666669</v>
      </c>
      <c r="C13" s="33"/>
      <c r="E13" s="33" t="s">
        <v>60</v>
      </c>
      <c r="F13" s="6">
        <v>30</v>
      </c>
      <c r="G13" s="6">
        <v>11913</v>
      </c>
      <c r="H13" s="6">
        <v>25</v>
      </c>
      <c r="I13" s="6">
        <v>20.2</v>
      </c>
      <c r="J13" s="21"/>
      <c r="K13" s="25"/>
      <c r="L13" s="25"/>
      <c r="M13" s="25"/>
      <c r="N13" s="25"/>
      <c r="O13" s="21"/>
      <c r="P13" s="21"/>
      <c r="Q13" s="22"/>
      <c r="R13" s="21"/>
      <c r="S13" s="94">
        <f t="shared" si="4"/>
        <v>25</v>
      </c>
      <c r="T13" s="95">
        <f t="shared" si="3"/>
        <v>580</v>
      </c>
      <c r="U13" s="11">
        <f t="shared" si="1"/>
        <v>0</v>
      </c>
      <c r="V13" s="11">
        <f t="shared" si="0"/>
        <v>0</v>
      </c>
      <c r="W13" s="12">
        <f t="shared" si="2"/>
        <v>531.34228187919462</v>
      </c>
      <c r="X13" s="12">
        <f>V13/[1]Manure!$I$2</f>
        <v>0</v>
      </c>
      <c r="Y13" s="12">
        <f>W13/[1]Manure!$I$2</f>
        <v>378.93802947022829</v>
      </c>
      <c r="Z13" s="12"/>
      <c r="AA13" s="12"/>
      <c r="AB13" s="11"/>
      <c r="AC13" s="11"/>
    </row>
    <row r="14" spans="1:29" ht="15.75" thickBot="1" x14ac:dyDescent="0.3">
      <c r="A14" s="13">
        <v>45311</v>
      </c>
      <c r="B14" s="33">
        <v>0.41666666666666669</v>
      </c>
      <c r="C14" s="33"/>
      <c r="E14" s="33" t="s">
        <v>60</v>
      </c>
      <c r="F14" s="6">
        <v>30</v>
      </c>
      <c r="G14" s="6">
        <v>12301</v>
      </c>
      <c r="H14" s="6">
        <v>19.399999999999999</v>
      </c>
      <c r="I14" s="6">
        <v>21.8</v>
      </c>
      <c r="J14" s="21"/>
      <c r="K14" s="25"/>
      <c r="L14" s="25"/>
      <c r="M14" s="25"/>
      <c r="N14" s="25"/>
      <c r="O14" s="21"/>
      <c r="P14" s="21"/>
      <c r="Q14" s="22"/>
      <c r="R14" s="21"/>
      <c r="S14" s="94">
        <f t="shared" si="4"/>
        <v>19.399999999999999</v>
      </c>
      <c r="T14" s="95">
        <f t="shared" si="3"/>
        <v>388</v>
      </c>
      <c r="U14" s="11">
        <f t="shared" si="1"/>
        <v>0</v>
      </c>
      <c r="V14" s="11">
        <f t="shared" si="0"/>
        <v>0</v>
      </c>
      <c r="W14" s="12">
        <f t="shared" si="2"/>
        <v>362.25718194254449</v>
      </c>
      <c r="X14" s="12">
        <f>V14/[1]Manure!$I$2</f>
        <v>0</v>
      </c>
      <c r="Y14" s="12">
        <f>W14/[1]Manure!$I$2</f>
        <v>258.3514005346106</v>
      </c>
      <c r="Z14" s="12"/>
      <c r="AA14" s="12"/>
      <c r="AB14" s="11"/>
      <c r="AC14" s="11"/>
    </row>
    <row r="15" spans="1:29" ht="15.75" thickBot="1" x14ac:dyDescent="0.3">
      <c r="A15" s="13">
        <v>45313</v>
      </c>
      <c r="B15" s="33">
        <v>0.41666666666666669</v>
      </c>
      <c r="C15" s="33"/>
      <c r="E15" s="33" t="s">
        <v>60</v>
      </c>
      <c r="F15" s="6">
        <v>30</v>
      </c>
      <c r="G15" s="6">
        <v>13473</v>
      </c>
      <c r="H15" s="6">
        <v>23.6</v>
      </c>
      <c r="I15" s="6">
        <v>21.7</v>
      </c>
      <c r="J15" s="21"/>
      <c r="K15" s="25"/>
      <c r="L15" s="25"/>
      <c r="M15" s="25"/>
      <c r="N15" s="25"/>
      <c r="O15" s="21"/>
      <c r="P15" s="21"/>
      <c r="Q15" s="22"/>
      <c r="R15" s="21"/>
      <c r="S15" s="94">
        <f t="shared" si="4"/>
        <v>23.6</v>
      </c>
      <c r="T15" s="95">
        <f t="shared" si="3"/>
        <v>1172</v>
      </c>
      <c r="U15" s="11">
        <f t="shared" si="1"/>
        <v>0</v>
      </c>
      <c r="V15" s="11">
        <f t="shared" si="0"/>
        <v>0</v>
      </c>
      <c r="W15" s="12">
        <f t="shared" si="2"/>
        <v>1078.745785569791</v>
      </c>
      <c r="X15" s="12">
        <f>V15/[1]Manure!$I$2</f>
        <v>0</v>
      </c>
      <c r="Y15" s="12">
        <f>W15/[1]Manure!$I$2</f>
        <v>769.33046027771093</v>
      </c>
      <c r="Z15" s="12"/>
      <c r="AA15" s="12"/>
      <c r="AB15" s="11"/>
      <c r="AC15" s="11"/>
    </row>
    <row r="16" spans="1:29" ht="15.75" thickBot="1" x14ac:dyDescent="0.3">
      <c r="A16" s="13">
        <v>45314</v>
      </c>
      <c r="B16" s="33">
        <v>0.41666666666666669</v>
      </c>
      <c r="C16" s="33"/>
      <c r="E16" s="6" t="s">
        <v>60</v>
      </c>
      <c r="F16" s="6">
        <v>30</v>
      </c>
      <c r="G16" s="6">
        <v>13803</v>
      </c>
      <c r="H16" s="6">
        <v>22.5</v>
      </c>
      <c r="I16" s="6">
        <v>21.8</v>
      </c>
      <c r="J16" s="21"/>
      <c r="K16" s="25"/>
      <c r="L16" s="25"/>
      <c r="M16" s="25"/>
      <c r="N16" s="25"/>
      <c r="O16" s="21"/>
      <c r="P16" s="72"/>
      <c r="Q16" s="72"/>
      <c r="R16" s="21"/>
      <c r="S16" s="94">
        <f t="shared" si="4"/>
        <v>22.5</v>
      </c>
      <c r="T16" s="95">
        <f t="shared" si="3"/>
        <v>330</v>
      </c>
      <c r="U16" s="11">
        <f t="shared" si="1"/>
        <v>0</v>
      </c>
      <c r="V16" s="11">
        <f t="shared" si="0"/>
        <v>0</v>
      </c>
      <c r="W16" s="12">
        <f t="shared" si="2"/>
        <v>304.87309644670052</v>
      </c>
      <c r="X16" s="12">
        <f>V16/[1]Manure!$I$2</f>
        <v>0</v>
      </c>
      <c r="Y16" s="12">
        <f>W16/[1]Manure!$I$2</f>
        <v>217.42672161796051</v>
      </c>
      <c r="Z16" s="12"/>
      <c r="AA16" s="12"/>
      <c r="AB16" s="11"/>
      <c r="AC16" s="11"/>
    </row>
    <row r="17" spans="1:29" ht="15.75" thickBot="1" x14ac:dyDescent="0.3">
      <c r="A17" s="13">
        <v>45315</v>
      </c>
      <c r="B17" s="33">
        <v>0.41666666666666669</v>
      </c>
      <c r="C17" s="33"/>
      <c r="E17" s="6" t="s">
        <v>60</v>
      </c>
      <c r="F17" s="6">
        <v>30</v>
      </c>
      <c r="G17" s="6">
        <v>14455</v>
      </c>
      <c r="H17" s="6">
        <v>22.5</v>
      </c>
      <c r="I17" s="6">
        <v>21.8</v>
      </c>
      <c r="J17" s="21"/>
      <c r="K17" s="25"/>
      <c r="L17" s="25"/>
      <c r="M17" s="25"/>
      <c r="N17" s="25"/>
      <c r="O17" s="21"/>
      <c r="P17" s="72"/>
      <c r="Q17" s="72"/>
      <c r="R17" s="21"/>
      <c r="S17" s="94">
        <f t="shared" si="4"/>
        <v>22.5</v>
      </c>
      <c r="T17" s="95">
        <f t="shared" si="3"/>
        <v>652</v>
      </c>
      <c r="U17" s="11">
        <f t="shared" si="1"/>
        <v>0</v>
      </c>
      <c r="V17" s="11">
        <f t="shared" si="0"/>
        <v>0</v>
      </c>
      <c r="W17" s="12">
        <f t="shared" si="2"/>
        <v>602.35532994923858</v>
      </c>
      <c r="X17" s="12">
        <f>V17/[1]Manure!$I$2</f>
        <v>0</v>
      </c>
      <c r="Y17" s="12">
        <f>W17/[1]Manure!$I$2</f>
        <v>429.58249240881895</v>
      </c>
      <c r="Z17" s="12"/>
      <c r="AA17" s="12"/>
      <c r="AB17" s="15"/>
      <c r="AC17" s="11"/>
    </row>
    <row r="18" spans="1:29" ht="15.75" thickBot="1" x14ac:dyDescent="0.3">
      <c r="A18" s="13">
        <v>45316</v>
      </c>
      <c r="B18" s="33">
        <v>0.41666666666666669</v>
      </c>
      <c r="C18" s="33"/>
      <c r="E18" s="6" t="s">
        <v>60</v>
      </c>
      <c r="F18" s="6">
        <v>30</v>
      </c>
      <c r="G18" s="6">
        <v>14709</v>
      </c>
      <c r="H18" s="6">
        <v>24.7</v>
      </c>
      <c r="I18" s="6">
        <v>21.7</v>
      </c>
      <c r="J18" s="21"/>
      <c r="K18" s="25"/>
      <c r="L18" s="25"/>
      <c r="M18" s="25"/>
      <c r="N18" s="25"/>
      <c r="O18" s="21"/>
      <c r="P18" s="72"/>
      <c r="Q18" s="72"/>
      <c r="R18" s="21"/>
      <c r="S18" s="94">
        <f t="shared" si="4"/>
        <v>24.7</v>
      </c>
      <c r="T18" s="95">
        <f t="shared" si="3"/>
        <v>254</v>
      </c>
      <c r="U18" s="11">
        <f t="shared" si="1"/>
        <v>0</v>
      </c>
      <c r="V18" s="11">
        <f t="shared" si="0"/>
        <v>0</v>
      </c>
      <c r="W18" s="12">
        <f t="shared" si="2"/>
        <v>232.92576419213975</v>
      </c>
      <c r="X18" s="12">
        <f>V18/[1]Manure!$I$2</f>
        <v>0</v>
      </c>
      <c r="Y18" s="12">
        <f>W18/[1]Manure!$I$2</f>
        <v>166.11595407700719</v>
      </c>
      <c r="Z18" s="12"/>
      <c r="AA18" s="12"/>
      <c r="AB18" s="15"/>
      <c r="AC18" s="11"/>
    </row>
    <row r="19" spans="1:29" ht="15.75" thickBot="1" x14ac:dyDescent="0.3">
      <c r="A19" s="13">
        <v>45317</v>
      </c>
      <c r="B19" s="33">
        <v>0.41666666666666669</v>
      </c>
      <c r="C19" s="33"/>
      <c r="E19" s="6" t="s">
        <v>60</v>
      </c>
      <c r="F19" s="6">
        <v>30</v>
      </c>
      <c r="G19" s="6">
        <v>15473</v>
      </c>
      <c r="H19" s="6">
        <v>24.3</v>
      </c>
      <c r="I19" s="6">
        <v>24.1</v>
      </c>
      <c r="J19" s="21"/>
      <c r="K19" s="25"/>
      <c r="L19" s="25"/>
      <c r="M19" s="25"/>
      <c r="N19" s="25"/>
      <c r="O19" s="21"/>
      <c r="P19" s="72"/>
      <c r="Q19" s="72"/>
      <c r="R19" s="21"/>
      <c r="S19" s="94">
        <f t="shared" si="4"/>
        <v>24.3</v>
      </c>
      <c r="T19" s="95">
        <f t="shared" si="3"/>
        <v>764</v>
      </c>
      <c r="U19" s="11">
        <f t="shared" si="1"/>
        <v>0</v>
      </c>
      <c r="V19" s="11">
        <f t="shared" si="0"/>
        <v>0</v>
      </c>
      <c r="W19" s="12">
        <f t="shared" si="2"/>
        <v>701.55398587285572</v>
      </c>
      <c r="X19" s="12">
        <f>V19/[1]Manure!$I$2</f>
        <v>0</v>
      </c>
      <c r="Y19" s="12">
        <f>W19/[1]Manure!$I$2</f>
        <v>500.32812000850078</v>
      </c>
      <c r="Z19" s="12"/>
      <c r="AA19" s="12"/>
      <c r="AB19" s="11"/>
      <c r="AC19" s="11"/>
    </row>
    <row r="20" spans="1:29" ht="15.75" thickBot="1" x14ac:dyDescent="0.3">
      <c r="A20" s="13">
        <v>45318</v>
      </c>
      <c r="B20" s="33">
        <v>0.41666666666666669</v>
      </c>
      <c r="C20" s="33"/>
      <c r="E20" s="6" t="s">
        <v>60</v>
      </c>
      <c r="F20" s="6">
        <v>30</v>
      </c>
      <c r="G20" s="6">
        <v>16039</v>
      </c>
      <c r="H20" s="6">
        <v>24.5</v>
      </c>
      <c r="I20" s="6">
        <v>23.8</v>
      </c>
      <c r="J20" s="21"/>
      <c r="K20" s="25"/>
      <c r="L20" s="25"/>
      <c r="M20" s="25"/>
      <c r="N20" s="25"/>
      <c r="O20" s="21"/>
      <c r="P20" s="72"/>
      <c r="Q20" s="72"/>
      <c r="R20" s="21"/>
      <c r="S20" s="94">
        <f t="shared" si="4"/>
        <v>24.5</v>
      </c>
      <c r="T20" s="95">
        <f t="shared" si="3"/>
        <v>566</v>
      </c>
      <c r="U20" s="11">
        <f t="shared" si="1"/>
        <v>0</v>
      </c>
      <c r="V20" s="11">
        <f t="shared" si="0"/>
        <v>0</v>
      </c>
      <c r="W20" s="12">
        <f t="shared" si="2"/>
        <v>519.38823529411764</v>
      </c>
      <c r="X20" s="12">
        <f>V20/[1]Manure!$I$2</f>
        <v>0</v>
      </c>
      <c r="Y20" s="12">
        <f>W20/[1]Manure!$I$2</f>
        <v>370.41274734676597</v>
      </c>
      <c r="Z20" s="12"/>
      <c r="AA20" s="12"/>
      <c r="AB20" s="11"/>
      <c r="AC20" s="11"/>
    </row>
    <row r="21" spans="1:29" ht="15.75" thickBot="1" x14ac:dyDescent="0.3">
      <c r="A21" s="13">
        <v>45320</v>
      </c>
      <c r="B21" s="33">
        <v>0.41666666666666669</v>
      </c>
      <c r="C21" s="33"/>
      <c r="E21" s="6" t="s">
        <v>60</v>
      </c>
      <c r="F21" s="6">
        <v>30</v>
      </c>
      <c r="G21" s="6">
        <v>16540</v>
      </c>
      <c r="H21" s="6">
        <v>22</v>
      </c>
      <c r="I21" s="6">
        <v>23.5</v>
      </c>
      <c r="J21" s="21"/>
      <c r="K21" s="25"/>
      <c r="L21" s="25"/>
      <c r="M21" s="25"/>
      <c r="N21" s="25"/>
      <c r="O21" s="21"/>
      <c r="P21" s="72"/>
      <c r="Q21" s="72"/>
      <c r="R21" s="21"/>
      <c r="S21" s="94">
        <f t="shared" si="4"/>
        <v>22</v>
      </c>
      <c r="T21" s="95">
        <f t="shared" si="3"/>
        <v>501</v>
      </c>
      <c r="U21" s="11">
        <f t="shared" si="1"/>
        <v>0</v>
      </c>
      <c r="V21" s="11">
        <f t="shared" si="0"/>
        <v>0</v>
      </c>
      <c r="W21" s="12">
        <f t="shared" si="2"/>
        <v>463.63728813559322</v>
      </c>
      <c r="X21" s="12">
        <f>V21/[1]Manure!$I$2</f>
        <v>0</v>
      </c>
      <c r="Y21" s="12">
        <f>W21/[1]Manure!$I$2</f>
        <v>330.65277570921182</v>
      </c>
      <c r="Z21" s="12"/>
      <c r="AA21" s="12"/>
      <c r="AB21" s="15"/>
      <c r="AC21" s="11"/>
    </row>
    <row r="22" spans="1:29" ht="15.75" thickBot="1" x14ac:dyDescent="0.3">
      <c r="A22" s="13">
        <v>45321</v>
      </c>
      <c r="B22" s="33">
        <v>0.45833333333333331</v>
      </c>
      <c r="C22" s="33"/>
      <c r="D22" s="6"/>
      <c r="E22" s="6" t="s">
        <v>60</v>
      </c>
      <c r="F22" s="6">
        <v>30</v>
      </c>
      <c r="G22" s="6">
        <v>17593</v>
      </c>
      <c r="H22" s="6">
        <v>30</v>
      </c>
      <c r="I22" s="6">
        <v>24</v>
      </c>
      <c r="J22" s="21"/>
      <c r="K22" s="25"/>
      <c r="L22" s="25"/>
      <c r="M22" s="25"/>
      <c r="N22" s="25"/>
      <c r="O22" s="21"/>
      <c r="P22" s="72"/>
      <c r="Q22" s="72"/>
      <c r="R22" s="21"/>
      <c r="S22" s="94">
        <f t="shared" si="4"/>
        <v>30</v>
      </c>
      <c r="T22" s="95">
        <f t="shared" si="3"/>
        <v>1053</v>
      </c>
      <c r="U22" s="11">
        <f t="shared" si="1"/>
        <v>0</v>
      </c>
      <c r="V22" s="11">
        <f t="shared" si="0"/>
        <v>0</v>
      </c>
      <c r="W22" s="12">
        <f t="shared" si="2"/>
        <v>948.74257425742576</v>
      </c>
      <c r="X22" s="12">
        <f>V22/[1]Manure!$I$2</f>
        <v>0</v>
      </c>
      <c r="Y22" s="12">
        <f>W22/[1]Manure!$I$2</f>
        <v>676.61590997826806</v>
      </c>
      <c r="Z22" s="12"/>
      <c r="AA22" s="12"/>
      <c r="AB22" s="11"/>
      <c r="AC22" s="11"/>
    </row>
    <row r="23" spans="1:29" ht="15.75" thickBot="1" x14ac:dyDescent="0.3">
      <c r="A23" s="13">
        <v>45322</v>
      </c>
      <c r="B23" s="33">
        <v>0.47916666666666669</v>
      </c>
      <c r="C23" s="6"/>
      <c r="D23" s="6"/>
      <c r="E23" s="6" t="s">
        <v>60</v>
      </c>
      <c r="F23" s="6">
        <v>30</v>
      </c>
      <c r="G23" s="6">
        <v>18602</v>
      </c>
      <c r="H23" s="6">
        <v>28.1</v>
      </c>
      <c r="I23" s="6">
        <v>24.8</v>
      </c>
      <c r="J23" s="21"/>
      <c r="K23" s="24"/>
      <c r="L23" s="24"/>
      <c r="M23" s="24"/>
      <c r="N23" s="24"/>
      <c r="O23" s="21"/>
      <c r="P23" s="72"/>
      <c r="Q23" s="72"/>
      <c r="R23" s="21"/>
      <c r="S23" s="94">
        <f t="shared" si="4"/>
        <v>28.1</v>
      </c>
      <c r="T23" s="95">
        <f t="shared" si="3"/>
        <v>1009</v>
      </c>
      <c r="U23" s="11">
        <f t="shared" si="1"/>
        <v>0</v>
      </c>
      <c r="V23" s="11">
        <f t="shared" si="0"/>
        <v>0</v>
      </c>
      <c r="W23" s="12">
        <f t="shared" si="2"/>
        <v>914.83560278977075</v>
      </c>
      <c r="X23" s="12">
        <f>V23/[1]Manure!$I$2</f>
        <v>0</v>
      </c>
      <c r="Y23" s="12">
        <f>W23/[1]Manure!$I$2</f>
        <v>652.43443338315353</v>
      </c>
      <c r="Z23" s="12"/>
      <c r="AA23" s="12"/>
      <c r="AB23" s="11"/>
      <c r="AC23" s="11"/>
    </row>
    <row r="24" spans="1:29" ht="15.75" thickBot="1" x14ac:dyDescent="0.3">
      <c r="A24" s="13">
        <v>45323</v>
      </c>
      <c r="B24" s="33">
        <v>0.41666666666666669</v>
      </c>
      <c r="C24" s="33"/>
      <c r="D24" s="6"/>
      <c r="E24" s="6" t="s">
        <v>60</v>
      </c>
      <c r="F24" s="6">
        <v>30</v>
      </c>
      <c r="G24" s="6">
        <v>19201</v>
      </c>
      <c r="H24" s="6">
        <v>25.1</v>
      </c>
      <c r="I24" s="6">
        <v>22.9</v>
      </c>
      <c r="J24" s="21"/>
      <c r="K24" s="24"/>
      <c r="L24" s="24"/>
      <c r="M24" s="24"/>
      <c r="N24" s="24"/>
      <c r="O24" s="21"/>
      <c r="P24" s="72"/>
      <c r="Q24" s="72"/>
      <c r="R24" s="21"/>
      <c r="S24" s="94">
        <f t="shared" si="4"/>
        <v>25.1</v>
      </c>
      <c r="T24" s="95">
        <f t="shared" si="3"/>
        <v>599</v>
      </c>
      <c r="U24" s="11">
        <f t="shared" si="1"/>
        <v>0</v>
      </c>
      <c r="V24" s="11">
        <f t="shared" si="0"/>
        <v>0</v>
      </c>
      <c r="W24" s="12">
        <f t="shared" si="2"/>
        <v>548.5642401878564</v>
      </c>
      <c r="X24" s="12">
        <f>V24/[1]Manure!$I$2</f>
        <v>0</v>
      </c>
      <c r="Y24" s="12">
        <f>W24/[1]Manure!$I$2</f>
        <v>391.22023468458104</v>
      </c>
      <c r="Z24" s="12"/>
      <c r="AA24" s="12"/>
      <c r="AB24" s="11"/>
      <c r="AC24" s="11"/>
    </row>
    <row r="25" spans="1:29" ht="15.75" thickBot="1" x14ac:dyDescent="0.3">
      <c r="A25" s="13">
        <v>45324</v>
      </c>
      <c r="B25" s="33">
        <v>0.48958333333333331</v>
      </c>
      <c r="C25" s="33"/>
      <c r="D25" s="6"/>
      <c r="E25" s="6" t="s">
        <v>60</v>
      </c>
      <c r="F25" s="6">
        <v>30</v>
      </c>
      <c r="G25" s="6">
        <v>20018</v>
      </c>
      <c r="H25" s="6">
        <v>27.4</v>
      </c>
      <c r="I25" s="6">
        <v>23.8</v>
      </c>
      <c r="J25" s="21"/>
      <c r="K25" s="24"/>
      <c r="L25" s="24"/>
      <c r="M25" s="24"/>
      <c r="N25" s="24"/>
      <c r="O25" s="21"/>
      <c r="P25" s="72"/>
      <c r="Q25" s="72"/>
      <c r="R25" s="21"/>
      <c r="S25" s="94">
        <f t="shared" si="4"/>
        <v>27.4</v>
      </c>
      <c r="T25" s="95">
        <f t="shared" si="3"/>
        <v>817</v>
      </c>
      <c r="U25" s="11">
        <f t="shared" si="1"/>
        <v>0</v>
      </c>
      <c r="V25" s="11">
        <f t="shared" si="0"/>
        <v>0</v>
      </c>
      <c r="W25" s="12">
        <f t="shared" si="2"/>
        <v>742.48002663115858</v>
      </c>
      <c r="X25" s="12">
        <f>V25/[1]Manure!$I$2</f>
        <v>0</v>
      </c>
      <c r="Y25" s="12">
        <f>W25/[1]Manure!$I$2</f>
        <v>529.51539489300831</v>
      </c>
      <c r="Z25" s="12"/>
      <c r="AA25" s="12"/>
      <c r="AB25" s="11"/>
      <c r="AC25" s="11"/>
    </row>
    <row r="26" spans="1:29" ht="15.75" thickBot="1" x14ac:dyDescent="0.3">
      <c r="A26" s="13">
        <v>45325</v>
      </c>
      <c r="B26" s="33">
        <v>0.41666666666666669</v>
      </c>
      <c r="C26" s="33"/>
      <c r="D26" s="6"/>
      <c r="E26" s="6" t="s">
        <v>60</v>
      </c>
      <c r="F26" s="6">
        <v>30</v>
      </c>
      <c r="G26" s="6">
        <v>20751</v>
      </c>
      <c r="H26" s="6">
        <v>21.8</v>
      </c>
      <c r="I26" s="6">
        <v>23.1</v>
      </c>
      <c r="J26" s="21"/>
      <c r="K26" s="24"/>
      <c r="L26" s="24"/>
      <c r="M26" s="24"/>
      <c r="N26" s="24"/>
      <c r="O26" s="21"/>
      <c r="P26" s="72"/>
      <c r="Q26" s="72"/>
      <c r="R26" s="21"/>
      <c r="S26" s="94">
        <f t="shared" si="4"/>
        <v>21.8</v>
      </c>
      <c r="T26" s="95">
        <f t="shared" si="3"/>
        <v>733</v>
      </c>
      <c r="U26" s="11">
        <f t="shared" si="1"/>
        <v>0</v>
      </c>
      <c r="V26" s="11">
        <f t="shared" si="0"/>
        <v>0</v>
      </c>
      <c r="W26" s="12">
        <f t="shared" si="2"/>
        <v>678.79579375848027</v>
      </c>
      <c r="X26" s="12">
        <f>V26/[1]Manure!$I$2</f>
        <v>0</v>
      </c>
      <c r="Y26" s="12">
        <f>W26/[1]Manure!$I$2</f>
        <v>484.09763211353015</v>
      </c>
      <c r="Z26" s="12"/>
      <c r="AA26" s="12"/>
      <c r="AB26" s="11"/>
      <c r="AC26" s="11"/>
    </row>
    <row r="27" spans="1:29" ht="15.75" thickBot="1" x14ac:dyDescent="0.3">
      <c r="A27" s="13">
        <v>45327</v>
      </c>
      <c r="B27" s="33">
        <v>0.41666666666666669</v>
      </c>
      <c r="C27" s="33"/>
      <c r="D27" s="6"/>
      <c r="E27" s="6" t="s">
        <v>60</v>
      </c>
      <c r="F27" s="6">
        <v>30</v>
      </c>
      <c r="G27" s="6">
        <v>22102</v>
      </c>
      <c r="H27" s="6">
        <v>23.7</v>
      </c>
      <c r="I27" s="6">
        <v>21.9</v>
      </c>
      <c r="J27" s="21"/>
      <c r="K27" s="24"/>
      <c r="L27" s="24"/>
      <c r="M27" s="24"/>
      <c r="N27" s="24"/>
      <c r="O27" s="21"/>
      <c r="P27" s="72"/>
      <c r="Q27" s="72"/>
      <c r="R27" s="21"/>
      <c r="S27" s="94">
        <f t="shared" si="4"/>
        <v>23.7</v>
      </c>
      <c r="T27" s="95">
        <f t="shared" si="3"/>
        <v>1351</v>
      </c>
      <c r="U27" s="11">
        <f t="shared" si="1"/>
        <v>0</v>
      </c>
      <c r="V27" s="11">
        <f t="shared" si="0"/>
        <v>0</v>
      </c>
      <c r="W27" s="12">
        <f t="shared" si="2"/>
        <v>1243.0839231547018</v>
      </c>
      <c r="X27" s="12">
        <f>V27/[1]Manure!$I$2</f>
        <v>0</v>
      </c>
      <c r="Y27" s="12">
        <f>W27/[1]Manure!$I$2</f>
        <v>886.5316922274618</v>
      </c>
      <c r="Z27" s="12"/>
      <c r="AA27" s="12"/>
      <c r="AB27" s="11"/>
      <c r="AC27" s="11"/>
    </row>
    <row r="28" spans="1:29" ht="15.75" thickBot="1" x14ac:dyDescent="0.3">
      <c r="A28" s="13">
        <v>45328</v>
      </c>
      <c r="B28" s="33">
        <v>0.46875</v>
      </c>
      <c r="C28" s="33"/>
      <c r="D28" s="6"/>
      <c r="E28" s="6" t="s">
        <v>60</v>
      </c>
      <c r="F28" s="6">
        <v>30</v>
      </c>
      <c r="G28" s="6">
        <v>22768</v>
      </c>
      <c r="H28" s="6">
        <v>28.1</v>
      </c>
      <c r="I28" s="6">
        <v>23.2</v>
      </c>
      <c r="J28" s="21"/>
      <c r="K28" s="24"/>
      <c r="L28" s="24"/>
      <c r="M28" s="24"/>
      <c r="N28" s="24"/>
      <c r="O28" s="21"/>
      <c r="P28" s="72"/>
      <c r="Q28" s="72"/>
      <c r="R28" s="21"/>
      <c r="S28" s="94">
        <f t="shared" si="4"/>
        <v>28.1</v>
      </c>
      <c r="T28" s="95">
        <f t="shared" si="3"/>
        <v>666</v>
      </c>
      <c r="U28" s="11">
        <f t="shared" si="1"/>
        <v>0</v>
      </c>
      <c r="V28" s="11">
        <f t="shared" si="0"/>
        <v>0</v>
      </c>
      <c r="W28" s="12">
        <f t="shared" si="2"/>
        <v>603.84589837263366</v>
      </c>
      <c r="X28" s="12">
        <f>V28/[1]Manure!$I$2</f>
        <v>0</v>
      </c>
      <c r="Y28" s="12">
        <f>W28/[1]Manure!$I$2</f>
        <v>430.64552292683879</v>
      </c>
      <c r="Z28" s="12"/>
      <c r="AA28" s="12"/>
      <c r="AB28" s="11"/>
      <c r="AC28" s="11"/>
    </row>
    <row r="29" spans="1:29" ht="15.75" thickBot="1" x14ac:dyDescent="0.3">
      <c r="A29" s="13">
        <v>45329</v>
      </c>
      <c r="B29" s="33">
        <v>0.4375</v>
      </c>
      <c r="C29" s="33"/>
      <c r="D29" s="6"/>
      <c r="E29" s="6" t="s">
        <v>60</v>
      </c>
      <c r="F29" s="6">
        <v>30</v>
      </c>
      <c r="G29" s="6">
        <v>23429</v>
      </c>
      <c r="H29" s="6">
        <v>25.5</v>
      </c>
      <c r="I29" s="6">
        <v>24.6</v>
      </c>
      <c r="J29" s="21"/>
      <c r="K29" s="24"/>
      <c r="L29" s="24"/>
      <c r="M29" s="24"/>
      <c r="N29" s="24"/>
      <c r="O29" s="21"/>
      <c r="P29" s="72"/>
      <c r="Q29" s="72"/>
      <c r="R29" s="21"/>
      <c r="S29" s="94">
        <f t="shared" si="4"/>
        <v>25.5</v>
      </c>
      <c r="T29" s="95">
        <f t="shared" si="3"/>
        <v>661</v>
      </c>
      <c r="U29" s="11">
        <f t="shared" si="1"/>
        <v>0</v>
      </c>
      <c r="V29" s="11">
        <f t="shared" si="0"/>
        <v>0</v>
      </c>
      <c r="W29" s="12">
        <f t="shared" si="2"/>
        <v>604.5326633165829</v>
      </c>
      <c r="X29" s="12">
        <f>V29/[1]Manure!$I$2</f>
        <v>0</v>
      </c>
      <c r="Y29" s="12">
        <f>W29/[1]Manure!$I$2</f>
        <v>431.1353039276072</v>
      </c>
      <c r="Z29" s="12"/>
      <c r="AA29" s="12"/>
      <c r="AB29" s="11"/>
      <c r="AC29" s="11"/>
    </row>
    <row r="30" spans="1:29" ht="15.75" thickBot="1" x14ac:dyDescent="0.3">
      <c r="A30" s="13">
        <v>45330</v>
      </c>
      <c r="B30" s="33">
        <v>0.42499999999999999</v>
      </c>
      <c r="C30" s="33"/>
      <c r="D30" s="6"/>
      <c r="E30" s="6" t="s">
        <v>60</v>
      </c>
      <c r="F30" s="6">
        <v>30</v>
      </c>
      <c r="G30" s="74">
        <v>23631</v>
      </c>
      <c r="H30" s="6">
        <v>23.1</v>
      </c>
      <c r="I30" s="6">
        <v>22</v>
      </c>
      <c r="J30" s="21"/>
      <c r="K30" s="24"/>
      <c r="L30" s="24"/>
      <c r="M30" s="24"/>
      <c r="N30" s="24"/>
      <c r="O30" s="21"/>
      <c r="P30" s="72"/>
      <c r="Q30" s="72"/>
      <c r="R30" s="21"/>
      <c r="S30" s="94">
        <f t="shared" si="4"/>
        <v>23.1</v>
      </c>
      <c r="T30" s="95">
        <f t="shared" si="3"/>
        <v>202</v>
      </c>
      <c r="U30" s="11">
        <f t="shared" si="1"/>
        <v>0</v>
      </c>
      <c r="V30" s="11">
        <f t="shared" si="0"/>
        <v>0</v>
      </c>
      <c r="W30" s="12">
        <f t="shared" si="2"/>
        <v>186.24113475177302</v>
      </c>
      <c r="X30" s="12">
        <f>V30/[1]Manure!$I$2</f>
        <v>0</v>
      </c>
      <c r="Y30" s="12">
        <f>W30/[1]Manure!$I$2</f>
        <v>132.82181941090417</v>
      </c>
      <c r="Z30" s="12"/>
      <c r="AA30" s="12"/>
      <c r="AB30" s="11"/>
      <c r="AC30" s="11"/>
    </row>
    <row r="31" spans="1:29" ht="15.75" thickBot="1" x14ac:dyDescent="0.3">
      <c r="A31" s="13">
        <v>45331</v>
      </c>
      <c r="B31" s="33">
        <v>0.46875</v>
      </c>
      <c r="C31" s="33"/>
      <c r="D31" s="6"/>
      <c r="E31" s="6" t="s">
        <v>60</v>
      </c>
      <c r="F31" s="6">
        <v>30</v>
      </c>
      <c r="G31" s="74">
        <v>23686</v>
      </c>
      <c r="H31" s="6">
        <v>32.6</v>
      </c>
      <c r="I31" s="6">
        <v>23.4</v>
      </c>
      <c r="J31" s="21"/>
      <c r="K31" s="24"/>
      <c r="L31" s="24"/>
      <c r="M31" s="24"/>
      <c r="N31" s="24"/>
      <c r="O31" s="21"/>
      <c r="P31" s="72"/>
      <c r="Q31" s="72"/>
      <c r="R31" s="21"/>
      <c r="S31" s="94">
        <f t="shared" si="4"/>
        <v>32.6</v>
      </c>
      <c r="T31" s="95">
        <f t="shared" si="3"/>
        <v>55</v>
      </c>
      <c r="U31" s="11">
        <f t="shared" ref="U31:U51" si="7">T31*(P31/100)</f>
        <v>0</v>
      </c>
      <c r="V31" s="11">
        <f t="shared" ref="V31:V51" si="8">U31*(273/(273+S31))</f>
        <v>0</v>
      </c>
      <c r="W31" s="12">
        <f t="shared" ref="W31:W51" si="9">T31*(273/(273+S31))</f>
        <v>49.132853403141361</v>
      </c>
      <c r="X31" s="12">
        <f>V31/[1]Manure!$I$2</f>
        <v>0</v>
      </c>
      <c r="Y31" s="12">
        <f>W31/[1]Manure!$I$2</f>
        <v>35.040137564412809</v>
      </c>
      <c r="Z31" s="12"/>
      <c r="AA31" s="12"/>
      <c r="AB31" s="11" t="s">
        <v>61</v>
      </c>
      <c r="AC31" s="11"/>
    </row>
    <row r="32" spans="1:29" ht="15.75" thickBot="1" x14ac:dyDescent="0.3">
      <c r="A32" s="13">
        <v>45332</v>
      </c>
      <c r="B32" s="33">
        <v>0.41666666666666669</v>
      </c>
      <c r="C32" s="33"/>
      <c r="D32" s="6"/>
      <c r="E32" s="6" t="s">
        <v>60</v>
      </c>
      <c r="F32" s="6">
        <v>30</v>
      </c>
      <c r="G32" s="74">
        <v>24715</v>
      </c>
      <c r="H32" s="6">
        <v>30.3</v>
      </c>
      <c r="I32" s="6">
        <v>22.3</v>
      </c>
      <c r="J32" s="21"/>
      <c r="K32" s="24"/>
      <c r="L32" s="24"/>
      <c r="M32" s="24"/>
      <c r="N32" s="24"/>
      <c r="O32" s="21"/>
      <c r="P32" s="72"/>
      <c r="Q32" s="72"/>
      <c r="R32" s="21"/>
      <c r="S32" s="94">
        <f t="shared" si="4"/>
        <v>30.3</v>
      </c>
      <c r="T32" s="95">
        <f t="shared" si="3"/>
        <v>1029</v>
      </c>
      <c r="U32" s="11">
        <f t="shared" si="7"/>
        <v>0</v>
      </c>
      <c r="V32" s="11">
        <f t="shared" si="8"/>
        <v>0</v>
      </c>
      <c r="W32" s="12">
        <f t="shared" si="9"/>
        <v>926.20178041543022</v>
      </c>
      <c r="X32" s="12">
        <f>V32/[1]Manure!$I$2</f>
        <v>0</v>
      </c>
      <c r="Y32" s="12">
        <f>W32/[1]Manure!$I$2</f>
        <v>660.54046427691799</v>
      </c>
      <c r="Z32" s="12"/>
      <c r="AA32" s="12"/>
      <c r="AB32" s="11"/>
      <c r="AC32" s="11"/>
    </row>
    <row r="33" spans="1:29" ht="15.75" thickBot="1" x14ac:dyDescent="0.3">
      <c r="A33" s="13">
        <v>45334</v>
      </c>
      <c r="B33" s="33">
        <v>0.41666666666666669</v>
      </c>
      <c r="C33" s="33"/>
      <c r="D33" s="6"/>
      <c r="E33" s="6" t="s">
        <v>60</v>
      </c>
      <c r="F33" s="6">
        <v>30</v>
      </c>
      <c r="G33" s="74">
        <v>25438</v>
      </c>
      <c r="H33" s="6">
        <v>32.9</v>
      </c>
      <c r="I33" s="6">
        <v>28.7</v>
      </c>
      <c r="J33" s="21"/>
      <c r="K33" s="24"/>
      <c r="L33" s="24"/>
      <c r="M33" s="24"/>
      <c r="N33" s="24"/>
      <c r="O33" s="21"/>
      <c r="P33" s="72"/>
      <c r="Q33" s="72"/>
      <c r="R33" s="21"/>
      <c r="S33" s="94">
        <f t="shared" si="4"/>
        <v>32.9</v>
      </c>
      <c r="T33" s="95">
        <f t="shared" si="3"/>
        <v>723</v>
      </c>
      <c r="U33" s="11">
        <f t="shared" si="7"/>
        <v>0</v>
      </c>
      <c r="V33" s="11">
        <f t="shared" si="8"/>
        <v>0</v>
      </c>
      <c r="W33" s="12">
        <f t="shared" si="9"/>
        <v>645.24027459954232</v>
      </c>
      <c r="X33" s="12">
        <f>V33/[1]Manure!$I$2</f>
        <v>0</v>
      </c>
      <c r="Y33" s="12">
        <f>W33/[1]Manure!$I$2</f>
        <v>460.16680119420687</v>
      </c>
      <c r="Z33" s="12"/>
      <c r="AA33" s="12"/>
      <c r="AB33" s="15"/>
      <c r="AC33" s="11"/>
    </row>
    <row r="34" spans="1:29" ht="15.75" thickBot="1" x14ac:dyDescent="0.3">
      <c r="A34" s="13">
        <v>45335</v>
      </c>
      <c r="B34" s="33">
        <v>0.41666666666666669</v>
      </c>
      <c r="C34" s="33"/>
      <c r="D34" s="6"/>
      <c r="E34" s="6" t="s">
        <v>60</v>
      </c>
      <c r="F34" s="6">
        <v>30</v>
      </c>
      <c r="G34" s="6">
        <v>25920</v>
      </c>
      <c r="H34" s="6">
        <v>29.4</v>
      </c>
      <c r="I34" s="6">
        <v>24.6</v>
      </c>
      <c r="J34" s="21"/>
      <c r="K34" s="25"/>
      <c r="L34" s="25"/>
      <c r="M34" s="25"/>
      <c r="N34" s="25"/>
      <c r="O34" s="21"/>
      <c r="P34" s="72"/>
      <c r="Q34" s="72"/>
      <c r="R34" s="21"/>
      <c r="S34" s="94">
        <f t="shared" si="4"/>
        <v>29.4</v>
      </c>
      <c r="T34" s="95">
        <f t="shared" si="3"/>
        <v>482</v>
      </c>
      <c r="U34" s="11">
        <f t="shared" si="7"/>
        <v>0</v>
      </c>
      <c r="V34" s="11">
        <f t="shared" si="8"/>
        <v>0</v>
      </c>
      <c r="W34" s="12">
        <f t="shared" si="9"/>
        <v>435.13888888888897</v>
      </c>
      <c r="X34" s="12">
        <f>V34/[1]Manure!$I$2</f>
        <v>0</v>
      </c>
      <c r="Y34" s="12">
        <f>W34/[1]Manure!$I$2</f>
        <v>310.32853722510561</v>
      </c>
      <c r="Z34" s="12"/>
      <c r="AA34" s="12"/>
      <c r="AB34" s="11"/>
      <c r="AC34" s="11"/>
    </row>
    <row r="35" spans="1:29" ht="15.75" thickBot="1" x14ac:dyDescent="0.3">
      <c r="A35" s="13">
        <v>45336</v>
      </c>
      <c r="B35" s="70">
        <v>0.41666666666666669</v>
      </c>
      <c r="C35" s="33"/>
      <c r="D35" s="6"/>
      <c r="E35" s="6" t="s">
        <v>60</v>
      </c>
      <c r="F35" s="6">
        <v>30</v>
      </c>
      <c r="G35" s="6">
        <v>26938</v>
      </c>
      <c r="H35" s="71">
        <v>27.8</v>
      </c>
      <c r="I35" s="71">
        <v>22.9</v>
      </c>
      <c r="J35" s="21"/>
      <c r="K35" s="25"/>
      <c r="L35" s="25"/>
      <c r="M35" s="25"/>
      <c r="N35" s="25"/>
      <c r="O35" s="21"/>
      <c r="P35" s="72"/>
      <c r="Q35" s="72"/>
      <c r="R35" s="21"/>
      <c r="S35" s="94">
        <f t="shared" si="4"/>
        <v>27.8</v>
      </c>
      <c r="T35" s="95">
        <f t="shared" si="3"/>
        <v>1018</v>
      </c>
      <c r="U35" s="11">
        <f t="shared" si="7"/>
        <v>0</v>
      </c>
      <c r="V35" s="11">
        <f t="shared" si="8"/>
        <v>0</v>
      </c>
      <c r="W35" s="12">
        <f t="shared" si="9"/>
        <v>923.91622340425533</v>
      </c>
      <c r="X35" s="12">
        <f>V35/[1]Manure!$I$2</f>
        <v>0</v>
      </c>
      <c r="Y35" s="12">
        <f>W35/[1]Manure!$I$2</f>
        <v>658.9104707687909</v>
      </c>
      <c r="Z35" s="12"/>
      <c r="AA35" s="12"/>
      <c r="AB35" s="11"/>
      <c r="AC35" s="11"/>
    </row>
    <row r="36" spans="1:29" ht="15.75" thickBot="1" x14ac:dyDescent="0.3">
      <c r="A36" s="13">
        <v>45337</v>
      </c>
      <c r="B36" s="33">
        <v>0.41666666666666669</v>
      </c>
      <c r="C36" s="33"/>
      <c r="D36" s="6"/>
      <c r="E36" s="6" t="s">
        <v>60</v>
      </c>
      <c r="F36" s="6">
        <v>30</v>
      </c>
      <c r="G36" s="6">
        <v>27610</v>
      </c>
      <c r="H36" s="6">
        <v>25.2</v>
      </c>
      <c r="I36" s="6">
        <v>23.1</v>
      </c>
      <c r="J36" s="21"/>
      <c r="K36" s="25"/>
      <c r="L36" s="25"/>
      <c r="M36" s="25"/>
      <c r="N36" s="25"/>
      <c r="O36" s="21"/>
      <c r="P36" s="72"/>
      <c r="Q36" s="72"/>
      <c r="R36" s="21"/>
      <c r="S36" s="94">
        <f t="shared" si="4"/>
        <v>25.2</v>
      </c>
      <c r="T36" s="95">
        <f t="shared" si="3"/>
        <v>672</v>
      </c>
      <c r="U36" s="11">
        <f t="shared" si="7"/>
        <v>0</v>
      </c>
      <c r="V36" s="11">
        <f t="shared" si="8"/>
        <v>0</v>
      </c>
      <c r="W36" s="12">
        <f t="shared" si="9"/>
        <v>615.21126760563379</v>
      </c>
      <c r="X36" s="12">
        <f>V36/[1]Manure!$I$2</f>
        <v>0</v>
      </c>
      <c r="Y36" s="12">
        <f>W36/[1]Manure!$I$2</f>
        <v>438.75097729821482</v>
      </c>
      <c r="Z36" s="12"/>
      <c r="AA36" s="12"/>
      <c r="AB36" s="11"/>
      <c r="AC36" s="11"/>
    </row>
    <row r="37" spans="1:29" ht="15.75" thickBot="1" x14ac:dyDescent="0.3">
      <c r="A37" s="13">
        <v>45338</v>
      </c>
      <c r="B37" s="33">
        <v>0.41666666666666669</v>
      </c>
      <c r="C37" s="33"/>
      <c r="D37" s="6"/>
      <c r="E37" s="6" t="s">
        <v>60</v>
      </c>
      <c r="F37" s="6">
        <v>30</v>
      </c>
      <c r="G37" s="6">
        <v>28115</v>
      </c>
      <c r="H37" s="6">
        <v>32.6</v>
      </c>
      <c r="I37" s="6">
        <v>24.3</v>
      </c>
      <c r="J37" s="21"/>
      <c r="K37" s="25"/>
      <c r="L37" s="25"/>
      <c r="M37" s="25"/>
      <c r="N37" s="25"/>
      <c r="O37" s="21"/>
      <c r="P37" s="72"/>
      <c r="Q37" s="72"/>
      <c r="R37" s="21"/>
      <c r="S37" s="94">
        <f t="shared" si="4"/>
        <v>32.6</v>
      </c>
      <c r="T37" s="95">
        <f t="shared" si="3"/>
        <v>505</v>
      </c>
      <c r="U37" s="11">
        <f t="shared" si="7"/>
        <v>0</v>
      </c>
      <c r="V37" s="11">
        <f t="shared" si="8"/>
        <v>0</v>
      </c>
      <c r="W37" s="12">
        <f t="shared" si="9"/>
        <v>451.12892670157066</v>
      </c>
      <c r="X37" s="12">
        <f>V37/[1]Manure!$I$2</f>
        <v>0</v>
      </c>
      <c r="Y37" s="12">
        <f>W37/[1]Manure!$I$2</f>
        <v>321.73217218233577</v>
      </c>
      <c r="Z37" s="12"/>
      <c r="AA37" s="12"/>
      <c r="AB37" s="11"/>
      <c r="AC37" s="11"/>
    </row>
    <row r="38" spans="1:29" ht="15.75" thickBot="1" x14ac:dyDescent="0.3">
      <c r="A38" s="13">
        <v>45339</v>
      </c>
      <c r="B38" s="33">
        <v>0.41666666666666669</v>
      </c>
      <c r="C38" s="33"/>
      <c r="D38" s="6"/>
      <c r="E38" s="6" t="s">
        <v>60</v>
      </c>
      <c r="F38" s="6">
        <v>30</v>
      </c>
      <c r="G38" s="6">
        <v>28270</v>
      </c>
      <c r="H38" s="6">
        <v>35.9</v>
      </c>
      <c r="I38" s="6">
        <v>25</v>
      </c>
      <c r="J38" s="21"/>
      <c r="K38" s="25"/>
      <c r="L38" s="25"/>
      <c r="M38" s="25"/>
      <c r="N38" s="25"/>
      <c r="O38" s="21"/>
      <c r="P38" s="72"/>
      <c r="Q38" s="72"/>
      <c r="R38" s="21"/>
      <c r="S38" s="94">
        <f t="shared" si="4"/>
        <v>35.9</v>
      </c>
      <c r="T38" s="95">
        <f t="shared" si="3"/>
        <v>155</v>
      </c>
      <c r="U38" s="11">
        <f t="shared" si="7"/>
        <v>0</v>
      </c>
      <c r="V38" s="11">
        <f t="shared" si="8"/>
        <v>0</v>
      </c>
      <c r="W38" s="12">
        <f t="shared" si="9"/>
        <v>136.98607963742313</v>
      </c>
      <c r="X38" s="12">
        <f>V38/[1]Manure!$I$2</f>
        <v>0</v>
      </c>
      <c r="Y38" s="12">
        <f>W38/[1]Manure!$I$2</f>
        <v>97.694531101627845</v>
      </c>
      <c r="Z38" s="12"/>
      <c r="AA38" s="12"/>
      <c r="AB38" s="11"/>
      <c r="AC38" s="11"/>
    </row>
    <row r="39" spans="1:29" ht="15.75" thickBot="1" x14ac:dyDescent="0.3">
      <c r="A39" s="13">
        <v>45341</v>
      </c>
      <c r="B39" s="33">
        <v>0.41666666666666669</v>
      </c>
      <c r="C39" s="33"/>
      <c r="D39" s="6"/>
      <c r="E39" s="6" t="s">
        <v>60</v>
      </c>
      <c r="F39" s="6">
        <v>30</v>
      </c>
      <c r="G39" s="6">
        <v>29097</v>
      </c>
      <c r="H39" s="6">
        <v>28.5</v>
      </c>
      <c r="I39" s="6">
        <v>25.6</v>
      </c>
      <c r="J39" s="21"/>
      <c r="K39" s="25"/>
      <c r="L39" s="25"/>
      <c r="M39" s="25"/>
      <c r="N39" s="25"/>
      <c r="O39" s="21"/>
      <c r="P39" s="72"/>
      <c r="Q39" s="72"/>
      <c r="R39" s="21"/>
      <c r="S39" s="94">
        <f t="shared" si="4"/>
        <v>28.5</v>
      </c>
      <c r="T39" s="95">
        <f t="shared" si="3"/>
        <v>827</v>
      </c>
      <c r="U39" s="11">
        <f t="shared" si="7"/>
        <v>0</v>
      </c>
      <c r="V39" s="11">
        <f t="shared" si="8"/>
        <v>0</v>
      </c>
      <c r="W39" s="12">
        <f t="shared" si="9"/>
        <v>748.82587064676613</v>
      </c>
      <c r="X39" s="12">
        <f>V39/[1]Manure!$I$2</f>
        <v>0</v>
      </c>
      <c r="Y39" s="12">
        <f>W39/[1]Manure!$I$2</f>
        <v>534.04106828398176</v>
      </c>
      <c r="Z39" s="12"/>
      <c r="AA39" s="12"/>
      <c r="AB39" s="11"/>
      <c r="AC39" s="11"/>
    </row>
    <row r="40" spans="1:29" ht="15.75" thickBot="1" x14ac:dyDescent="0.3">
      <c r="A40" s="13">
        <v>45342</v>
      </c>
      <c r="B40" s="33">
        <v>0.41666666666666669</v>
      </c>
      <c r="C40" s="33"/>
      <c r="D40" s="6"/>
      <c r="E40" s="6" t="s">
        <v>60</v>
      </c>
      <c r="F40" s="6">
        <v>30</v>
      </c>
      <c r="G40" s="6">
        <v>29505</v>
      </c>
      <c r="H40" s="6">
        <v>26.7</v>
      </c>
      <c r="I40" s="6">
        <v>24.2</v>
      </c>
      <c r="J40" s="21"/>
      <c r="K40" s="25"/>
      <c r="L40" s="25"/>
      <c r="M40" s="25"/>
      <c r="N40" s="25"/>
      <c r="O40" s="21"/>
      <c r="P40" s="72"/>
      <c r="Q40" s="72"/>
      <c r="R40" s="21"/>
      <c r="S40" s="94">
        <f t="shared" si="4"/>
        <v>26.7</v>
      </c>
      <c r="T40" s="95">
        <f t="shared" si="3"/>
        <v>408</v>
      </c>
      <c r="U40" s="11">
        <f t="shared" si="7"/>
        <v>0</v>
      </c>
      <c r="V40" s="11">
        <f t="shared" si="8"/>
        <v>0</v>
      </c>
      <c r="W40" s="12">
        <f t="shared" si="9"/>
        <v>371.65165165165166</v>
      </c>
      <c r="X40" s="12">
        <f>V40/[1]Manure!$I$2</f>
        <v>0</v>
      </c>
      <c r="Y40" s="12">
        <f>W40/[1]Manure!$I$2</f>
        <v>265.05126606553819</v>
      </c>
      <c r="Z40" s="12"/>
      <c r="AA40" s="12"/>
      <c r="AB40" s="11"/>
      <c r="AC40" s="11"/>
    </row>
    <row r="41" spans="1:29" ht="15.75" thickBot="1" x14ac:dyDescent="0.3">
      <c r="A41" s="13">
        <v>45343</v>
      </c>
      <c r="B41" s="33">
        <v>0.41666666666666669</v>
      </c>
      <c r="C41" s="33"/>
      <c r="D41" s="6"/>
      <c r="E41" s="6" t="s">
        <v>60</v>
      </c>
      <c r="F41" s="6">
        <v>30</v>
      </c>
      <c r="G41" s="6">
        <v>30024</v>
      </c>
      <c r="H41" s="6">
        <v>23.9</v>
      </c>
      <c r="I41" s="6">
        <v>22.8</v>
      </c>
      <c r="J41" s="21"/>
      <c r="K41" s="25"/>
      <c r="L41" s="25"/>
      <c r="M41" s="25"/>
      <c r="N41" s="25"/>
      <c r="O41" s="21"/>
      <c r="P41" s="72"/>
      <c r="Q41" s="72"/>
      <c r="R41" s="21"/>
      <c r="S41" s="94">
        <f t="shared" si="4"/>
        <v>23.9</v>
      </c>
      <c r="T41" s="95">
        <f t="shared" si="3"/>
        <v>519</v>
      </c>
      <c r="U41" s="11">
        <f t="shared" si="7"/>
        <v>0</v>
      </c>
      <c r="V41" s="11">
        <f t="shared" si="8"/>
        <v>0</v>
      </c>
      <c r="W41" s="12">
        <f t="shared" si="9"/>
        <v>477.22128662849445</v>
      </c>
      <c r="X41" s="12">
        <f>V41/[1]Manure!$I$2</f>
        <v>0</v>
      </c>
      <c r="Y41" s="12">
        <f>W41/[1]Manure!$I$2</f>
        <v>340.34049264192316</v>
      </c>
      <c r="Z41" s="12"/>
      <c r="AA41" s="12"/>
      <c r="AB41" s="11"/>
      <c r="AC41" s="11"/>
    </row>
    <row r="42" spans="1:29" ht="15.75" thickBot="1" x14ac:dyDescent="0.3">
      <c r="A42" s="13">
        <v>45344</v>
      </c>
      <c r="B42" s="87">
        <v>0.41666666666666669</v>
      </c>
      <c r="C42" s="7"/>
      <c r="D42" s="6"/>
      <c r="E42" s="6" t="s">
        <v>60</v>
      </c>
      <c r="F42" s="6">
        <v>30</v>
      </c>
      <c r="G42" s="6">
        <v>30911</v>
      </c>
      <c r="H42" s="6">
        <v>23.6</v>
      </c>
      <c r="I42" s="6">
        <v>21.9</v>
      </c>
      <c r="J42" s="21"/>
      <c r="K42" s="25"/>
      <c r="L42" s="25"/>
      <c r="M42" s="25"/>
      <c r="N42" s="25"/>
      <c r="O42" s="21"/>
      <c r="P42" s="72"/>
      <c r="Q42" s="72"/>
      <c r="R42" s="21"/>
      <c r="S42" s="94">
        <f t="shared" si="4"/>
        <v>23.6</v>
      </c>
      <c r="T42" s="95">
        <f t="shared" si="3"/>
        <v>887</v>
      </c>
      <c r="U42" s="11">
        <f t="shared" si="7"/>
        <v>0</v>
      </c>
      <c r="V42" s="11">
        <f t="shared" si="8"/>
        <v>0</v>
      </c>
      <c r="W42" s="12">
        <f t="shared" si="9"/>
        <v>816.4227916385704</v>
      </c>
      <c r="X42" s="12">
        <f>V42/[1]Manure!$I$2</f>
        <v>0</v>
      </c>
      <c r="Y42" s="12">
        <f>W42/[1]Manure!$I$2</f>
        <v>582.24924766751667</v>
      </c>
      <c r="Z42" s="12"/>
      <c r="AA42" s="12"/>
      <c r="AB42" s="11"/>
      <c r="AC42" s="11"/>
    </row>
    <row r="43" spans="1:29" ht="15.75" thickBot="1" x14ac:dyDescent="0.3">
      <c r="A43" s="13">
        <v>45345</v>
      </c>
      <c r="B43" s="87">
        <v>0.41666666666666669</v>
      </c>
      <c r="C43" s="7"/>
      <c r="D43" s="6"/>
      <c r="E43" s="6" t="s">
        <v>60</v>
      </c>
      <c r="F43" s="6">
        <v>30</v>
      </c>
      <c r="G43" s="6">
        <v>31285</v>
      </c>
      <c r="H43" s="6">
        <v>23.1</v>
      </c>
      <c r="I43" s="6">
        <v>21.8</v>
      </c>
      <c r="J43" s="21"/>
      <c r="K43" s="25"/>
      <c r="L43" s="25"/>
      <c r="M43" s="25"/>
      <c r="N43" s="25"/>
      <c r="O43" s="21"/>
      <c r="P43" s="72"/>
      <c r="Q43" s="72"/>
      <c r="R43" s="21"/>
      <c r="S43" s="94">
        <f t="shared" si="4"/>
        <v>23.1</v>
      </c>
      <c r="T43" s="95">
        <f t="shared" si="3"/>
        <v>374</v>
      </c>
      <c r="U43" s="11">
        <f t="shared" si="7"/>
        <v>0</v>
      </c>
      <c r="V43" s="11">
        <f t="shared" si="8"/>
        <v>0</v>
      </c>
      <c r="W43" s="12">
        <f t="shared" si="9"/>
        <v>344.82269503546092</v>
      </c>
      <c r="X43" s="12">
        <f>V43/[1]Manure!$I$2</f>
        <v>0</v>
      </c>
      <c r="Y43" s="12">
        <f>W43/[1]Manure!$I$2</f>
        <v>245.91762603801067</v>
      </c>
      <c r="Z43" s="12"/>
      <c r="AA43" s="12"/>
      <c r="AB43" s="11"/>
      <c r="AC43" s="11"/>
    </row>
    <row r="44" spans="1:29" ht="15.75" thickBot="1" x14ac:dyDescent="0.3">
      <c r="A44" s="13">
        <v>45346</v>
      </c>
      <c r="B44" s="87">
        <v>0.41666666666666669</v>
      </c>
      <c r="C44" s="7"/>
      <c r="D44" s="6"/>
      <c r="E44" s="6" t="s">
        <v>60</v>
      </c>
      <c r="F44" s="6">
        <v>30</v>
      </c>
      <c r="G44" s="6">
        <v>31295</v>
      </c>
      <c r="H44" s="6">
        <v>23.2</v>
      </c>
      <c r="I44" s="6">
        <v>22.4</v>
      </c>
      <c r="J44" s="21"/>
      <c r="K44" s="25"/>
      <c r="L44" s="25"/>
      <c r="M44" s="25"/>
      <c r="N44" s="25"/>
      <c r="O44" s="21"/>
      <c r="P44" s="72"/>
      <c r="Q44" s="72"/>
      <c r="R44" s="21"/>
      <c r="S44" s="94">
        <f t="shared" si="4"/>
        <v>23.2</v>
      </c>
      <c r="T44" s="95">
        <f t="shared" si="3"/>
        <v>10</v>
      </c>
      <c r="U44" s="11">
        <f t="shared" si="7"/>
        <v>0</v>
      </c>
      <c r="V44" s="11">
        <f t="shared" si="8"/>
        <v>0</v>
      </c>
      <c r="W44" s="12">
        <f t="shared" si="9"/>
        <v>9.2167454422687385</v>
      </c>
      <c r="X44" s="12">
        <f>V44/[1]Manure!$I$2</f>
        <v>0</v>
      </c>
      <c r="Y44" s="12">
        <f>W44/[1]Manure!$I$2</f>
        <v>6.5731176966942213</v>
      </c>
      <c r="Z44" s="12"/>
      <c r="AA44" s="12"/>
      <c r="AB44" s="11"/>
      <c r="AC44" s="11"/>
    </row>
    <row r="45" spans="1:29" ht="15.75" thickBot="1" x14ac:dyDescent="0.3">
      <c r="A45" s="13">
        <v>45348</v>
      </c>
      <c r="B45" s="87">
        <v>0.41666666666666669</v>
      </c>
      <c r="C45" s="7"/>
      <c r="D45" s="6"/>
      <c r="E45" s="6" t="s">
        <v>60</v>
      </c>
      <c r="F45" s="6">
        <v>30</v>
      </c>
      <c r="G45" s="6">
        <v>32191</v>
      </c>
      <c r="H45" s="6">
        <v>28.2</v>
      </c>
      <c r="I45" s="6">
        <v>23</v>
      </c>
      <c r="J45" s="21"/>
      <c r="K45" s="25"/>
      <c r="L45" s="25"/>
      <c r="M45" s="25"/>
      <c r="N45" s="25"/>
      <c r="O45" s="21"/>
      <c r="P45" s="72"/>
      <c r="Q45" s="72"/>
      <c r="R45" s="21"/>
      <c r="S45" s="94">
        <f t="shared" si="4"/>
        <v>28.2</v>
      </c>
      <c r="T45" s="95">
        <f t="shared" si="3"/>
        <v>896</v>
      </c>
      <c r="U45" s="11">
        <f t="shared" si="7"/>
        <v>0</v>
      </c>
      <c r="V45" s="11">
        <f t="shared" si="8"/>
        <v>0</v>
      </c>
      <c r="W45" s="12">
        <f t="shared" si="9"/>
        <v>812.11155378486069</v>
      </c>
      <c r="X45" s="12">
        <f>V45/[1]Manure!$I$2</f>
        <v>0</v>
      </c>
      <c r="Y45" s="12">
        <f>W45/[1]Manure!$I$2</f>
        <v>579.17459685846688</v>
      </c>
      <c r="Z45" s="12"/>
      <c r="AA45" s="12"/>
      <c r="AB45" s="11"/>
      <c r="AC45" s="11"/>
    </row>
    <row r="46" spans="1:29" ht="15.75" thickBot="1" x14ac:dyDescent="0.3">
      <c r="A46" s="13">
        <v>45349</v>
      </c>
      <c r="B46" s="87">
        <v>0.41666666666666669</v>
      </c>
      <c r="C46" s="7"/>
      <c r="D46" s="6"/>
      <c r="E46" s="6" t="s">
        <v>60</v>
      </c>
      <c r="F46" s="6">
        <v>30</v>
      </c>
      <c r="G46" s="6">
        <v>32925</v>
      </c>
      <c r="H46" s="6">
        <v>27.3</v>
      </c>
      <c r="I46" s="6">
        <v>21.5</v>
      </c>
      <c r="J46" s="21"/>
      <c r="K46" s="25"/>
      <c r="L46" s="25"/>
      <c r="M46" s="25"/>
      <c r="N46" s="25"/>
      <c r="O46" s="21"/>
      <c r="P46" s="72"/>
      <c r="Q46" s="72"/>
      <c r="R46" s="21"/>
      <c r="S46" s="94">
        <f t="shared" si="4"/>
        <v>27.3</v>
      </c>
      <c r="T46" s="95">
        <f t="shared" si="3"/>
        <v>734</v>
      </c>
      <c r="U46" s="11">
        <f t="shared" si="7"/>
        <v>0</v>
      </c>
      <c r="V46" s="11">
        <f t="shared" si="8"/>
        <v>0</v>
      </c>
      <c r="W46" s="12">
        <f t="shared" si="9"/>
        <v>667.27272727272725</v>
      </c>
      <c r="X46" s="12">
        <f>V46/[1]Manure!$I$2</f>
        <v>0</v>
      </c>
      <c r="Y46" s="12">
        <f>W46/[1]Manure!$I$2</f>
        <v>475.87971259821774</v>
      </c>
      <c r="Z46" s="12"/>
      <c r="AA46" s="12"/>
      <c r="AB46" s="11"/>
      <c r="AC46" s="11"/>
    </row>
    <row r="47" spans="1:29" ht="15.75" thickBot="1" x14ac:dyDescent="0.3">
      <c r="A47" s="13">
        <v>45350</v>
      </c>
      <c r="B47" s="87">
        <v>0.41666666666666669</v>
      </c>
      <c r="C47" s="7"/>
      <c r="D47" s="6"/>
      <c r="E47" s="6" t="s">
        <v>60</v>
      </c>
      <c r="F47" s="6">
        <v>30</v>
      </c>
      <c r="G47" s="6">
        <v>33510</v>
      </c>
      <c r="H47" s="6">
        <v>27.1</v>
      </c>
      <c r="I47" s="6">
        <v>20.100000000000001</v>
      </c>
      <c r="J47" s="21"/>
      <c r="K47" s="25"/>
      <c r="L47" s="25"/>
      <c r="M47" s="25"/>
      <c r="N47" s="25"/>
      <c r="O47" s="21"/>
      <c r="P47" s="72"/>
      <c r="Q47" s="72"/>
      <c r="R47" s="21"/>
      <c r="S47" s="94">
        <f t="shared" si="4"/>
        <v>27.1</v>
      </c>
      <c r="T47" s="95">
        <f t="shared" si="3"/>
        <v>585</v>
      </c>
      <c r="U47" s="11">
        <f t="shared" si="7"/>
        <v>0</v>
      </c>
      <c r="V47" s="11">
        <f t="shared" si="8"/>
        <v>0</v>
      </c>
      <c r="W47" s="12">
        <f t="shared" si="9"/>
        <v>532.17260913028986</v>
      </c>
      <c r="X47" s="12">
        <f>V47/[1]Manure!$I$2</f>
        <v>0</v>
      </c>
      <c r="Y47" s="12">
        <f>W47/[1]Manure!$I$2</f>
        <v>379.53019497836868</v>
      </c>
      <c r="Z47" s="12"/>
      <c r="AA47" s="12"/>
      <c r="AB47" s="11"/>
      <c r="AC47" s="11"/>
    </row>
    <row r="48" spans="1:29" ht="15.75" thickBot="1" x14ac:dyDescent="0.3">
      <c r="A48" s="13">
        <v>45351</v>
      </c>
      <c r="B48" s="87">
        <v>0.41666666666666669</v>
      </c>
      <c r="C48" s="7"/>
      <c r="D48" s="6"/>
      <c r="E48" s="6" t="s">
        <v>60</v>
      </c>
      <c r="F48" s="6">
        <v>30</v>
      </c>
      <c r="G48" s="6">
        <v>33808</v>
      </c>
      <c r="H48" s="6">
        <v>28.4</v>
      </c>
      <c r="I48" s="6">
        <v>22.8</v>
      </c>
      <c r="J48" s="21"/>
      <c r="K48" s="25"/>
      <c r="L48" s="25"/>
      <c r="M48" s="25"/>
      <c r="N48" s="25"/>
      <c r="O48" s="21"/>
      <c r="P48" s="72"/>
      <c r="Q48" s="72"/>
      <c r="R48" s="21"/>
      <c r="S48" s="94">
        <f t="shared" si="4"/>
        <v>28.4</v>
      </c>
      <c r="T48" s="95">
        <f t="shared" si="3"/>
        <v>298</v>
      </c>
      <c r="U48" s="11">
        <f t="shared" si="7"/>
        <v>0</v>
      </c>
      <c r="V48" s="11">
        <f t="shared" si="8"/>
        <v>0</v>
      </c>
      <c r="W48" s="12">
        <f t="shared" si="9"/>
        <v>269.92037159920375</v>
      </c>
      <c r="X48" s="12">
        <f>V48/[1]Manure!$I$2</f>
        <v>0</v>
      </c>
      <c r="Y48" s="12">
        <f>W48/[1]Manure!$I$2</f>
        <v>192.49944379718875</v>
      </c>
      <c r="Z48" s="12"/>
      <c r="AA48" s="12"/>
      <c r="AB48" s="11"/>
      <c r="AC48" s="11"/>
    </row>
    <row r="49" spans="1:29" ht="15.75" thickBot="1" x14ac:dyDescent="0.3">
      <c r="A49" s="13">
        <v>45352</v>
      </c>
      <c r="B49" s="87">
        <v>0.41666666666666669</v>
      </c>
      <c r="C49" s="7"/>
      <c r="D49" s="6"/>
      <c r="E49" s="6" t="s">
        <v>60</v>
      </c>
      <c r="F49" s="6">
        <v>30</v>
      </c>
      <c r="G49" s="6">
        <v>34147</v>
      </c>
      <c r="H49" s="6">
        <v>25.5</v>
      </c>
      <c r="I49" s="6">
        <v>23.4</v>
      </c>
      <c r="J49" s="21"/>
      <c r="K49" s="25"/>
      <c r="L49" s="25"/>
      <c r="M49" s="25"/>
      <c r="N49" s="25"/>
      <c r="O49" s="21"/>
      <c r="P49" s="72"/>
      <c r="Q49" s="72"/>
      <c r="R49" s="21"/>
      <c r="S49" s="94">
        <f t="shared" si="4"/>
        <v>25.5</v>
      </c>
      <c r="T49" s="95">
        <f t="shared" si="3"/>
        <v>339</v>
      </c>
      <c r="U49" s="11">
        <f t="shared" si="7"/>
        <v>0</v>
      </c>
      <c r="V49" s="11">
        <f t="shared" si="8"/>
        <v>0</v>
      </c>
      <c r="W49" s="12">
        <f t="shared" si="9"/>
        <v>310.0402010050251</v>
      </c>
      <c r="X49" s="12">
        <f>V49/[1]Manure!$I$2</f>
        <v>0</v>
      </c>
      <c r="Y49" s="12">
        <f>W49/[1]Manure!$I$2</f>
        <v>221.11175193866691</v>
      </c>
      <c r="Z49" s="12"/>
      <c r="AA49" s="12"/>
      <c r="AB49" s="11"/>
      <c r="AC49" s="11"/>
    </row>
    <row r="50" spans="1:29" ht="15.75" thickBot="1" x14ac:dyDescent="0.3">
      <c r="A50" s="13">
        <v>45353</v>
      </c>
      <c r="B50" s="87">
        <v>0.41666666666666669</v>
      </c>
      <c r="C50" s="7"/>
      <c r="D50" s="6"/>
      <c r="E50" s="6" t="s">
        <v>60</v>
      </c>
      <c r="F50" s="6">
        <v>30</v>
      </c>
      <c r="G50" s="6">
        <v>34639</v>
      </c>
      <c r="H50" s="6">
        <v>27.8</v>
      </c>
      <c r="I50" s="6">
        <v>23.9</v>
      </c>
      <c r="J50" s="21"/>
      <c r="K50" s="25"/>
      <c r="L50" s="25"/>
      <c r="M50" s="25"/>
      <c r="N50" s="25"/>
      <c r="O50" s="21"/>
      <c r="P50" s="72"/>
      <c r="Q50" s="72"/>
      <c r="R50" s="21"/>
      <c r="S50" s="94">
        <f t="shared" si="4"/>
        <v>27.8</v>
      </c>
      <c r="T50" s="95">
        <f t="shared" si="3"/>
        <v>492</v>
      </c>
      <c r="U50" s="11">
        <f t="shared" si="7"/>
        <v>0</v>
      </c>
      <c r="V50" s="11">
        <f t="shared" si="8"/>
        <v>0</v>
      </c>
      <c r="W50" s="12">
        <f t="shared" si="9"/>
        <v>446.52925531914894</v>
      </c>
      <c r="X50" s="12">
        <f>V50/[1]Manure!$I$2</f>
        <v>0</v>
      </c>
      <c r="Y50" s="12">
        <f>W50/[1]Manure!$I$2</f>
        <v>318.45181887843336</v>
      </c>
      <c r="Z50" s="12"/>
      <c r="AA50" s="12"/>
      <c r="AB50" s="11"/>
      <c r="AC50" s="11"/>
    </row>
    <row r="51" spans="1:29" ht="15.75" thickBot="1" x14ac:dyDescent="0.3">
      <c r="A51" s="13">
        <v>45355</v>
      </c>
      <c r="B51" s="87">
        <v>0.41666666666666669</v>
      </c>
      <c r="C51" s="7"/>
      <c r="D51" s="6"/>
      <c r="E51" s="6" t="s">
        <v>60</v>
      </c>
      <c r="F51" s="6">
        <v>30</v>
      </c>
      <c r="G51" s="6">
        <v>35347</v>
      </c>
      <c r="H51" s="6">
        <v>27.3</v>
      </c>
      <c r="I51" s="6">
        <v>25.8</v>
      </c>
      <c r="J51" s="21"/>
      <c r="K51" s="25"/>
      <c r="L51" s="25"/>
      <c r="M51" s="25"/>
      <c r="N51" s="25"/>
      <c r="O51" s="21"/>
      <c r="P51" s="76">
        <v>0.56100000000000005</v>
      </c>
      <c r="Q51" s="76">
        <v>0.47199999999999998</v>
      </c>
      <c r="R51" s="21"/>
      <c r="S51" s="94">
        <f t="shared" si="4"/>
        <v>27.3</v>
      </c>
      <c r="T51" s="95">
        <f t="shared" si="3"/>
        <v>708</v>
      </c>
      <c r="U51" s="11">
        <f t="shared" si="7"/>
        <v>3.9718800000000001</v>
      </c>
      <c r="V51" s="11">
        <f t="shared" si="8"/>
        <v>3.6107999999999998</v>
      </c>
      <c r="W51" s="12">
        <f t="shared" si="9"/>
        <v>643.63636363636363</v>
      </c>
      <c r="X51" s="12">
        <f>V51/[1]Manure!$I$2</f>
        <v>2.5751186823904755</v>
      </c>
      <c r="Y51" s="12">
        <f>W51/[1]Manure!$I$2</f>
        <v>459.02293803751792</v>
      </c>
      <c r="Z51" s="12"/>
      <c r="AA51" s="12"/>
      <c r="AB51" s="11"/>
      <c r="AC51" s="11"/>
    </row>
    <row r="52" spans="1:29" ht="15.75" thickBot="1" x14ac:dyDescent="0.3">
      <c r="A52" s="13">
        <v>45356</v>
      </c>
      <c r="B52" s="87">
        <v>0.41666666666666669</v>
      </c>
      <c r="C52" s="7"/>
      <c r="D52" s="6"/>
      <c r="E52" s="6" t="s">
        <v>60</v>
      </c>
      <c r="F52" s="6">
        <v>30</v>
      </c>
      <c r="G52" s="6">
        <v>35827</v>
      </c>
      <c r="H52" s="6">
        <v>26.9</v>
      </c>
      <c r="I52" s="6">
        <v>23.7</v>
      </c>
      <c r="J52" s="21"/>
      <c r="K52" s="25"/>
      <c r="L52" s="25"/>
      <c r="M52" s="25"/>
      <c r="N52" s="25"/>
      <c r="O52" s="21"/>
      <c r="P52" s="72"/>
      <c r="Q52" s="72"/>
      <c r="R52" s="21"/>
      <c r="S52" s="94">
        <f t="shared" si="4"/>
        <v>26.9</v>
      </c>
      <c r="T52" s="95">
        <f t="shared" si="3"/>
        <v>480</v>
      </c>
      <c r="U52" s="11">
        <f t="shared" ref="U52:U65" si="10">T52*(P52/100)</f>
        <v>0</v>
      </c>
      <c r="V52" s="11">
        <f t="shared" ref="V52:V65" si="11">U52*(273/(273+S52))</f>
        <v>0</v>
      </c>
      <c r="W52" s="12">
        <f t="shared" ref="W52:W66" si="12">T52*(273/(273+S52))</f>
        <v>436.94564854951653</v>
      </c>
      <c r="X52" s="12">
        <f>V52/[1]Manure!$I$2</f>
        <v>0</v>
      </c>
      <c r="Y52" s="12">
        <f>W52/[1]Manure!$I$2</f>
        <v>311.61706623714491</v>
      </c>
      <c r="Z52" s="12"/>
      <c r="AA52" s="12"/>
      <c r="AB52" s="11"/>
      <c r="AC52" s="11"/>
    </row>
    <row r="53" spans="1:29" ht="15.75" thickBot="1" x14ac:dyDescent="0.3">
      <c r="A53" s="13">
        <v>45357</v>
      </c>
      <c r="B53" s="87">
        <v>0.41666666666666669</v>
      </c>
      <c r="C53" s="33"/>
      <c r="D53" s="6"/>
      <c r="E53" s="6" t="s">
        <v>60</v>
      </c>
      <c r="F53" s="6">
        <v>30</v>
      </c>
      <c r="G53" s="6">
        <v>36483</v>
      </c>
      <c r="H53" s="6">
        <v>27.1</v>
      </c>
      <c r="I53" s="6">
        <v>21.6</v>
      </c>
      <c r="J53" s="21"/>
      <c r="K53" s="25"/>
      <c r="L53" s="25"/>
      <c r="M53" s="25"/>
      <c r="N53" s="25"/>
      <c r="O53" s="21"/>
      <c r="P53" s="72"/>
      <c r="Q53" s="72"/>
      <c r="R53" s="21"/>
      <c r="S53" s="94">
        <f t="shared" si="4"/>
        <v>27.1</v>
      </c>
      <c r="T53" s="95">
        <f t="shared" si="3"/>
        <v>656</v>
      </c>
      <c r="U53" s="11">
        <f t="shared" si="10"/>
        <v>0</v>
      </c>
      <c r="V53" s="11">
        <f t="shared" si="11"/>
        <v>0</v>
      </c>
      <c r="W53" s="12">
        <f t="shared" si="12"/>
        <v>596.76107964011987</v>
      </c>
      <c r="X53" s="12">
        <f>V53/[1]Manure!$I$2</f>
        <v>0</v>
      </c>
      <c r="Y53" s="12">
        <f>W53/[1]Manure!$I$2</f>
        <v>425.59283402702539</v>
      </c>
      <c r="Z53" s="12"/>
      <c r="AA53" s="12"/>
      <c r="AB53" s="11"/>
      <c r="AC53" s="11"/>
    </row>
    <row r="54" spans="1:29" ht="15.75" thickBot="1" x14ac:dyDescent="0.3">
      <c r="A54" s="13">
        <v>45358</v>
      </c>
      <c r="B54" s="87">
        <v>0.41666666666666669</v>
      </c>
      <c r="C54" s="33"/>
      <c r="D54" s="6"/>
      <c r="E54" s="6" t="s">
        <v>60</v>
      </c>
      <c r="F54" s="6">
        <v>30</v>
      </c>
      <c r="G54" s="6">
        <v>36975</v>
      </c>
      <c r="H54" s="6">
        <v>27.6</v>
      </c>
      <c r="I54" s="6">
        <v>22.2</v>
      </c>
      <c r="J54" s="21"/>
      <c r="K54" s="25"/>
      <c r="L54" s="25"/>
      <c r="M54" s="25"/>
      <c r="N54" s="25"/>
      <c r="O54" s="21"/>
      <c r="P54" s="72"/>
      <c r="Q54" s="72"/>
      <c r="R54" s="21"/>
      <c r="S54" s="94">
        <f t="shared" si="4"/>
        <v>27.6</v>
      </c>
      <c r="T54" s="95">
        <f t="shared" si="3"/>
        <v>492</v>
      </c>
      <c r="U54" s="11">
        <f t="shared" si="10"/>
        <v>0</v>
      </c>
      <c r="V54" s="11">
        <f t="shared" si="11"/>
        <v>0</v>
      </c>
      <c r="W54" s="12">
        <f t="shared" si="12"/>
        <v>446.82634730538916</v>
      </c>
      <c r="X54" s="12">
        <f>V54/[1]Manure!$I$2</f>
        <v>0</v>
      </c>
      <c r="Y54" s="12">
        <f>W54/[1]Manure!$I$2</f>
        <v>318.66369633610356</v>
      </c>
      <c r="Z54" s="12"/>
      <c r="AA54" s="12"/>
      <c r="AB54" s="11"/>
      <c r="AC54" s="11"/>
    </row>
    <row r="55" spans="1:29" ht="15.75" thickBot="1" x14ac:dyDescent="0.3">
      <c r="A55" s="13">
        <v>45359</v>
      </c>
      <c r="B55" s="87">
        <v>0.41666666666666669</v>
      </c>
      <c r="C55" s="33"/>
      <c r="D55" s="6"/>
      <c r="E55" s="6" t="s">
        <v>60</v>
      </c>
      <c r="F55" s="6">
        <v>30</v>
      </c>
      <c r="G55" s="6">
        <v>37213</v>
      </c>
      <c r="H55" s="6">
        <v>28.5</v>
      </c>
      <c r="I55" s="6">
        <v>25.5</v>
      </c>
      <c r="J55" s="21"/>
      <c r="K55" s="25"/>
      <c r="L55" s="25"/>
      <c r="M55" s="25"/>
      <c r="N55" s="25"/>
      <c r="O55" s="21"/>
      <c r="P55" s="72"/>
      <c r="Q55" s="72"/>
      <c r="R55" s="21"/>
      <c r="S55" s="94">
        <f t="shared" si="4"/>
        <v>28.5</v>
      </c>
      <c r="T55" s="95">
        <f t="shared" si="5"/>
        <v>238</v>
      </c>
      <c r="U55" s="11">
        <f t="shared" si="10"/>
        <v>0</v>
      </c>
      <c r="V55" s="11">
        <f t="shared" si="11"/>
        <v>0</v>
      </c>
      <c r="W55" s="12">
        <f t="shared" si="12"/>
        <v>215.50248756218906</v>
      </c>
      <c r="X55" s="12">
        <f>V55/[1]Manure!$I$2</f>
        <v>0</v>
      </c>
      <c r="Y55" s="12">
        <f>W55/[1]Manure!$I$2</f>
        <v>153.69017442755461</v>
      </c>
      <c r="Z55" s="12"/>
      <c r="AA55" s="12"/>
      <c r="AB55" s="11"/>
      <c r="AC55" s="11"/>
    </row>
    <row r="56" spans="1:29" ht="15.75" thickBot="1" x14ac:dyDescent="0.3">
      <c r="A56" s="13">
        <v>45360</v>
      </c>
      <c r="B56" s="87">
        <v>0.41666666666666669</v>
      </c>
      <c r="C56" s="33"/>
      <c r="D56" s="6"/>
      <c r="E56" s="6" t="s">
        <v>60</v>
      </c>
      <c r="F56" s="6">
        <v>30</v>
      </c>
      <c r="G56" s="6">
        <v>37722</v>
      </c>
      <c r="H56" s="6">
        <v>26.9</v>
      </c>
      <c r="I56" s="6">
        <v>27</v>
      </c>
      <c r="J56" s="21"/>
      <c r="K56" s="25"/>
      <c r="L56" s="25"/>
      <c r="M56" s="25"/>
      <c r="N56" s="25"/>
      <c r="O56" s="21"/>
      <c r="P56" s="72"/>
      <c r="Q56" s="72"/>
      <c r="R56" s="21"/>
      <c r="S56" s="94">
        <f t="shared" si="4"/>
        <v>26.9</v>
      </c>
      <c r="T56" s="95">
        <f t="shared" si="3"/>
        <v>509</v>
      </c>
      <c r="U56" s="11">
        <f t="shared" si="10"/>
        <v>0</v>
      </c>
      <c r="V56" s="11">
        <f t="shared" si="11"/>
        <v>0</v>
      </c>
      <c r="W56" s="12">
        <f t="shared" si="12"/>
        <v>463.34444814938314</v>
      </c>
      <c r="X56" s="12">
        <f>V56/[1]Manure!$I$2</f>
        <v>0</v>
      </c>
      <c r="Y56" s="12">
        <f>W56/[1]Manure!$I$2</f>
        <v>330.44393065563906</v>
      </c>
      <c r="Z56" s="12"/>
      <c r="AA56" s="12"/>
      <c r="AB56" s="11"/>
      <c r="AC56" s="11"/>
    </row>
    <row r="57" spans="1:29" ht="15.75" thickBot="1" x14ac:dyDescent="0.3">
      <c r="A57" s="13">
        <v>45362</v>
      </c>
      <c r="B57" s="87">
        <v>0.41666666666666669</v>
      </c>
      <c r="C57" s="33"/>
      <c r="D57" s="6"/>
      <c r="E57" s="6" t="s">
        <v>60</v>
      </c>
      <c r="F57" s="6">
        <v>30</v>
      </c>
      <c r="G57" s="6">
        <v>38509</v>
      </c>
      <c r="H57" s="6">
        <v>28.7</v>
      </c>
      <c r="I57" s="6">
        <v>23.5</v>
      </c>
      <c r="J57" s="21"/>
      <c r="K57" s="25"/>
      <c r="L57" s="25"/>
      <c r="M57" s="25"/>
      <c r="N57" s="25"/>
      <c r="O57" s="21"/>
      <c r="P57" s="72"/>
      <c r="Q57" s="72"/>
      <c r="R57" s="21"/>
      <c r="S57" s="94">
        <f t="shared" si="4"/>
        <v>28.7</v>
      </c>
      <c r="T57" s="95">
        <f t="shared" si="3"/>
        <v>787</v>
      </c>
      <c r="U57" s="11">
        <f t="shared" si="10"/>
        <v>0</v>
      </c>
      <c r="V57" s="11">
        <f t="shared" si="11"/>
        <v>0</v>
      </c>
      <c r="W57" s="12">
        <f t="shared" si="12"/>
        <v>712.13457076566124</v>
      </c>
      <c r="X57" s="12">
        <f>V57/[1]Manure!$I$2</f>
        <v>0</v>
      </c>
      <c r="Y57" s="12">
        <f>W57/[1]Manure!$I$2</f>
        <v>507.8738887655856</v>
      </c>
      <c r="Z57" s="12"/>
      <c r="AA57" s="12"/>
      <c r="AB57" s="11"/>
      <c r="AC57" s="11"/>
    </row>
    <row r="58" spans="1:29" ht="15.75" thickBot="1" x14ac:dyDescent="0.3">
      <c r="A58" s="13">
        <v>45363</v>
      </c>
      <c r="B58" s="87">
        <v>0.41666666666666669</v>
      </c>
      <c r="C58" s="33"/>
      <c r="D58" s="6"/>
      <c r="E58" s="6" t="s">
        <v>60</v>
      </c>
      <c r="F58" s="6">
        <v>30</v>
      </c>
      <c r="G58" s="6">
        <v>39287</v>
      </c>
      <c r="H58" s="6">
        <v>31.1</v>
      </c>
      <c r="I58" s="6">
        <v>21.6</v>
      </c>
      <c r="J58" s="21"/>
      <c r="K58" s="25"/>
      <c r="L58" s="25"/>
      <c r="M58" s="25"/>
      <c r="N58" s="25"/>
      <c r="O58" s="21"/>
      <c r="P58" s="72"/>
      <c r="Q58" s="72"/>
      <c r="R58" s="21"/>
      <c r="S58" s="94">
        <f t="shared" si="4"/>
        <v>31.1</v>
      </c>
      <c r="T58" s="95">
        <f t="shared" si="3"/>
        <v>778</v>
      </c>
      <c r="U58" s="11">
        <f t="shared" si="10"/>
        <v>0</v>
      </c>
      <c r="V58" s="11">
        <f t="shared" si="11"/>
        <v>0</v>
      </c>
      <c r="W58" s="12">
        <f t="shared" si="12"/>
        <v>698.43472541926997</v>
      </c>
      <c r="X58" s="12">
        <f>V58/[1]Manure!$I$2</f>
        <v>0</v>
      </c>
      <c r="Y58" s="12">
        <f>W58/[1]Manure!$I$2</f>
        <v>498.10355318971534</v>
      </c>
      <c r="Z58" s="12"/>
      <c r="AA58" s="12"/>
      <c r="AB58" s="11"/>
      <c r="AC58" s="11"/>
    </row>
    <row r="59" spans="1:29" ht="15.75" thickBot="1" x14ac:dyDescent="0.3">
      <c r="A59" s="13">
        <v>45364</v>
      </c>
      <c r="B59" s="87">
        <v>0.41666666666666669</v>
      </c>
      <c r="C59" s="33"/>
      <c r="D59" s="6"/>
      <c r="E59" s="6" t="s">
        <v>60</v>
      </c>
      <c r="F59" s="6">
        <v>30</v>
      </c>
      <c r="G59" s="6">
        <v>39773</v>
      </c>
      <c r="H59" s="6">
        <v>30.1</v>
      </c>
      <c r="I59" s="6">
        <v>23.7</v>
      </c>
      <c r="J59" s="21"/>
      <c r="K59" s="25"/>
      <c r="L59" s="25"/>
      <c r="M59" s="25"/>
      <c r="N59" s="25"/>
      <c r="O59" s="21"/>
      <c r="P59" s="72"/>
      <c r="Q59" s="72"/>
      <c r="R59" s="21"/>
      <c r="S59" s="94">
        <f t="shared" si="4"/>
        <v>30.1</v>
      </c>
      <c r="T59" s="95">
        <f t="shared" si="3"/>
        <v>486</v>
      </c>
      <c r="U59" s="11">
        <f t="shared" si="10"/>
        <v>0</v>
      </c>
      <c r="V59" s="11">
        <f t="shared" si="11"/>
        <v>0</v>
      </c>
      <c r="W59" s="12">
        <f t="shared" si="12"/>
        <v>437.73672055427249</v>
      </c>
      <c r="X59" s="12">
        <f>V59/[1]Manure!$I$2</f>
        <v>0</v>
      </c>
      <c r="Y59" s="12">
        <f>W59/[1]Manure!$I$2</f>
        <v>312.18123603291406</v>
      </c>
      <c r="Z59" s="12"/>
      <c r="AA59" s="12"/>
      <c r="AB59" s="11"/>
      <c r="AC59" s="11"/>
    </row>
    <row r="60" spans="1:29" ht="15.75" thickBot="1" x14ac:dyDescent="0.3">
      <c r="A60" s="13">
        <v>45365</v>
      </c>
      <c r="B60" s="87">
        <v>0.41666666666666669</v>
      </c>
      <c r="C60" s="33"/>
      <c r="D60" s="6"/>
      <c r="E60" s="6" t="s">
        <v>60</v>
      </c>
      <c r="F60" s="6">
        <v>30</v>
      </c>
      <c r="G60" s="6">
        <v>39962</v>
      </c>
      <c r="H60" s="6">
        <v>31.1</v>
      </c>
      <c r="I60" s="6">
        <v>24.3</v>
      </c>
      <c r="J60" s="21"/>
      <c r="K60" s="25"/>
      <c r="L60" s="25"/>
      <c r="M60" s="25"/>
      <c r="N60" s="25"/>
      <c r="O60" s="21"/>
      <c r="P60" s="72"/>
      <c r="Q60" s="72"/>
      <c r="R60" s="21"/>
      <c r="S60" s="94">
        <f t="shared" si="4"/>
        <v>31.1</v>
      </c>
      <c r="T60" s="95">
        <f t="shared" si="3"/>
        <v>189</v>
      </c>
      <c r="U60" s="11">
        <f t="shared" si="10"/>
        <v>0</v>
      </c>
      <c r="V60" s="11">
        <f t="shared" si="11"/>
        <v>0</v>
      </c>
      <c r="W60" s="12">
        <f t="shared" si="12"/>
        <v>169.67116080236764</v>
      </c>
      <c r="X60" s="12">
        <f>V60/[1]Manure!$I$2</f>
        <v>0</v>
      </c>
      <c r="Y60" s="12">
        <f>W60/[1]Manure!$I$2</f>
        <v>121.00459068490514</v>
      </c>
      <c r="Z60" s="12"/>
      <c r="AA60" s="12"/>
      <c r="AB60" s="11"/>
      <c r="AC60" s="11"/>
    </row>
    <row r="61" spans="1:29" ht="15.75" thickBot="1" x14ac:dyDescent="0.3">
      <c r="A61" s="13">
        <v>45366</v>
      </c>
      <c r="B61" s="87">
        <v>0.41666666666666669</v>
      </c>
      <c r="C61" s="33"/>
      <c r="D61" s="6"/>
      <c r="E61" s="6" t="s">
        <v>60</v>
      </c>
      <c r="F61" s="6">
        <v>30</v>
      </c>
      <c r="G61" s="6">
        <v>40176</v>
      </c>
      <c r="H61" s="6">
        <v>24.7</v>
      </c>
      <c r="I61" s="6">
        <v>23.8</v>
      </c>
      <c r="J61" s="21"/>
      <c r="K61" s="25"/>
      <c r="L61" s="25"/>
      <c r="M61" s="25"/>
      <c r="N61" s="25"/>
      <c r="O61" s="21"/>
      <c r="P61" s="72"/>
      <c r="Q61" s="72"/>
      <c r="R61" s="21"/>
      <c r="S61" s="94">
        <f t="shared" si="4"/>
        <v>24.7</v>
      </c>
      <c r="T61" s="95">
        <f t="shared" si="3"/>
        <v>214</v>
      </c>
      <c r="U61" s="11">
        <f t="shared" si="10"/>
        <v>0</v>
      </c>
      <c r="V61" s="11">
        <f t="shared" si="11"/>
        <v>0</v>
      </c>
      <c r="W61" s="12">
        <f t="shared" si="12"/>
        <v>196.24454148471617</v>
      </c>
      <c r="X61" s="12">
        <f>V61/[1]Manure!$I$2</f>
        <v>0</v>
      </c>
      <c r="Y61" s="12">
        <f>W61/[1]Manure!$I$2</f>
        <v>139.95596130897457</v>
      </c>
      <c r="Z61" s="12"/>
      <c r="AA61" s="12"/>
      <c r="AB61" s="11"/>
      <c r="AC61" s="11"/>
    </row>
    <row r="62" spans="1:29" ht="15.75" thickBot="1" x14ac:dyDescent="0.3">
      <c r="A62" s="13">
        <v>45367</v>
      </c>
      <c r="B62" s="87">
        <v>0.41666666666666669</v>
      </c>
      <c r="C62" s="33"/>
      <c r="D62" s="6"/>
      <c r="E62" s="6" t="s">
        <v>60</v>
      </c>
      <c r="F62" s="6">
        <v>30</v>
      </c>
      <c r="G62" s="6">
        <v>41860</v>
      </c>
      <c r="H62" s="6">
        <v>27.8</v>
      </c>
      <c r="I62" s="6">
        <v>24.7</v>
      </c>
      <c r="J62" s="21"/>
      <c r="K62" s="25"/>
      <c r="L62" s="25"/>
      <c r="M62" s="25"/>
      <c r="N62" s="25"/>
      <c r="O62" s="21"/>
      <c r="P62" s="72"/>
      <c r="Q62" s="72"/>
      <c r="R62" s="21"/>
      <c r="S62" s="94">
        <f t="shared" si="4"/>
        <v>27.8</v>
      </c>
      <c r="T62" s="95">
        <f t="shared" si="3"/>
        <v>1684</v>
      </c>
      <c r="U62" s="11">
        <f t="shared" si="10"/>
        <v>0</v>
      </c>
      <c r="V62" s="11">
        <f t="shared" si="11"/>
        <v>0</v>
      </c>
      <c r="W62" s="12">
        <f t="shared" si="12"/>
        <v>1528.3643617021276</v>
      </c>
      <c r="X62" s="12">
        <f>V62/[1]Manure!$I$2</f>
        <v>0</v>
      </c>
      <c r="Y62" s="12">
        <f>W62/[1]Manure!$I$2</f>
        <v>1089.9854938847188</v>
      </c>
      <c r="Z62" s="12"/>
      <c r="AA62" s="12"/>
      <c r="AB62" s="11"/>
      <c r="AC62" s="11"/>
    </row>
    <row r="63" spans="1:29" ht="15.75" thickBot="1" x14ac:dyDescent="0.3">
      <c r="A63" s="13">
        <v>45369</v>
      </c>
      <c r="B63" s="87">
        <v>0.45833333333333331</v>
      </c>
      <c r="C63" s="33"/>
      <c r="D63" s="6"/>
      <c r="E63" s="6" t="s">
        <v>60</v>
      </c>
      <c r="F63" s="6">
        <v>30</v>
      </c>
      <c r="G63" s="6">
        <v>42434</v>
      </c>
      <c r="H63" s="6">
        <v>33.700000000000003</v>
      </c>
      <c r="I63" s="6">
        <v>21.4</v>
      </c>
      <c r="J63" s="21"/>
      <c r="K63" s="25"/>
      <c r="L63" s="25"/>
      <c r="M63" s="25"/>
      <c r="N63" s="25"/>
      <c r="O63" s="21"/>
      <c r="P63" s="72"/>
      <c r="Q63" s="72"/>
      <c r="R63" s="21"/>
      <c r="S63" s="94">
        <f t="shared" si="4"/>
        <v>33.700000000000003</v>
      </c>
      <c r="T63" s="95">
        <f t="shared" si="3"/>
        <v>574</v>
      </c>
      <c r="U63" s="11">
        <f t="shared" si="10"/>
        <v>0</v>
      </c>
      <c r="V63" s="11">
        <f t="shared" si="11"/>
        <v>0</v>
      </c>
      <c r="W63" s="12">
        <f t="shared" si="12"/>
        <v>510.92924682099778</v>
      </c>
      <c r="X63" s="12">
        <f>V63/[1]Manure!$I$2</f>
        <v>0</v>
      </c>
      <c r="Y63" s="12">
        <f>W63/[1]Manure!$I$2</f>
        <v>364.38004012087237</v>
      </c>
      <c r="Z63" s="12"/>
      <c r="AA63" s="12"/>
      <c r="AB63" s="11"/>
      <c r="AC63" s="11"/>
    </row>
    <row r="64" spans="1:29" ht="15.75" thickBot="1" x14ac:dyDescent="0.3">
      <c r="A64" s="13">
        <v>45370</v>
      </c>
      <c r="B64" s="87">
        <v>0.41666666666666669</v>
      </c>
      <c r="C64" s="33"/>
      <c r="D64" s="6"/>
      <c r="E64" s="6" t="s">
        <v>60</v>
      </c>
      <c r="F64" s="6">
        <v>30</v>
      </c>
      <c r="G64" s="6">
        <v>42535</v>
      </c>
      <c r="H64" s="6">
        <v>28.8</v>
      </c>
      <c r="I64" s="6">
        <v>24.8</v>
      </c>
      <c r="J64" s="21"/>
      <c r="K64" s="25"/>
      <c r="L64" s="25"/>
      <c r="M64" s="25"/>
      <c r="N64" s="25"/>
      <c r="O64" s="21"/>
      <c r="P64" s="72"/>
      <c r="Q64" s="72"/>
      <c r="R64" s="21"/>
      <c r="S64" s="94">
        <f t="shared" si="4"/>
        <v>28.8</v>
      </c>
      <c r="T64" s="95">
        <f t="shared" si="3"/>
        <v>101</v>
      </c>
      <c r="U64" s="11">
        <f t="shared" si="10"/>
        <v>0</v>
      </c>
      <c r="V64" s="11">
        <f t="shared" si="11"/>
        <v>0</v>
      </c>
      <c r="W64" s="12">
        <f t="shared" si="12"/>
        <v>91.361829025844926</v>
      </c>
      <c r="X64" s="12">
        <f>V64/[1]Manure!$I$2</f>
        <v>0</v>
      </c>
      <c r="Y64" s="12">
        <f>W64/[1]Manure!$I$2</f>
        <v>65.156628110617504</v>
      </c>
      <c r="Z64" s="12"/>
      <c r="AA64" s="12"/>
      <c r="AB64" s="11"/>
      <c r="AC64" s="11"/>
    </row>
    <row r="65" spans="1:29" ht="15.75" thickBot="1" x14ac:dyDescent="0.3">
      <c r="A65" s="13">
        <v>45371</v>
      </c>
      <c r="B65" s="87">
        <v>0.41666666666666669</v>
      </c>
      <c r="C65" s="33"/>
      <c r="D65" s="6"/>
      <c r="E65" s="6" t="s">
        <v>60</v>
      </c>
      <c r="F65" s="6">
        <v>30</v>
      </c>
      <c r="G65" s="6">
        <v>42536</v>
      </c>
      <c r="H65" s="6">
        <v>28.4</v>
      </c>
      <c r="I65" s="6">
        <v>22.8</v>
      </c>
      <c r="J65" s="21"/>
      <c r="K65" s="25"/>
      <c r="L65" s="25"/>
      <c r="M65" s="25"/>
      <c r="N65" s="25"/>
      <c r="O65" s="21"/>
      <c r="P65" s="72"/>
      <c r="Q65" s="72"/>
      <c r="R65" s="21"/>
      <c r="S65" s="94">
        <f t="shared" si="4"/>
        <v>28.4</v>
      </c>
      <c r="T65" s="95">
        <f t="shared" si="3"/>
        <v>1</v>
      </c>
      <c r="U65" s="11">
        <f t="shared" si="10"/>
        <v>0</v>
      </c>
      <c r="V65" s="11">
        <f t="shared" si="11"/>
        <v>0</v>
      </c>
      <c r="W65" s="12">
        <f t="shared" si="12"/>
        <v>0.90577305905773065</v>
      </c>
      <c r="X65" s="12">
        <f>V65/[1]Manure!$I$2</f>
        <v>0</v>
      </c>
      <c r="Y65" s="12">
        <f>W65/[1]Manure!$I$2</f>
        <v>0.64597128791002933</v>
      </c>
      <c r="Z65" s="12"/>
      <c r="AA65" s="12"/>
      <c r="AB65" s="11" t="s">
        <v>80</v>
      </c>
      <c r="AC65" s="11"/>
    </row>
    <row r="66" spans="1:29" ht="15.75" thickBot="1" x14ac:dyDescent="0.3">
      <c r="A66" s="13">
        <v>45386</v>
      </c>
      <c r="B66" s="87">
        <v>0.41666666666666669</v>
      </c>
      <c r="C66" s="33"/>
      <c r="D66" s="6"/>
      <c r="E66" s="6" t="s">
        <v>60</v>
      </c>
      <c r="F66" s="6">
        <v>30</v>
      </c>
      <c r="G66" s="6">
        <v>43387</v>
      </c>
      <c r="H66" s="6">
        <v>21.4</v>
      </c>
      <c r="I66" s="6">
        <v>23</v>
      </c>
      <c r="J66" s="21"/>
      <c r="K66" s="25"/>
      <c r="L66" s="25"/>
      <c r="M66" s="25"/>
      <c r="N66" s="25"/>
      <c r="O66" s="21"/>
      <c r="P66" s="72"/>
      <c r="Q66" s="72"/>
      <c r="R66" s="21"/>
      <c r="S66" s="94">
        <f t="shared" si="4"/>
        <v>21.4</v>
      </c>
      <c r="T66" s="95">
        <f t="shared" si="3"/>
        <v>851</v>
      </c>
      <c r="U66" s="11">
        <f t="shared" ref="U66" si="13">T66*(P66/100)</f>
        <v>0</v>
      </c>
      <c r="V66" s="11">
        <f t="shared" ref="V66" si="14">U66*(273/(273+S66))</f>
        <v>0</v>
      </c>
      <c r="W66" s="12">
        <f t="shared" si="12"/>
        <v>789.140625</v>
      </c>
      <c r="X66" s="12">
        <f>V66/[1]Manure!$I$2</f>
        <v>0</v>
      </c>
      <c r="Y66" s="12">
        <f>W66/[1]Manure!$I$2</f>
        <v>562.79239129023938</v>
      </c>
      <c r="Z66" s="12"/>
      <c r="AA66" s="12"/>
      <c r="AB66" s="11"/>
      <c r="AC66" s="11"/>
    </row>
    <row r="67" spans="1:29" ht="15.75" thickBot="1" x14ac:dyDescent="0.3">
      <c r="A67" s="13">
        <v>45387</v>
      </c>
      <c r="B67" s="87">
        <v>0.41666666666666669</v>
      </c>
      <c r="C67" s="33"/>
      <c r="D67" s="6"/>
      <c r="E67" s="6" t="s">
        <v>60</v>
      </c>
      <c r="F67" s="6">
        <v>30</v>
      </c>
      <c r="G67" s="6">
        <v>43439</v>
      </c>
      <c r="H67" s="6">
        <v>20.8</v>
      </c>
      <c r="I67" s="6">
        <v>23.1</v>
      </c>
      <c r="J67" s="21"/>
      <c r="K67" s="25"/>
      <c r="L67" s="25"/>
      <c r="M67" s="25"/>
      <c r="N67" s="25"/>
      <c r="O67" s="21"/>
      <c r="P67" s="72"/>
      <c r="Q67" s="72"/>
      <c r="R67" s="21"/>
      <c r="S67" s="94">
        <f t="shared" si="4"/>
        <v>20.8</v>
      </c>
      <c r="T67" s="95">
        <f t="shared" si="3"/>
        <v>52</v>
      </c>
      <c r="U67" s="11">
        <f t="shared" ref="U67:U132" si="15">T67*(P67/100)</f>
        <v>0</v>
      </c>
      <c r="V67" s="11">
        <f t="shared" ref="V67:V132" si="16">U67*(273/(273+S67))</f>
        <v>0</v>
      </c>
      <c r="W67" s="12">
        <f t="shared" ref="W67:W132" si="17">T67*(273/(273+S67))</f>
        <v>48.318584070796462</v>
      </c>
      <c r="X67" s="12">
        <f>V67/[1]Manure!$I$2</f>
        <v>0</v>
      </c>
      <c r="Y67" s="12">
        <f>W67/[1]Manure!$I$2</f>
        <v>34.459424101961559</v>
      </c>
      <c r="Z67" s="12"/>
      <c r="AA67" s="12"/>
      <c r="AB67" s="11"/>
      <c r="AC67" s="11"/>
    </row>
    <row r="68" spans="1:29" ht="15.75" thickBot="1" x14ac:dyDescent="0.3">
      <c r="A68" s="13">
        <v>45388</v>
      </c>
      <c r="B68" s="87">
        <v>0.41666666666666669</v>
      </c>
      <c r="C68" s="33"/>
      <c r="D68" s="6"/>
      <c r="E68" s="6" t="s">
        <v>60</v>
      </c>
      <c r="F68" s="6">
        <v>30</v>
      </c>
      <c r="G68" s="6">
        <v>43661</v>
      </c>
      <c r="H68" s="6">
        <v>20.8</v>
      </c>
      <c r="I68" s="6">
        <v>22.8</v>
      </c>
      <c r="J68" s="21"/>
      <c r="K68" s="25"/>
      <c r="L68" s="25"/>
      <c r="M68" s="25"/>
      <c r="N68" s="25"/>
      <c r="O68" s="21"/>
      <c r="P68" s="72"/>
      <c r="Q68" s="72"/>
      <c r="R68" s="21"/>
      <c r="S68" s="94">
        <f t="shared" ref="S68:S131" si="18">H68</f>
        <v>20.8</v>
      </c>
      <c r="T68" s="95">
        <f t="shared" ref="T68:T131" si="19">G68-G67</f>
        <v>222</v>
      </c>
      <c r="U68" s="11">
        <f t="shared" si="15"/>
        <v>0</v>
      </c>
      <c r="V68" s="11">
        <f t="shared" si="16"/>
        <v>0</v>
      </c>
      <c r="W68" s="12">
        <f t="shared" si="17"/>
        <v>206.28318584070797</v>
      </c>
      <c r="X68" s="12">
        <f>V68/[1]Manure!$I$2</f>
        <v>0</v>
      </c>
      <c r="Y68" s="12">
        <f>W68/[1]Manure!$I$2</f>
        <v>147.11523366606667</v>
      </c>
      <c r="Z68" s="12"/>
      <c r="AA68" s="12"/>
      <c r="AB68" s="11"/>
      <c r="AC68" s="11"/>
    </row>
    <row r="69" spans="1:29" ht="15.75" thickBot="1" x14ac:dyDescent="0.3">
      <c r="A69" s="13">
        <v>45390</v>
      </c>
      <c r="B69" s="87">
        <v>0.41666666666666669</v>
      </c>
      <c r="C69" s="33"/>
      <c r="D69" s="6"/>
      <c r="E69" s="6" t="s">
        <v>60</v>
      </c>
      <c r="F69" s="6">
        <v>30</v>
      </c>
      <c r="G69" s="6">
        <v>44225</v>
      </c>
      <c r="H69" s="6">
        <v>23.3</v>
      </c>
      <c r="I69" s="6">
        <v>23</v>
      </c>
      <c r="J69" s="21"/>
      <c r="K69" s="25"/>
      <c r="L69" s="25"/>
      <c r="M69" s="25"/>
      <c r="N69" s="25"/>
      <c r="O69" s="21"/>
      <c r="P69" s="72"/>
      <c r="Q69" s="72"/>
      <c r="R69" s="21"/>
      <c r="S69" s="94">
        <f t="shared" si="18"/>
        <v>23.3</v>
      </c>
      <c r="T69" s="95">
        <f t="shared" si="19"/>
        <v>564</v>
      </c>
      <c r="U69" s="11">
        <f t="shared" si="15"/>
        <v>0</v>
      </c>
      <c r="V69" s="11">
        <f t="shared" si="16"/>
        <v>0</v>
      </c>
      <c r="W69" s="12">
        <f t="shared" si="17"/>
        <v>519.64900438744507</v>
      </c>
      <c r="X69" s="12">
        <f>V69/[1]Manure!$I$2</f>
        <v>0</v>
      </c>
      <c r="Y69" s="12">
        <f>W69/[1]Manure!$I$2</f>
        <v>370.59872036216905</v>
      </c>
      <c r="Z69" s="12"/>
      <c r="AA69" s="12"/>
      <c r="AB69" s="11"/>
      <c r="AC69" s="11"/>
    </row>
    <row r="70" spans="1:29" ht="15.75" thickBot="1" x14ac:dyDescent="0.3">
      <c r="A70" s="13">
        <v>45391</v>
      </c>
      <c r="B70" s="87">
        <v>0.41666666666666669</v>
      </c>
      <c r="C70" s="33"/>
      <c r="D70" s="6"/>
      <c r="E70" s="6" t="s">
        <v>60</v>
      </c>
      <c r="F70" s="6">
        <v>30</v>
      </c>
      <c r="G70" s="6">
        <v>44306</v>
      </c>
      <c r="H70" s="6">
        <v>20.5</v>
      </c>
      <c r="I70" s="6">
        <v>22.3</v>
      </c>
      <c r="J70" s="21"/>
      <c r="K70" s="25"/>
      <c r="L70" s="25"/>
      <c r="M70" s="25"/>
      <c r="N70" s="25"/>
      <c r="O70" s="21"/>
      <c r="P70" s="72"/>
      <c r="Q70" s="72"/>
      <c r="R70" s="21"/>
      <c r="S70" s="94">
        <f t="shared" si="18"/>
        <v>20.5</v>
      </c>
      <c r="T70" s="95">
        <f t="shared" si="19"/>
        <v>81</v>
      </c>
      <c r="U70" s="11">
        <f t="shared" si="15"/>
        <v>0</v>
      </c>
      <c r="V70" s="11">
        <f t="shared" si="16"/>
        <v>0</v>
      </c>
      <c r="W70" s="12">
        <f t="shared" si="17"/>
        <v>75.34241908006814</v>
      </c>
      <c r="X70" s="12">
        <f>V70/[1]Manure!$I$2</f>
        <v>0</v>
      </c>
      <c r="Y70" s="12">
        <f>W70/[1]Manure!$I$2</f>
        <v>53.732045793058631</v>
      </c>
      <c r="Z70" s="12"/>
      <c r="AA70" s="12"/>
      <c r="AB70" s="11"/>
      <c r="AC70" s="11"/>
    </row>
    <row r="71" spans="1:29" ht="15.75" thickBot="1" x14ac:dyDescent="0.3">
      <c r="A71" s="13">
        <v>45392</v>
      </c>
      <c r="B71" s="87">
        <v>0.41666666666666669</v>
      </c>
      <c r="C71" s="33"/>
      <c r="D71" s="6"/>
      <c r="E71" s="6" t="s">
        <v>60</v>
      </c>
      <c r="F71" s="6">
        <v>30</v>
      </c>
      <c r="G71" s="6">
        <v>44313</v>
      </c>
      <c r="H71" s="6">
        <v>26.4</v>
      </c>
      <c r="I71" s="6">
        <v>22.9</v>
      </c>
      <c r="J71" s="21"/>
      <c r="K71" s="25"/>
      <c r="L71" s="25"/>
      <c r="M71" s="25"/>
      <c r="N71" s="25"/>
      <c r="O71" s="21"/>
      <c r="P71" s="72"/>
      <c r="Q71" s="72"/>
      <c r="R71" s="21"/>
      <c r="S71" s="94">
        <f t="shared" si="18"/>
        <v>26.4</v>
      </c>
      <c r="T71" s="95">
        <f t="shared" si="19"/>
        <v>7</v>
      </c>
      <c r="U71" s="11">
        <f t="shared" si="15"/>
        <v>0</v>
      </c>
      <c r="V71" s="11">
        <f t="shared" si="16"/>
        <v>0</v>
      </c>
      <c r="W71" s="12">
        <f t="shared" si="17"/>
        <v>6.3827655310621241</v>
      </c>
      <c r="X71" s="12">
        <f>V71/[1]Manure!$I$2</f>
        <v>0</v>
      </c>
      <c r="Y71" s="12">
        <f>W71/[1]Manure!$I$2</f>
        <v>4.5520047536158303</v>
      </c>
      <c r="Z71" s="12"/>
      <c r="AA71" s="12"/>
      <c r="AB71" s="11"/>
      <c r="AC71" s="11"/>
    </row>
    <row r="72" spans="1:29" ht="15.75" thickBot="1" x14ac:dyDescent="0.3">
      <c r="A72" s="13">
        <v>45393</v>
      </c>
      <c r="B72" s="87">
        <v>0.41666666666666669</v>
      </c>
      <c r="C72" s="33"/>
      <c r="D72" s="6"/>
      <c r="E72" s="6" t="s">
        <v>60</v>
      </c>
      <c r="F72" s="6">
        <v>30</v>
      </c>
      <c r="G72" s="6">
        <v>44454</v>
      </c>
      <c r="H72" s="6">
        <v>24.8</v>
      </c>
      <c r="I72" s="6">
        <v>21.9</v>
      </c>
      <c r="J72" s="21"/>
      <c r="K72" s="25"/>
      <c r="L72" s="25"/>
      <c r="M72" s="25"/>
      <c r="N72" s="25"/>
      <c r="O72" s="21"/>
      <c r="P72" s="72"/>
      <c r="Q72" s="72"/>
      <c r="R72" s="21"/>
      <c r="S72" s="94">
        <f t="shared" si="18"/>
        <v>24.8</v>
      </c>
      <c r="T72" s="95">
        <f t="shared" si="19"/>
        <v>141</v>
      </c>
      <c r="U72" s="11">
        <f t="shared" si="15"/>
        <v>0</v>
      </c>
      <c r="V72" s="11">
        <f t="shared" si="16"/>
        <v>0</v>
      </c>
      <c r="W72" s="12">
        <f t="shared" si="17"/>
        <v>129.2578912021491</v>
      </c>
      <c r="X72" s="12">
        <f>V72/[1]Manure!$I$2</f>
        <v>0</v>
      </c>
      <c r="Y72" s="12">
        <f>W72/[1]Manure!$I$2</f>
        <v>92.183009438642301</v>
      </c>
      <c r="Z72" s="12"/>
      <c r="AA72" s="12"/>
      <c r="AB72" s="11"/>
      <c r="AC72" s="11"/>
    </row>
    <row r="73" spans="1:29" ht="15.75" thickBot="1" x14ac:dyDescent="0.3">
      <c r="A73" s="13">
        <v>45394</v>
      </c>
      <c r="B73" s="87">
        <v>0.41666666666666669</v>
      </c>
      <c r="C73" s="33"/>
      <c r="D73" s="6"/>
      <c r="E73" s="6" t="s">
        <v>60</v>
      </c>
      <c r="F73" s="6">
        <v>30</v>
      </c>
      <c r="G73" s="6">
        <v>44945</v>
      </c>
      <c r="H73" s="6">
        <v>25.6</v>
      </c>
      <c r="I73" s="6">
        <v>22.7</v>
      </c>
      <c r="J73" s="21"/>
      <c r="K73" s="25"/>
      <c r="L73" s="25"/>
      <c r="M73" s="25"/>
      <c r="N73" s="25"/>
      <c r="O73" s="21"/>
      <c r="P73" s="72"/>
      <c r="Q73" s="72"/>
      <c r="R73" s="21"/>
      <c r="S73" s="94">
        <f t="shared" si="18"/>
        <v>25.6</v>
      </c>
      <c r="T73" s="95">
        <f t="shared" si="19"/>
        <v>491</v>
      </c>
      <c r="U73" s="11">
        <f t="shared" si="15"/>
        <v>0</v>
      </c>
      <c r="V73" s="11">
        <f t="shared" si="16"/>
        <v>0</v>
      </c>
      <c r="W73" s="12">
        <f t="shared" si="17"/>
        <v>448.90488948425985</v>
      </c>
      <c r="X73" s="12">
        <f>V73/[1]Manure!$I$2</f>
        <v>0</v>
      </c>
      <c r="Y73" s="12">
        <f>W73/[1]Manure!$I$2</f>
        <v>320.14605282135517</v>
      </c>
      <c r="Z73" s="12"/>
      <c r="AA73" s="12"/>
      <c r="AB73" s="11"/>
      <c r="AC73" s="11"/>
    </row>
    <row r="74" spans="1:29" ht="15.75" thickBot="1" x14ac:dyDescent="0.3">
      <c r="A74" s="13">
        <v>45395</v>
      </c>
      <c r="B74" s="87">
        <v>0.41666666666666669</v>
      </c>
      <c r="C74" s="33"/>
      <c r="D74" s="6"/>
      <c r="E74" s="6" t="s">
        <v>60</v>
      </c>
      <c r="F74" s="6">
        <v>30</v>
      </c>
      <c r="G74" s="6">
        <v>45378</v>
      </c>
      <c r="H74" s="6">
        <v>20.5</v>
      </c>
      <c r="I74" s="6">
        <v>22.4</v>
      </c>
      <c r="J74" s="21"/>
      <c r="K74" s="25"/>
      <c r="L74" s="25"/>
      <c r="M74" s="25"/>
      <c r="N74" s="25"/>
      <c r="O74" s="21"/>
      <c r="P74" s="72"/>
      <c r="Q74" s="72"/>
      <c r="R74" s="21"/>
      <c r="S74" s="94">
        <f t="shared" si="18"/>
        <v>20.5</v>
      </c>
      <c r="T74" s="95">
        <f t="shared" si="19"/>
        <v>433</v>
      </c>
      <c r="U74" s="11">
        <f t="shared" si="15"/>
        <v>0</v>
      </c>
      <c r="V74" s="11">
        <f t="shared" si="16"/>
        <v>0</v>
      </c>
      <c r="W74" s="12">
        <f t="shared" si="17"/>
        <v>402.75638841567292</v>
      </c>
      <c r="X74" s="12">
        <f>V74/[1]Manure!$I$2</f>
        <v>0</v>
      </c>
      <c r="Y74" s="12">
        <f>W74/[1]Manure!$I$2</f>
        <v>287.23426948635046</v>
      </c>
      <c r="Z74" s="12"/>
      <c r="AA74" s="12"/>
      <c r="AB74" s="11"/>
      <c r="AC74" s="11"/>
    </row>
    <row r="75" spans="1:29" ht="15.75" thickBot="1" x14ac:dyDescent="0.3">
      <c r="A75" s="13">
        <v>45397</v>
      </c>
      <c r="B75" s="87">
        <v>0.41666666666666669</v>
      </c>
      <c r="C75" s="33"/>
      <c r="D75" s="6"/>
      <c r="E75" s="6" t="s">
        <v>60</v>
      </c>
      <c r="F75" s="6">
        <v>30</v>
      </c>
      <c r="G75" s="6">
        <v>45600</v>
      </c>
      <c r="H75" s="6">
        <v>29.7</v>
      </c>
      <c r="I75" s="6">
        <v>24.1</v>
      </c>
      <c r="J75" s="21"/>
      <c r="K75" s="25"/>
      <c r="L75" s="25"/>
      <c r="M75" s="25"/>
      <c r="N75" s="25"/>
      <c r="O75" s="21"/>
      <c r="P75" s="72"/>
      <c r="Q75" s="72"/>
      <c r="R75" s="21"/>
      <c r="S75" s="94">
        <f t="shared" si="18"/>
        <v>29.7</v>
      </c>
      <c r="T75" s="95">
        <f t="shared" si="19"/>
        <v>222</v>
      </c>
      <c r="U75" s="11">
        <f t="shared" si="15"/>
        <v>0</v>
      </c>
      <c r="V75" s="11">
        <f t="shared" si="16"/>
        <v>0</v>
      </c>
      <c r="W75" s="12">
        <f t="shared" si="17"/>
        <v>200.21803766105054</v>
      </c>
      <c r="X75" s="12">
        <f>V75/[1]Manure!$I$2</f>
        <v>0</v>
      </c>
      <c r="Y75" s="12">
        <f>W75/[1]Manure!$I$2</f>
        <v>142.78974447007064</v>
      </c>
      <c r="Z75" s="12"/>
      <c r="AA75" s="12"/>
      <c r="AB75" s="11"/>
      <c r="AC75" s="11"/>
    </row>
    <row r="76" spans="1:29" ht="15.75" thickBot="1" x14ac:dyDescent="0.3">
      <c r="A76" s="13">
        <v>45398</v>
      </c>
      <c r="B76" s="87">
        <v>0.41666666666666669</v>
      </c>
      <c r="C76" s="33"/>
      <c r="D76" s="6"/>
      <c r="E76" s="6" t="s">
        <v>60</v>
      </c>
      <c r="F76" s="6">
        <v>30</v>
      </c>
      <c r="G76" s="6">
        <v>46864</v>
      </c>
      <c r="H76" s="6">
        <v>28.8</v>
      </c>
      <c r="I76" s="6">
        <v>24.3</v>
      </c>
      <c r="J76" s="21"/>
      <c r="K76" s="25"/>
      <c r="L76" s="25"/>
      <c r="M76" s="25"/>
      <c r="N76" s="25"/>
      <c r="O76" s="21"/>
      <c r="P76" s="72"/>
      <c r="Q76" s="72"/>
      <c r="R76" s="21"/>
      <c r="S76" s="94">
        <f t="shared" si="18"/>
        <v>28.8</v>
      </c>
      <c r="T76" s="95">
        <f t="shared" si="19"/>
        <v>1264</v>
      </c>
      <c r="U76" s="11">
        <f t="shared" ref="U76" si="20">T76*(P76/100)</f>
        <v>0</v>
      </c>
      <c r="V76" s="11">
        <f t="shared" ref="V76" si="21">U76*(273/(273+S76))</f>
        <v>0</v>
      </c>
      <c r="W76" s="12">
        <f t="shared" ref="W76" si="22">T76*(273/(273+S76))</f>
        <v>1143.3797216699802</v>
      </c>
      <c r="X76" s="12">
        <f>V76/[1]Manure!$I$2</f>
        <v>0</v>
      </c>
      <c r="Y76" s="12">
        <f>W76/[1]Manure!$I$2</f>
        <v>815.42552407743108</v>
      </c>
      <c r="Z76" s="12"/>
      <c r="AA76" s="12"/>
      <c r="AB76" s="11" t="s">
        <v>80</v>
      </c>
      <c r="AC76" s="11"/>
    </row>
    <row r="77" spans="1:29" ht="15.75" thickBot="1" x14ac:dyDescent="0.3">
      <c r="A77" s="13">
        <v>45400</v>
      </c>
      <c r="B77" s="87">
        <v>0.41666666666666669</v>
      </c>
      <c r="C77" s="33"/>
      <c r="D77" s="6"/>
      <c r="E77" s="6" t="s">
        <v>60</v>
      </c>
      <c r="F77" s="6">
        <v>30</v>
      </c>
      <c r="G77" s="6">
        <v>46998</v>
      </c>
      <c r="H77" s="6">
        <v>28.8</v>
      </c>
      <c r="I77" s="6">
        <v>24.3</v>
      </c>
      <c r="J77" s="21"/>
      <c r="K77" s="25"/>
      <c r="L77" s="25"/>
      <c r="M77" s="25"/>
      <c r="N77" s="25"/>
      <c r="O77" s="21"/>
      <c r="P77" s="72"/>
      <c r="Q77" s="72"/>
      <c r="R77" s="21"/>
      <c r="S77" s="94">
        <f t="shared" si="18"/>
        <v>28.8</v>
      </c>
      <c r="T77" s="95">
        <f t="shared" si="19"/>
        <v>134</v>
      </c>
      <c r="U77" s="11">
        <f t="shared" si="15"/>
        <v>0</v>
      </c>
      <c r="V77" s="11">
        <f t="shared" si="16"/>
        <v>0</v>
      </c>
      <c r="W77" s="12">
        <f t="shared" si="17"/>
        <v>121.21272365805169</v>
      </c>
      <c r="X77" s="12">
        <f>V77/[1]Manure!$I$2</f>
        <v>0</v>
      </c>
      <c r="Y77" s="12">
        <f>W77/[1]Manure!$I$2</f>
        <v>86.445427394284621</v>
      </c>
      <c r="Z77" s="12"/>
      <c r="AA77" s="12"/>
      <c r="AB77" s="11"/>
      <c r="AC77" s="11"/>
    </row>
    <row r="78" spans="1:29" ht="15.75" thickBot="1" x14ac:dyDescent="0.3">
      <c r="A78" s="13">
        <v>45401</v>
      </c>
      <c r="B78" s="87">
        <v>0.41666666666666669</v>
      </c>
      <c r="C78" s="33"/>
      <c r="D78" s="6"/>
      <c r="E78" s="6" t="s">
        <v>60</v>
      </c>
      <c r="F78" s="6">
        <v>30</v>
      </c>
      <c r="G78" s="6">
        <v>46545</v>
      </c>
      <c r="H78" s="6">
        <v>25.5</v>
      </c>
      <c r="I78" s="6">
        <v>22.5</v>
      </c>
      <c r="J78" s="21"/>
      <c r="K78" s="25"/>
      <c r="L78" s="25"/>
      <c r="M78" s="25"/>
      <c r="N78" s="25"/>
      <c r="O78" s="21"/>
      <c r="P78" s="72"/>
      <c r="Q78" s="72"/>
      <c r="R78" s="21"/>
      <c r="S78" s="94">
        <f t="shared" si="18"/>
        <v>25.5</v>
      </c>
      <c r="T78" s="95">
        <f t="shared" si="19"/>
        <v>-453</v>
      </c>
      <c r="U78" s="11">
        <f t="shared" si="15"/>
        <v>0</v>
      </c>
      <c r="V78" s="11">
        <f t="shared" si="16"/>
        <v>0</v>
      </c>
      <c r="W78" s="12">
        <f t="shared" si="17"/>
        <v>-414.30150753768845</v>
      </c>
      <c r="X78" s="12">
        <f>V78/[1]Manure!$I$2</f>
        <v>0</v>
      </c>
      <c r="Y78" s="12">
        <f>W78/[1]Manure!$I$2</f>
        <v>-295.46791630742217</v>
      </c>
      <c r="Z78" s="12"/>
      <c r="AA78" s="12"/>
      <c r="AB78" s="11"/>
      <c r="AC78" s="11"/>
    </row>
    <row r="79" spans="1:29" ht="15.75" thickBot="1" x14ac:dyDescent="0.3">
      <c r="A79" s="13">
        <v>45402</v>
      </c>
      <c r="B79" s="87">
        <v>0.41666666666666669</v>
      </c>
      <c r="C79" s="33"/>
      <c r="D79" s="6"/>
      <c r="E79" s="6" t="s">
        <v>60</v>
      </c>
      <c r="F79" s="6">
        <v>30</v>
      </c>
      <c r="G79" s="6">
        <v>46661</v>
      </c>
      <c r="H79" s="6">
        <v>23.4</v>
      </c>
      <c r="I79" s="6">
        <v>22.2</v>
      </c>
      <c r="J79" s="21"/>
      <c r="K79" s="25"/>
      <c r="L79" s="25"/>
      <c r="M79" s="25"/>
      <c r="N79" s="25"/>
      <c r="O79" s="21"/>
      <c r="P79" s="72"/>
      <c r="Q79" s="72"/>
      <c r="R79" s="21"/>
      <c r="S79" s="94">
        <f t="shared" si="18"/>
        <v>23.4</v>
      </c>
      <c r="T79" s="95">
        <f t="shared" si="19"/>
        <v>116</v>
      </c>
      <c r="U79" s="11">
        <f t="shared" si="15"/>
        <v>0</v>
      </c>
      <c r="V79" s="11">
        <f t="shared" si="16"/>
        <v>0</v>
      </c>
      <c r="W79" s="12">
        <f t="shared" si="17"/>
        <v>106.8421052631579</v>
      </c>
      <c r="X79" s="12">
        <f>V79/[1]Manure!$I$2</f>
        <v>0</v>
      </c>
      <c r="Y79" s="12">
        <f>W79/[1]Manure!$I$2</f>
        <v>76.19671577741434</v>
      </c>
      <c r="Z79" s="12"/>
      <c r="AA79" s="12"/>
      <c r="AB79" s="11" t="s">
        <v>79</v>
      </c>
      <c r="AC79" s="11"/>
    </row>
    <row r="80" spans="1:29" ht="15.75" thickBot="1" x14ac:dyDescent="0.3">
      <c r="A80" s="13">
        <v>45404</v>
      </c>
      <c r="B80" s="87">
        <v>0.41666666666666669</v>
      </c>
      <c r="C80" s="33"/>
      <c r="D80" s="6"/>
      <c r="E80" s="6" t="s">
        <v>60</v>
      </c>
      <c r="F80" s="6">
        <v>30</v>
      </c>
      <c r="G80" s="6">
        <v>47596</v>
      </c>
      <c r="H80" s="6">
        <v>21.6</v>
      </c>
      <c r="I80" s="6">
        <v>22.2</v>
      </c>
      <c r="J80" s="21"/>
      <c r="K80" s="25"/>
      <c r="L80" s="25"/>
      <c r="M80" s="25"/>
      <c r="N80" s="25"/>
      <c r="O80" s="21"/>
      <c r="P80" s="72"/>
      <c r="Q80" s="72"/>
      <c r="R80" s="21"/>
      <c r="S80" s="94">
        <f t="shared" si="18"/>
        <v>21.6</v>
      </c>
      <c r="T80" s="95">
        <f t="shared" si="19"/>
        <v>935</v>
      </c>
      <c r="U80" s="11">
        <f t="shared" si="15"/>
        <v>0</v>
      </c>
      <c r="V80" s="11">
        <f t="shared" si="16"/>
        <v>0</v>
      </c>
      <c r="W80" s="12">
        <f t="shared" si="17"/>
        <v>866.44602851323828</v>
      </c>
      <c r="X80" s="12">
        <f>V80/[1]Manure!$I$2</f>
        <v>0</v>
      </c>
      <c r="Y80" s="12">
        <f>W80/[1]Manure!$I$2</f>
        <v>617.92438110874889</v>
      </c>
      <c r="Z80" s="12"/>
      <c r="AA80" s="12"/>
      <c r="AB80" s="11"/>
      <c r="AC80" s="11"/>
    </row>
    <row r="81" spans="1:29" ht="15.75" thickBot="1" x14ac:dyDescent="0.3">
      <c r="A81" s="13">
        <v>45405</v>
      </c>
      <c r="B81" s="87">
        <v>0.41666666666666669</v>
      </c>
      <c r="C81" s="33"/>
      <c r="D81" s="6"/>
      <c r="E81" s="6" t="s">
        <v>60</v>
      </c>
      <c r="F81" s="6">
        <v>30</v>
      </c>
      <c r="G81" s="6">
        <v>48354</v>
      </c>
      <c r="H81" s="6">
        <v>27.8</v>
      </c>
      <c r="I81" s="6">
        <v>23.3</v>
      </c>
      <c r="J81" s="21"/>
      <c r="K81" s="25"/>
      <c r="L81" s="25"/>
      <c r="M81" s="25"/>
      <c r="N81" s="25"/>
      <c r="O81" s="21"/>
      <c r="P81" s="72"/>
      <c r="Q81" s="72"/>
      <c r="R81" s="21"/>
      <c r="S81" s="94">
        <f t="shared" si="18"/>
        <v>27.8</v>
      </c>
      <c r="T81" s="95">
        <f t="shared" si="19"/>
        <v>758</v>
      </c>
      <c r="U81" s="11">
        <f t="shared" si="15"/>
        <v>0</v>
      </c>
      <c r="V81" s="11">
        <f t="shared" si="16"/>
        <v>0</v>
      </c>
      <c r="W81" s="12">
        <f t="shared" si="17"/>
        <v>687.94547872340422</v>
      </c>
      <c r="X81" s="12">
        <f>V81/[1]Manure!$I$2</f>
        <v>0</v>
      </c>
      <c r="Y81" s="12">
        <f>W81/[1]Manure!$I$2</f>
        <v>490.62292420701721</v>
      </c>
      <c r="Z81" s="12"/>
      <c r="AA81" s="12"/>
      <c r="AB81" s="11"/>
      <c r="AC81" s="11"/>
    </row>
    <row r="82" spans="1:29" ht="15.75" thickBot="1" x14ac:dyDescent="0.3">
      <c r="A82" s="13">
        <v>45406</v>
      </c>
      <c r="B82" s="87">
        <v>0.41666666666666669</v>
      </c>
      <c r="C82" s="33"/>
      <c r="D82" s="6"/>
      <c r="E82" s="6" t="s">
        <v>60</v>
      </c>
      <c r="F82" s="6">
        <v>30</v>
      </c>
      <c r="G82" s="6">
        <v>48747</v>
      </c>
      <c r="H82" s="6">
        <v>22</v>
      </c>
      <c r="I82" s="6">
        <v>22.2</v>
      </c>
      <c r="J82" s="21"/>
      <c r="K82" s="25"/>
      <c r="L82" s="25"/>
      <c r="M82" s="25"/>
      <c r="N82" s="25"/>
      <c r="O82" s="21"/>
      <c r="P82" s="72"/>
      <c r="Q82" s="72"/>
      <c r="R82" s="21"/>
      <c r="S82" s="94">
        <f t="shared" si="18"/>
        <v>22</v>
      </c>
      <c r="T82" s="95">
        <f t="shared" si="19"/>
        <v>393</v>
      </c>
      <c r="U82" s="11">
        <f t="shared" si="15"/>
        <v>0</v>
      </c>
      <c r="V82" s="11">
        <f t="shared" si="16"/>
        <v>0</v>
      </c>
      <c r="W82" s="12">
        <f t="shared" si="17"/>
        <v>363.69152542372882</v>
      </c>
      <c r="X82" s="12">
        <f>V82/[1]Manure!$I$2</f>
        <v>0</v>
      </c>
      <c r="Y82" s="12">
        <f>W82/[1]Manure!$I$2</f>
        <v>259.37433304135777</v>
      </c>
      <c r="Z82" s="12"/>
      <c r="AA82" s="12"/>
      <c r="AB82" s="11"/>
      <c r="AC82" s="11"/>
    </row>
    <row r="83" spans="1:29" ht="15.75" thickBot="1" x14ac:dyDescent="0.3">
      <c r="A83" s="13">
        <v>45407</v>
      </c>
      <c r="B83" s="87">
        <v>0.41666666666666669</v>
      </c>
      <c r="C83" s="33"/>
      <c r="D83" s="6"/>
      <c r="E83" s="6" t="s">
        <v>60</v>
      </c>
      <c r="F83" s="6">
        <v>30</v>
      </c>
      <c r="G83" s="6">
        <v>49418</v>
      </c>
      <c r="H83" s="6">
        <v>22.1</v>
      </c>
      <c r="I83" s="6">
        <v>22.1</v>
      </c>
      <c r="J83" s="21"/>
      <c r="K83" s="25"/>
      <c r="L83" s="25"/>
      <c r="M83" s="25"/>
      <c r="N83" s="25"/>
      <c r="O83" s="21"/>
      <c r="P83" s="72"/>
      <c r="Q83" s="72"/>
      <c r="R83" s="21"/>
      <c r="S83" s="94">
        <f t="shared" si="18"/>
        <v>22.1</v>
      </c>
      <c r="T83" s="95">
        <f t="shared" si="19"/>
        <v>671</v>
      </c>
      <c r="U83" s="11">
        <f t="shared" si="15"/>
        <v>0</v>
      </c>
      <c r="V83" s="11">
        <f t="shared" si="16"/>
        <v>0</v>
      </c>
      <c r="W83" s="12">
        <f t="shared" si="17"/>
        <v>620.74889867841409</v>
      </c>
      <c r="X83" s="12">
        <f>V83/[1]Manure!$I$2</f>
        <v>0</v>
      </c>
      <c r="Y83" s="12">
        <f>W83/[1]Manure!$I$2</f>
        <v>442.70025646950717</v>
      </c>
      <c r="Z83" s="12"/>
      <c r="AA83" s="12"/>
      <c r="AB83" s="11"/>
      <c r="AC83" s="11"/>
    </row>
    <row r="84" spans="1:29" ht="15.75" thickBot="1" x14ac:dyDescent="0.3">
      <c r="A84" s="13">
        <v>45408</v>
      </c>
      <c r="B84" s="87">
        <v>0.41666666666666669</v>
      </c>
      <c r="C84" s="33"/>
      <c r="D84" s="6"/>
      <c r="E84" s="6" t="s">
        <v>60</v>
      </c>
      <c r="F84" s="6">
        <v>30</v>
      </c>
      <c r="G84" s="6">
        <v>49871</v>
      </c>
      <c r="H84" s="6">
        <v>24.7</v>
      </c>
      <c r="I84" s="6">
        <v>223</v>
      </c>
      <c r="J84" s="21"/>
      <c r="K84" s="25"/>
      <c r="L84" s="25"/>
      <c r="M84" s="25"/>
      <c r="N84" s="25"/>
      <c r="O84" s="21"/>
      <c r="P84" s="72"/>
      <c r="Q84" s="72"/>
      <c r="R84" s="21"/>
      <c r="S84" s="94">
        <f t="shared" si="18"/>
        <v>24.7</v>
      </c>
      <c r="T84" s="95">
        <f t="shared" si="19"/>
        <v>453</v>
      </c>
      <c r="U84" s="11">
        <f t="shared" si="15"/>
        <v>0</v>
      </c>
      <c r="V84" s="11">
        <f t="shared" si="16"/>
        <v>0</v>
      </c>
      <c r="W84" s="12">
        <f t="shared" si="17"/>
        <v>415.41484716157208</v>
      </c>
      <c r="X84" s="12">
        <f>V84/[1]Manure!$I$2</f>
        <v>0</v>
      </c>
      <c r="Y84" s="12">
        <f>W84/[1]Manure!$I$2</f>
        <v>296.2619180979695</v>
      </c>
      <c r="Z84" s="12"/>
      <c r="AA84" s="12"/>
      <c r="AB84" s="11"/>
      <c r="AC84" s="11"/>
    </row>
    <row r="85" spans="1:29" ht="15.75" thickBot="1" x14ac:dyDescent="0.3">
      <c r="A85" s="13">
        <v>45409</v>
      </c>
      <c r="B85" s="87">
        <v>0.41666666666666669</v>
      </c>
      <c r="C85" s="33"/>
      <c r="D85" s="6"/>
      <c r="E85" s="6" t="s">
        <v>60</v>
      </c>
      <c r="F85" s="6">
        <v>30</v>
      </c>
      <c r="G85" s="6">
        <v>50246</v>
      </c>
      <c r="H85" s="6">
        <v>22.4</v>
      </c>
      <c r="I85" s="6">
        <v>21.8</v>
      </c>
      <c r="J85" s="21"/>
      <c r="K85" s="25"/>
      <c r="L85" s="25"/>
      <c r="M85" s="25"/>
      <c r="N85" s="25"/>
      <c r="O85" s="21"/>
      <c r="P85" s="72"/>
      <c r="Q85" s="72"/>
      <c r="R85" s="21"/>
      <c r="S85" s="94">
        <f t="shared" si="18"/>
        <v>22.4</v>
      </c>
      <c r="T85" s="95">
        <f t="shared" si="19"/>
        <v>375</v>
      </c>
      <c r="U85" s="11">
        <f t="shared" si="15"/>
        <v>0</v>
      </c>
      <c r="V85" s="11">
        <f t="shared" si="16"/>
        <v>0</v>
      </c>
      <c r="W85" s="12">
        <f t="shared" si="17"/>
        <v>346.56398104265406</v>
      </c>
      <c r="X85" s="12">
        <f>V85/[1]Manure!$I$2</f>
        <v>0</v>
      </c>
      <c r="Y85" s="12">
        <f>W85/[1]Manure!$I$2</f>
        <v>247.15946112400496</v>
      </c>
      <c r="Z85" s="12"/>
      <c r="AA85" s="12"/>
      <c r="AB85" s="11"/>
      <c r="AC85" s="11"/>
    </row>
    <row r="86" spans="1:29" ht="15.75" thickBot="1" x14ac:dyDescent="0.3">
      <c r="A86" s="13">
        <v>45411</v>
      </c>
      <c r="B86" s="87">
        <v>0.41666666666666669</v>
      </c>
      <c r="C86" s="33"/>
      <c r="D86" s="6"/>
      <c r="E86" s="6" t="s">
        <v>60</v>
      </c>
      <c r="F86" s="6">
        <v>30</v>
      </c>
      <c r="G86" s="6">
        <v>50770</v>
      </c>
      <c r="H86" s="6">
        <v>26.3</v>
      </c>
      <c r="I86" s="6">
        <v>22.5</v>
      </c>
      <c r="J86" s="21"/>
      <c r="K86" s="25"/>
      <c r="L86" s="25"/>
      <c r="M86" s="25"/>
      <c r="N86" s="25"/>
      <c r="O86" s="21"/>
      <c r="P86" s="72"/>
      <c r="Q86" s="72"/>
      <c r="R86" s="21"/>
      <c r="S86" s="94">
        <f t="shared" si="18"/>
        <v>26.3</v>
      </c>
      <c r="T86" s="95">
        <f t="shared" si="19"/>
        <v>524</v>
      </c>
      <c r="U86" s="11">
        <f t="shared" si="15"/>
        <v>0</v>
      </c>
      <c r="V86" s="11">
        <f t="shared" si="16"/>
        <v>0</v>
      </c>
      <c r="W86" s="12">
        <f t="shared" si="17"/>
        <v>477.95522886735711</v>
      </c>
      <c r="X86" s="12">
        <f>V86/[1]Manure!$I$2</f>
        <v>0</v>
      </c>
      <c r="Y86" s="12">
        <f>W86/[1]Manure!$I$2</f>
        <v>340.86391913219973</v>
      </c>
      <c r="Z86" s="12"/>
      <c r="AA86" s="12"/>
      <c r="AB86" s="11"/>
      <c r="AC86" s="11"/>
    </row>
    <row r="87" spans="1:29" ht="15.75" thickBot="1" x14ac:dyDescent="0.3">
      <c r="A87" s="13">
        <v>45412</v>
      </c>
      <c r="B87" s="87">
        <v>0.41666666666666669</v>
      </c>
      <c r="C87" s="33"/>
      <c r="D87" s="6"/>
      <c r="E87" s="6" t="s">
        <v>60</v>
      </c>
      <c r="F87" s="6">
        <v>30</v>
      </c>
      <c r="G87" s="6">
        <v>51064</v>
      </c>
      <c r="H87" s="6">
        <v>26.5</v>
      </c>
      <c r="I87" s="6">
        <v>21.6</v>
      </c>
      <c r="J87" s="21"/>
      <c r="K87" s="25"/>
      <c r="L87" s="25"/>
      <c r="M87" s="25"/>
      <c r="N87" s="25"/>
      <c r="O87" s="21"/>
      <c r="P87" s="72"/>
      <c r="Q87" s="72"/>
      <c r="R87" s="21"/>
      <c r="S87" s="94">
        <f t="shared" si="18"/>
        <v>26.5</v>
      </c>
      <c r="T87" s="95">
        <f t="shared" si="19"/>
        <v>294</v>
      </c>
      <c r="U87" s="11">
        <f t="shared" si="15"/>
        <v>0</v>
      </c>
      <c r="V87" s="11">
        <f t="shared" si="16"/>
        <v>0</v>
      </c>
      <c r="W87" s="12">
        <f t="shared" si="17"/>
        <v>267.98664440734558</v>
      </c>
      <c r="X87" s="12">
        <f>V87/[1]Manure!$I$2</f>
        <v>0</v>
      </c>
      <c r="Y87" s="12">
        <f>W87/[1]Manure!$I$2</f>
        <v>191.12036519455208</v>
      </c>
      <c r="Z87" s="12"/>
      <c r="AA87" s="12"/>
      <c r="AB87" s="11"/>
      <c r="AC87" s="11"/>
    </row>
    <row r="88" spans="1:29" ht="15.75" thickBot="1" x14ac:dyDescent="0.3">
      <c r="A88" s="13">
        <v>45413</v>
      </c>
      <c r="B88" s="87">
        <v>0.41666666666666669</v>
      </c>
      <c r="C88" s="33"/>
      <c r="D88" s="6"/>
      <c r="E88" s="6" t="s">
        <v>60</v>
      </c>
      <c r="F88" s="6">
        <v>30</v>
      </c>
      <c r="G88" s="6">
        <v>51277</v>
      </c>
      <c r="H88" s="6">
        <v>21.3</v>
      </c>
      <c r="I88" s="6">
        <v>20.9</v>
      </c>
      <c r="J88" s="21"/>
      <c r="K88" s="25"/>
      <c r="L88" s="25"/>
      <c r="M88" s="25"/>
      <c r="N88" s="25"/>
      <c r="O88" s="21"/>
      <c r="P88" s="72"/>
      <c r="Q88" s="72"/>
      <c r="R88" s="21"/>
      <c r="S88" s="94">
        <f t="shared" si="18"/>
        <v>21.3</v>
      </c>
      <c r="T88" s="95">
        <f t="shared" si="19"/>
        <v>213</v>
      </c>
      <c r="U88" s="11">
        <f t="shared" si="15"/>
        <v>0</v>
      </c>
      <c r="V88" s="11">
        <f t="shared" si="16"/>
        <v>0</v>
      </c>
      <c r="W88" s="12">
        <f t="shared" si="17"/>
        <v>197.58409785932722</v>
      </c>
      <c r="X88" s="12">
        <f>V88/[1]Manure!$I$2</f>
        <v>0</v>
      </c>
      <c r="Y88" s="12">
        <f>W88/[1]Manure!$I$2</f>
        <v>140.9112943782047</v>
      </c>
      <c r="Z88" s="12"/>
      <c r="AA88" s="12"/>
      <c r="AB88" s="11"/>
      <c r="AC88" s="11"/>
    </row>
    <row r="89" spans="1:29" ht="15.75" thickBot="1" x14ac:dyDescent="0.3">
      <c r="A89" s="13">
        <v>45414</v>
      </c>
      <c r="B89" s="87">
        <v>0.41666666666666669</v>
      </c>
      <c r="C89" s="33"/>
      <c r="D89" s="6"/>
      <c r="E89" s="6" t="s">
        <v>60</v>
      </c>
      <c r="F89" s="6">
        <v>30</v>
      </c>
      <c r="G89" s="6">
        <v>51779</v>
      </c>
      <c r="H89" s="6">
        <v>24.5</v>
      </c>
      <c r="I89" s="6">
        <v>23.3</v>
      </c>
      <c r="J89" s="21"/>
      <c r="K89" s="25"/>
      <c r="L89" s="25"/>
      <c r="M89" s="25"/>
      <c r="N89" s="25"/>
      <c r="O89" s="21"/>
      <c r="P89" s="72"/>
      <c r="Q89" s="72"/>
      <c r="R89" s="21"/>
      <c r="S89" s="94">
        <f t="shared" si="18"/>
        <v>24.5</v>
      </c>
      <c r="T89" s="95">
        <f t="shared" si="19"/>
        <v>502</v>
      </c>
      <c r="U89" s="11">
        <f t="shared" si="15"/>
        <v>0</v>
      </c>
      <c r="V89" s="11">
        <f t="shared" si="16"/>
        <v>0</v>
      </c>
      <c r="W89" s="12">
        <f t="shared" si="17"/>
        <v>460.65882352941173</v>
      </c>
      <c r="X89" s="12">
        <f>V89/[1]Manure!$I$2</f>
        <v>0</v>
      </c>
      <c r="Y89" s="12">
        <f>W89/[1]Manure!$I$2</f>
        <v>328.52862043829771</v>
      </c>
      <c r="Z89" s="12"/>
      <c r="AA89" s="12"/>
      <c r="AB89" s="11"/>
      <c r="AC89" s="11"/>
    </row>
    <row r="90" spans="1:29" ht="15.75" thickBot="1" x14ac:dyDescent="0.3">
      <c r="A90" s="13">
        <v>45415</v>
      </c>
      <c r="B90" s="87">
        <v>0.41666666666666669</v>
      </c>
      <c r="C90" s="33"/>
      <c r="D90" s="6"/>
      <c r="E90" s="6" t="s">
        <v>60</v>
      </c>
      <c r="F90" s="6">
        <v>30</v>
      </c>
      <c r="G90" s="6">
        <v>52193</v>
      </c>
      <c r="H90" s="6">
        <v>24.1</v>
      </c>
      <c r="I90" s="6">
        <v>22.1</v>
      </c>
      <c r="J90" s="21"/>
      <c r="K90" s="25"/>
      <c r="L90" s="25"/>
      <c r="M90" s="25"/>
      <c r="N90" s="25"/>
      <c r="O90" s="21"/>
      <c r="P90" s="72"/>
      <c r="Q90" s="72"/>
      <c r="R90" s="21"/>
      <c r="S90" s="94">
        <f t="shared" si="18"/>
        <v>24.1</v>
      </c>
      <c r="T90" s="95">
        <f t="shared" si="19"/>
        <v>414</v>
      </c>
      <c r="U90" s="11">
        <f t="shared" si="15"/>
        <v>0</v>
      </c>
      <c r="V90" s="11">
        <f t="shared" si="16"/>
        <v>0</v>
      </c>
      <c r="W90" s="12">
        <f t="shared" si="17"/>
        <v>380.41736788959946</v>
      </c>
      <c r="X90" s="12">
        <f>V90/[1]Manure!$I$2</f>
        <v>0</v>
      </c>
      <c r="Y90" s="12">
        <f>W90/[1]Manure!$I$2</f>
        <v>271.30272270918306</v>
      </c>
      <c r="Z90" s="12"/>
      <c r="AA90" s="12"/>
      <c r="AB90" s="11"/>
      <c r="AC90" s="11"/>
    </row>
    <row r="91" spans="1:29" ht="15.75" thickBot="1" x14ac:dyDescent="0.3">
      <c r="A91" s="13">
        <v>45416</v>
      </c>
      <c r="B91" s="87">
        <v>0.41666666666666669</v>
      </c>
      <c r="C91" s="33"/>
      <c r="D91" s="6"/>
      <c r="E91" s="6" t="s">
        <v>60</v>
      </c>
      <c r="F91" s="6">
        <v>30</v>
      </c>
      <c r="G91" s="6">
        <v>52756</v>
      </c>
      <c r="H91" s="6">
        <v>24.4</v>
      </c>
      <c r="I91" s="6">
        <v>22.8</v>
      </c>
      <c r="J91" s="21"/>
      <c r="K91" s="25"/>
      <c r="L91" s="25"/>
      <c r="M91" s="25"/>
      <c r="N91" s="25"/>
      <c r="O91" s="21"/>
      <c r="P91" s="72"/>
      <c r="Q91" s="72"/>
      <c r="R91" s="21"/>
      <c r="S91" s="94">
        <f t="shared" si="18"/>
        <v>24.4</v>
      </c>
      <c r="T91" s="95">
        <f t="shared" si="19"/>
        <v>563</v>
      </c>
      <c r="U91" s="11">
        <f t="shared" si="15"/>
        <v>0</v>
      </c>
      <c r="V91" s="11">
        <f t="shared" si="16"/>
        <v>0</v>
      </c>
      <c r="W91" s="12">
        <f t="shared" si="17"/>
        <v>516.80901143241431</v>
      </c>
      <c r="X91" s="12">
        <f>V91/[1]Manure!$I$2</f>
        <v>0</v>
      </c>
      <c r="Y91" s="12">
        <f>W91/[1]Manure!$I$2</f>
        <v>368.57331908922203</v>
      </c>
      <c r="Z91" s="12"/>
      <c r="AA91" s="12"/>
      <c r="AB91" s="11"/>
      <c r="AC91" s="11"/>
    </row>
    <row r="92" spans="1:29" ht="15.75" thickBot="1" x14ac:dyDescent="0.3">
      <c r="A92" s="13">
        <v>45418</v>
      </c>
      <c r="B92" s="87">
        <v>0.41666666666666669</v>
      </c>
      <c r="C92" s="33"/>
      <c r="D92" s="6"/>
      <c r="E92" s="6" t="s">
        <v>60</v>
      </c>
      <c r="F92" s="6">
        <v>30</v>
      </c>
      <c r="G92" s="6">
        <v>53771</v>
      </c>
      <c r="H92" s="6">
        <v>19.600000000000001</v>
      </c>
      <c r="I92" s="6">
        <v>22.5</v>
      </c>
      <c r="J92" s="21"/>
      <c r="K92" s="25"/>
      <c r="L92" s="25"/>
      <c r="M92" s="25"/>
      <c r="N92" s="25"/>
      <c r="O92" s="21"/>
      <c r="P92" s="72"/>
      <c r="Q92" s="72"/>
      <c r="R92" s="21"/>
      <c r="S92" s="94">
        <f t="shared" si="18"/>
        <v>19.600000000000001</v>
      </c>
      <c r="T92" s="95">
        <f t="shared" si="19"/>
        <v>1015</v>
      </c>
      <c r="U92" s="11">
        <f t="shared" si="15"/>
        <v>0</v>
      </c>
      <c r="V92" s="11">
        <f t="shared" si="16"/>
        <v>0</v>
      </c>
      <c r="W92" s="12">
        <f t="shared" si="17"/>
        <v>947.00956937799026</v>
      </c>
      <c r="X92" s="12">
        <f>V92/[1]Manure!$I$2</f>
        <v>0</v>
      </c>
      <c r="Y92" s="12">
        <f>W92/[1]Manure!$I$2</f>
        <v>675.37998075435416</v>
      </c>
      <c r="Z92" s="12"/>
      <c r="AA92" s="12"/>
      <c r="AB92" s="11"/>
      <c r="AC92" s="11"/>
    </row>
    <row r="93" spans="1:29" ht="15.75" thickBot="1" x14ac:dyDescent="0.3">
      <c r="A93" s="13">
        <v>45419</v>
      </c>
      <c r="B93" s="87">
        <v>0.41666666666666669</v>
      </c>
      <c r="C93" s="33"/>
      <c r="D93" s="6"/>
      <c r="E93" s="6" t="s">
        <v>60</v>
      </c>
      <c r="F93" s="6">
        <v>30</v>
      </c>
      <c r="G93" s="74">
        <v>0</v>
      </c>
      <c r="H93" s="6">
        <v>20.3</v>
      </c>
      <c r="I93" s="6">
        <v>21</v>
      </c>
      <c r="J93" s="21"/>
      <c r="K93" s="25"/>
      <c r="L93" s="25"/>
      <c r="M93" s="25"/>
      <c r="N93" s="25"/>
      <c r="O93" s="21"/>
      <c r="P93" s="72"/>
      <c r="Q93" s="72"/>
      <c r="R93" s="21"/>
      <c r="S93" s="94">
        <f t="shared" si="18"/>
        <v>20.3</v>
      </c>
      <c r="T93" s="95">
        <f t="shared" si="19"/>
        <v>-53771</v>
      </c>
      <c r="U93" s="11">
        <f t="shared" si="15"/>
        <v>0</v>
      </c>
      <c r="V93" s="11">
        <f t="shared" si="16"/>
        <v>0</v>
      </c>
      <c r="W93" s="12">
        <f t="shared" si="17"/>
        <v>-50049.379474940331</v>
      </c>
      <c r="X93" s="12">
        <f>V93/[1]Manure!$I$2</f>
        <v>0</v>
      </c>
      <c r="Y93" s="12">
        <f>W93/[1]Manure!$I$2</f>
        <v>-35693.777591660924</v>
      </c>
      <c r="Z93" s="12"/>
      <c r="AA93" s="12"/>
      <c r="AB93" s="11" t="s">
        <v>81</v>
      </c>
      <c r="AC93" s="11"/>
    </row>
    <row r="94" spans="1:29" ht="15.75" thickBot="1" x14ac:dyDescent="0.3">
      <c r="A94" s="13">
        <v>45420</v>
      </c>
      <c r="B94" s="87">
        <v>0.41666666666666669</v>
      </c>
      <c r="C94" s="6"/>
      <c r="D94" s="6"/>
      <c r="E94" s="6" t="s">
        <v>60</v>
      </c>
      <c r="F94" s="6">
        <v>30</v>
      </c>
      <c r="G94" s="6">
        <v>0</v>
      </c>
      <c r="H94" s="6">
        <v>0</v>
      </c>
      <c r="I94" s="6"/>
      <c r="J94" s="21"/>
      <c r="K94" s="25"/>
      <c r="L94" s="25"/>
      <c r="M94" s="25"/>
      <c r="N94" s="25"/>
      <c r="O94" s="21"/>
      <c r="P94" s="72"/>
      <c r="Q94" s="72"/>
      <c r="R94" s="21"/>
      <c r="S94" s="94">
        <f t="shared" si="18"/>
        <v>0</v>
      </c>
      <c r="T94" s="95">
        <f t="shared" si="19"/>
        <v>0</v>
      </c>
      <c r="U94" s="11">
        <f t="shared" si="15"/>
        <v>0</v>
      </c>
      <c r="V94" s="11">
        <f t="shared" si="16"/>
        <v>0</v>
      </c>
      <c r="W94" s="12">
        <f t="shared" si="17"/>
        <v>0</v>
      </c>
      <c r="X94" s="12">
        <f>V94/[1]Manure!$I$2</f>
        <v>0</v>
      </c>
      <c r="Y94" s="12">
        <f>W94/[1]Manure!$I$2</f>
        <v>0</v>
      </c>
      <c r="Z94" s="12"/>
      <c r="AA94" s="12"/>
      <c r="AB94" s="11" t="s">
        <v>81</v>
      </c>
      <c r="AC94" s="11"/>
    </row>
    <row r="95" spans="1:29" ht="15.75" thickBot="1" x14ac:dyDescent="0.3">
      <c r="A95" s="13">
        <v>45421</v>
      </c>
      <c r="B95" s="87">
        <v>0.41666666666666669</v>
      </c>
      <c r="C95" s="6"/>
      <c r="D95" s="6"/>
      <c r="E95" s="6" t="s">
        <v>60</v>
      </c>
      <c r="F95" s="6">
        <v>30</v>
      </c>
      <c r="G95" s="6">
        <v>0</v>
      </c>
      <c r="H95" s="6">
        <v>0</v>
      </c>
      <c r="I95" s="6"/>
      <c r="J95" s="21"/>
      <c r="K95" s="25"/>
      <c r="L95" s="25"/>
      <c r="M95" s="25"/>
      <c r="N95" s="25"/>
      <c r="O95" s="21"/>
      <c r="P95" s="72"/>
      <c r="Q95" s="72"/>
      <c r="R95" s="21"/>
      <c r="S95" s="94">
        <f t="shared" si="18"/>
        <v>0</v>
      </c>
      <c r="T95" s="95">
        <f t="shared" si="19"/>
        <v>0</v>
      </c>
      <c r="U95" s="11"/>
      <c r="V95" s="11"/>
      <c r="W95" s="12"/>
      <c r="X95" s="12"/>
      <c r="Y95" s="12"/>
      <c r="Z95" s="12"/>
      <c r="AA95" s="12"/>
      <c r="AB95" s="11"/>
      <c r="AC95" s="11"/>
    </row>
    <row r="96" spans="1:29" ht="15.75" thickBot="1" x14ac:dyDescent="0.3">
      <c r="A96" s="13">
        <v>45422</v>
      </c>
      <c r="B96" s="87">
        <v>0.41666666666666669</v>
      </c>
      <c r="C96" s="33"/>
      <c r="D96" s="6"/>
      <c r="E96" s="6" t="s">
        <v>60</v>
      </c>
      <c r="F96" s="6">
        <v>30</v>
      </c>
      <c r="G96" s="6">
        <v>53820</v>
      </c>
      <c r="H96" s="6">
        <v>0</v>
      </c>
      <c r="I96" s="6"/>
      <c r="J96" s="21"/>
      <c r="K96" s="25"/>
      <c r="L96" s="25"/>
      <c r="M96" s="25"/>
      <c r="N96" s="25"/>
      <c r="O96" s="21"/>
      <c r="P96" s="72"/>
      <c r="Q96" s="72"/>
      <c r="R96" s="21"/>
      <c r="S96" s="94">
        <f t="shared" si="18"/>
        <v>0</v>
      </c>
      <c r="T96" s="95">
        <f t="shared" si="19"/>
        <v>53820</v>
      </c>
      <c r="U96" s="11">
        <f t="shared" si="15"/>
        <v>0</v>
      </c>
      <c r="V96" s="11">
        <f t="shared" si="16"/>
        <v>0</v>
      </c>
      <c r="W96" s="12">
        <f t="shared" si="17"/>
        <v>53820</v>
      </c>
      <c r="X96" s="12">
        <f>V96/[1]Manure!$I$2</f>
        <v>0</v>
      </c>
      <c r="Y96" s="12">
        <f>W96/[1]Manure!$I$2</f>
        <v>38382.875674713468</v>
      </c>
      <c r="Z96" s="12"/>
      <c r="AA96" s="12"/>
      <c r="AB96" s="11" t="s">
        <v>81</v>
      </c>
      <c r="AC96" s="11"/>
    </row>
    <row r="97" spans="1:29" ht="15.75" thickBot="1" x14ac:dyDescent="0.3">
      <c r="A97" s="13">
        <v>45423</v>
      </c>
      <c r="B97" s="87">
        <v>0.41666666666666669</v>
      </c>
      <c r="C97" s="33"/>
      <c r="D97" s="6"/>
      <c r="E97" s="6" t="s">
        <v>60</v>
      </c>
      <c r="F97" s="6">
        <v>20</v>
      </c>
      <c r="G97" s="6">
        <v>54057</v>
      </c>
      <c r="H97" s="6">
        <v>20.2</v>
      </c>
      <c r="I97" s="6">
        <v>20.7</v>
      </c>
      <c r="J97" s="21"/>
      <c r="K97" s="25"/>
      <c r="L97" s="25"/>
      <c r="M97" s="25"/>
      <c r="N97" s="25"/>
      <c r="O97" s="21"/>
      <c r="P97" s="72"/>
      <c r="Q97" s="72"/>
      <c r="R97" s="21"/>
      <c r="S97" s="94">
        <f t="shared" si="18"/>
        <v>20.2</v>
      </c>
      <c r="T97" s="95">
        <f t="shared" si="19"/>
        <v>237</v>
      </c>
      <c r="U97" s="11">
        <f t="shared" si="15"/>
        <v>0</v>
      </c>
      <c r="V97" s="11">
        <f t="shared" si="16"/>
        <v>0</v>
      </c>
      <c r="W97" s="12">
        <f t="shared" si="17"/>
        <v>220.67189631650751</v>
      </c>
      <c r="X97" s="12">
        <f>V97/[1]Manure!$I$2</f>
        <v>0</v>
      </c>
      <c r="Y97" s="12">
        <f>W97/[1]Manure!$I$2</f>
        <v>157.37684803455537</v>
      </c>
      <c r="Z97" s="12"/>
      <c r="AA97" s="12"/>
      <c r="AB97" s="11"/>
      <c r="AC97" s="11"/>
    </row>
    <row r="98" spans="1:29" ht="15.75" thickBot="1" x14ac:dyDescent="0.3">
      <c r="A98" s="13">
        <v>45425</v>
      </c>
      <c r="B98" s="87">
        <v>0.41666666666666669</v>
      </c>
      <c r="C98" s="33"/>
      <c r="D98" s="6"/>
      <c r="E98" s="6" t="s">
        <v>60</v>
      </c>
      <c r="F98" s="6">
        <v>20</v>
      </c>
      <c r="G98" s="6">
        <v>54061</v>
      </c>
      <c r="H98" s="6">
        <v>26.2</v>
      </c>
      <c r="I98" s="6">
        <v>20.2</v>
      </c>
      <c r="J98" s="21"/>
      <c r="K98" s="25"/>
      <c r="L98" s="25"/>
      <c r="M98" s="25"/>
      <c r="N98" s="25"/>
      <c r="O98" s="21"/>
      <c r="P98" s="72"/>
      <c r="Q98" s="72"/>
      <c r="R98" s="21"/>
      <c r="S98" s="94">
        <f t="shared" si="18"/>
        <v>26.2</v>
      </c>
      <c r="T98" s="95">
        <f t="shared" si="19"/>
        <v>4</v>
      </c>
      <c r="U98" s="11">
        <f t="shared" si="15"/>
        <v>0</v>
      </c>
      <c r="V98" s="11">
        <f t="shared" si="16"/>
        <v>0</v>
      </c>
      <c r="W98" s="12">
        <f t="shared" si="17"/>
        <v>3.6497326203208558</v>
      </c>
      <c r="X98" s="12">
        <f>V98/[1]Manure!$I$2</f>
        <v>0</v>
      </c>
      <c r="Y98" s="12">
        <f>W98/[1]Manure!$I$2</f>
        <v>2.6028843071668826</v>
      </c>
      <c r="Z98" s="12"/>
      <c r="AA98" s="12"/>
      <c r="AB98" s="11"/>
      <c r="AC98" s="11"/>
    </row>
    <row r="99" spans="1:29" ht="15.75" thickBot="1" x14ac:dyDescent="0.3">
      <c r="A99" s="13">
        <v>45426</v>
      </c>
      <c r="B99" s="87">
        <v>0.41666666666666669</v>
      </c>
      <c r="C99" s="33"/>
      <c r="D99" s="6"/>
      <c r="E99" s="6" t="s">
        <v>60</v>
      </c>
      <c r="F99" s="6">
        <v>20</v>
      </c>
      <c r="G99" s="6">
        <v>54192</v>
      </c>
      <c r="H99" s="6">
        <v>25</v>
      </c>
      <c r="I99" s="6">
        <v>22.7</v>
      </c>
      <c r="J99" s="21"/>
      <c r="K99" s="25"/>
      <c r="L99" s="25"/>
      <c r="M99" s="25"/>
      <c r="N99" s="25"/>
      <c r="O99" s="21"/>
      <c r="P99" s="72"/>
      <c r="Q99" s="72"/>
      <c r="R99" s="21"/>
      <c r="S99" s="94">
        <f t="shared" si="18"/>
        <v>25</v>
      </c>
      <c r="T99" s="95">
        <f t="shared" si="19"/>
        <v>131</v>
      </c>
      <c r="U99" s="11">
        <f t="shared" si="15"/>
        <v>0</v>
      </c>
      <c r="V99" s="11">
        <f t="shared" si="16"/>
        <v>0</v>
      </c>
      <c r="W99" s="12">
        <f t="shared" si="17"/>
        <v>120.01006711409396</v>
      </c>
      <c r="X99" s="12">
        <f>V99/[1]Manure!$I$2</f>
        <v>0</v>
      </c>
      <c r="Y99" s="12">
        <f>W99/[1]Manure!$I$2</f>
        <v>85.587727345861907</v>
      </c>
      <c r="Z99" s="12"/>
      <c r="AA99" s="12"/>
      <c r="AB99" s="11"/>
      <c r="AC99" s="11"/>
    </row>
    <row r="100" spans="1:29" ht="15.75" thickBot="1" x14ac:dyDescent="0.3">
      <c r="A100" s="13">
        <v>45427</v>
      </c>
      <c r="B100" s="87">
        <v>0.41666666666666669</v>
      </c>
      <c r="C100" s="33"/>
      <c r="D100" s="6"/>
      <c r="E100" s="6" t="s">
        <v>60</v>
      </c>
      <c r="F100" s="6">
        <v>20</v>
      </c>
      <c r="G100" s="6">
        <v>54274</v>
      </c>
      <c r="H100" s="6">
        <v>25.2</v>
      </c>
      <c r="I100" s="6">
        <v>22.7</v>
      </c>
      <c r="J100" s="21"/>
      <c r="K100" s="25"/>
      <c r="L100" s="25"/>
      <c r="M100" s="25"/>
      <c r="N100" s="25"/>
      <c r="O100" s="21"/>
      <c r="P100" s="21"/>
      <c r="Q100" s="72"/>
      <c r="R100" s="21"/>
      <c r="S100" s="94">
        <f t="shared" si="18"/>
        <v>25.2</v>
      </c>
      <c r="T100" s="95">
        <f t="shared" si="19"/>
        <v>82</v>
      </c>
      <c r="U100" s="11">
        <f t="shared" si="15"/>
        <v>0</v>
      </c>
      <c r="V100" s="11">
        <f t="shared" si="16"/>
        <v>0</v>
      </c>
      <c r="W100" s="12">
        <f t="shared" si="17"/>
        <v>75.070422535211264</v>
      </c>
      <c r="X100" s="12">
        <f>V100/[1]Manure!$I$2</f>
        <v>0</v>
      </c>
      <c r="Y100" s="12">
        <f>W100/[1]Manure!$I$2</f>
        <v>53.538065682222637</v>
      </c>
      <c r="Z100" s="12"/>
      <c r="AA100" s="12"/>
      <c r="AB100" s="11"/>
      <c r="AC100" s="11"/>
    </row>
    <row r="101" spans="1:29" ht="15.75" thickBot="1" x14ac:dyDescent="0.3">
      <c r="A101" s="13">
        <v>45428</v>
      </c>
      <c r="B101" s="87">
        <v>0.41666666666666669</v>
      </c>
      <c r="C101" s="33"/>
      <c r="D101" s="6"/>
      <c r="E101" s="6" t="s">
        <v>60</v>
      </c>
      <c r="F101" s="6">
        <v>20</v>
      </c>
      <c r="G101" s="6">
        <v>55131</v>
      </c>
      <c r="H101" s="6">
        <v>24.5</v>
      </c>
      <c r="I101" s="6">
        <v>21.2</v>
      </c>
      <c r="J101" s="21"/>
      <c r="K101" s="25"/>
      <c r="L101" s="25"/>
      <c r="M101" s="25"/>
      <c r="N101" s="25"/>
      <c r="O101" s="21"/>
      <c r="P101" s="21"/>
      <c r="Q101" s="72"/>
      <c r="R101" s="21"/>
      <c r="S101" s="94">
        <f t="shared" si="18"/>
        <v>24.5</v>
      </c>
      <c r="T101" s="95">
        <f t="shared" si="19"/>
        <v>857</v>
      </c>
      <c r="U101" s="11">
        <f t="shared" si="15"/>
        <v>0</v>
      </c>
      <c r="V101" s="11">
        <f t="shared" si="16"/>
        <v>0</v>
      </c>
      <c r="W101" s="12">
        <f t="shared" si="17"/>
        <v>786.42352941176466</v>
      </c>
      <c r="X101" s="12">
        <f>V101/[1]Manure!$I$2</f>
        <v>0</v>
      </c>
      <c r="Y101" s="12">
        <f>W101/[1]Manure!$I$2</f>
        <v>560.85463688370749</v>
      </c>
      <c r="Z101" s="12"/>
      <c r="AA101" s="12"/>
      <c r="AB101" s="11"/>
      <c r="AC101" s="11"/>
    </row>
    <row r="102" spans="1:29" ht="15.75" thickBot="1" x14ac:dyDescent="0.3">
      <c r="A102" s="13">
        <v>45429</v>
      </c>
      <c r="B102" s="87">
        <v>0.41666666666666669</v>
      </c>
      <c r="C102" s="33"/>
      <c r="D102" s="6"/>
      <c r="E102" s="6" t="s">
        <v>60</v>
      </c>
      <c r="F102" s="6">
        <v>20</v>
      </c>
      <c r="G102" s="6">
        <v>55870</v>
      </c>
      <c r="H102" s="6">
        <v>26.3</v>
      </c>
      <c r="I102" s="6">
        <v>22</v>
      </c>
      <c r="J102" s="21"/>
      <c r="K102" s="25"/>
      <c r="L102" s="25"/>
      <c r="M102" s="25"/>
      <c r="N102" s="25"/>
      <c r="O102" s="21"/>
      <c r="P102" s="21"/>
      <c r="Q102" s="72"/>
      <c r="R102" s="21"/>
      <c r="S102" s="94">
        <f t="shared" si="18"/>
        <v>26.3</v>
      </c>
      <c r="T102" s="95">
        <f t="shared" si="19"/>
        <v>739</v>
      </c>
      <c r="U102" s="11">
        <f t="shared" si="15"/>
        <v>0</v>
      </c>
      <c r="V102" s="11">
        <f t="shared" si="16"/>
        <v>0</v>
      </c>
      <c r="W102" s="12">
        <f t="shared" si="17"/>
        <v>674.06281323087194</v>
      </c>
      <c r="X102" s="12">
        <f>V102/[1]Manure!$I$2</f>
        <v>0</v>
      </c>
      <c r="Y102" s="12">
        <f>W102/[1]Manure!$I$2</f>
        <v>480.7222065623962</v>
      </c>
      <c r="Z102" s="12"/>
      <c r="AA102" s="12"/>
      <c r="AB102" s="11"/>
      <c r="AC102" s="11"/>
    </row>
    <row r="103" spans="1:29" ht="15.75" thickBot="1" x14ac:dyDescent="0.3">
      <c r="A103" s="13">
        <v>45430</v>
      </c>
      <c r="B103" s="87">
        <v>0.41666666666666669</v>
      </c>
      <c r="C103" s="33"/>
      <c r="D103" s="6"/>
      <c r="E103" s="6" t="s">
        <v>60</v>
      </c>
      <c r="F103" s="6">
        <v>20</v>
      </c>
      <c r="G103" s="6">
        <v>56667</v>
      </c>
      <c r="H103" s="6">
        <v>24</v>
      </c>
      <c r="I103" s="6">
        <v>22.7</v>
      </c>
      <c r="J103" s="21"/>
      <c r="K103" s="25"/>
      <c r="L103" s="25"/>
      <c r="M103" s="25"/>
      <c r="N103" s="25"/>
      <c r="O103" s="21"/>
      <c r="P103" s="21"/>
      <c r="Q103" s="72"/>
      <c r="R103" s="21"/>
      <c r="S103" s="94">
        <f t="shared" si="18"/>
        <v>24</v>
      </c>
      <c r="T103" s="95">
        <f t="shared" si="19"/>
        <v>797</v>
      </c>
      <c r="U103" s="11">
        <f t="shared" si="15"/>
        <v>0</v>
      </c>
      <c r="V103" s="11">
        <f t="shared" si="16"/>
        <v>0</v>
      </c>
      <c r="W103" s="12">
        <f t="shared" si="17"/>
        <v>732.59595959595958</v>
      </c>
      <c r="X103" s="12">
        <f>V103/[1]Manure!$I$2</f>
        <v>0</v>
      </c>
      <c r="Y103" s="12">
        <f>W103/[1]Manure!$I$2</f>
        <v>522.46636263413473</v>
      </c>
      <c r="Z103" s="12"/>
      <c r="AA103" s="12"/>
      <c r="AB103" s="11"/>
      <c r="AC103" s="11"/>
    </row>
    <row r="104" spans="1:29" ht="15.75" thickBot="1" x14ac:dyDescent="0.3">
      <c r="A104" s="13">
        <v>45432</v>
      </c>
      <c r="B104" s="87">
        <v>0.41666666666666669</v>
      </c>
      <c r="C104" s="33"/>
      <c r="D104" s="6"/>
      <c r="E104" s="6" t="s">
        <v>60</v>
      </c>
      <c r="F104" s="6">
        <v>20</v>
      </c>
      <c r="G104" s="6">
        <v>57965</v>
      </c>
      <c r="H104" s="6">
        <v>25</v>
      </c>
      <c r="I104" s="6">
        <v>23</v>
      </c>
      <c r="J104" s="21"/>
      <c r="K104" s="25"/>
      <c r="L104" s="25"/>
      <c r="M104" s="25"/>
      <c r="N104" s="25"/>
      <c r="O104" s="21"/>
      <c r="P104" s="21"/>
      <c r="Q104" s="72"/>
      <c r="R104" s="21"/>
      <c r="S104" s="94">
        <f t="shared" si="18"/>
        <v>25</v>
      </c>
      <c r="T104" s="95">
        <f t="shared" si="19"/>
        <v>1298</v>
      </c>
      <c r="U104" s="11">
        <f t="shared" si="15"/>
        <v>0</v>
      </c>
      <c r="V104" s="11">
        <f t="shared" si="16"/>
        <v>0</v>
      </c>
      <c r="W104" s="12">
        <f t="shared" si="17"/>
        <v>1189.1073825503356</v>
      </c>
      <c r="X104" s="12">
        <f>V104/[1]Manure!$I$2</f>
        <v>0</v>
      </c>
      <c r="Y104" s="12">
        <f>W104/[1]Manure!$I$2</f>
        <v>848.03717629716618</v>
      </c>
      <c r="Z104" s="12"/>
      <c r="AA104" s="12"/>
      <c r="AB104" s="11"/>
      <c r="AC104" s="11"/>
    </row>
    <row r="105" spans="1:29" ht="15.75" thickBot="1" x14ac:dyDescent="0.3">
      <c r="A105" s="13">
        <v>45433</v>
      </c>
      <c r="B105" s="87">
        <v>0.41666666666666669</v>
      </c>
      <c r="C105" s="33"/>
      <c r="D105" s="6"/>
      <c r="E105" s="6" t="s">
        <v>60</v>
      </c>
      <c r="F105" s="6">
        <v>20</v>
      </c>
      <c r="G105" s="6">
        <v>58805</v>
      </c>
      <c r="H105" s="6">
        <v>26.1</v>
      </c>
      <c r="I105" s="6">
        <v>22</v>
      </c>
      <c r="J105" s="21"/>
      <c r="K105" s="25"/>
      <c r="L105" s="25"/>
      <c r="M105" s="25"/>
      <c r="N105" s="25"/>
      <c r="O105" s="21"/>
      <c r="P105" s="21"/>
      <c r="Q105" s="72"/>
      <c r="R105" s="21"/>
      <c r="S105" s="94">
        <f t="shared" si="18"/>
        <v>26.1</v>
      </c>
      <c r="T105" s="95">
        <f t="shared" si="19"/>
        <v>840</v>
      </c>
      <c r="U105" s="11">
        <f t="shared" si="15"/>
        <v>0</v>
      </c>
      <c r="V105" s="11">
        <f t="shared" si="16"/>
        <v>0</v>
      </c>
      <c r="W105" s="12">
        <f t="shared" si="17"/>
        <v>766.70010030090259</v>
      </c>
      <c r="X105" s="12">
        <f>V105/[1]Manure!$I$2</f>
        <v>0</v>
      </c>
      <c r="Y105" s="12">
        <f>W105/[1]Manure!$I$2</f>
        <v>546.78845465700283</v>
      </c>
      <c r="Z105" s="12"/>
      <c r="AA105" s="12"/>
      <c r="AB105" s="11"/>
      <c r="AC105" s="11"/>
    </row>
    <row r="106" spans="1:29" ht="15.75" thickBot="1" x14ac:dyDescent="0.3">
      <c r="A106" s="13">
        <v>45434</v>
      </c>
      <c r="B106" s="87">
        <v>0.41666666666666669</v>
      </c>
      <c r="C106" s="33"/>
      <c r="D106" s="6"/>
      <c r="E106" s="6" t="s">
        <v>60</v>
      </c>
      <c r="F106" s="6">
        <v>20</v>
      </c>
      <c r="G106" s="6">
        <v>59351</v>
      </c>
      <c r="H106" s="6">
        <v>25</v>
      </c>
      <c r="I106" s="6">
        <v>21.8</v>
      </c>
      <c r="J106" s="21"/>
      <c r="K106" s="25"/>
      <c r="L106" s="25"/>
      <c r="M106" s="25"/>
      <c r="N106" s="25"/>
      <c r="O106" s="21"/>
      <c r="P106" s="72"/>
      <c r="Q106" s="72"/>
      <c r="R106" s="21"/>
      <c r="S106" s="94">
        <f t="shared" si="18"/>
        <v>25</v>
      </c>
      <c r="T106" s="95">
        <f t="shared" si="19"/>
        <v>546</v>
      </c>
      <c r="U106" s="11">
        <f t="shared" si="15"/>
        <v>0</v>
      </c>
      <c r="V106" s="11">
        <f t="shared" si="16"/>
        <v>0</v>
      </c>
      <c r="W106" s="12">
        <f t="shared" si="17"/>
        <v>500.19463087248317</v>
      </c>
      <c r="X106" s="12">
        <f>V106/[1]Manure!$I$2</f>
        <v>0</v>
      </c>
      <c r="Y106" s="12">
        <f>W106/[1]Manure!$I$2</f>
        <v>356.72442084611146</v>
      </c>
      <c r="Z106" s="12"/>
      <c r="AA106" s="12"/>
      <c r="AB106" s="11"/>
      <c r="AC106" s="11"/>
    </row>
    <row r="107" spans="1:29" ht="15.75" thickBot="1" x14ac:dyDescent="0.3">
      <c r="A107" s="13">
        <v>45435</v>
      </c>
      <c r="B107" s="87">
        <v>0.41666666666666669</v>
      </c>
      <c r="C107" s="33"/>
      <c r="D107" s="6"/>
      <c r="E107" s="6" t="s">
        <v>60</v>
      </c>
      <c r="F107" s="6">
        <v>20</v>
      </c>
      <c r="G107" s="6">
        <v>60327</v>
      </c>
      <c r="H107" s="6">
        <v>23.4</v>
      </c>
      <c r="I107" s="6">
        <v>22.5</v>
      </c>
      <c r="J107" s="21"/>
      <c r="K107" s="25"/>
      <c r="L107" s="25"/>
      <c r="M107" s="25"/>
      <c r="N107" s="25"/>
      <c r="O107" s="21"/>
      <c r="P107" s="72"/>
      <c r="Q107" s="72"/>
      <c r="R107" s="21"/>
      <c r="S107" s="94">
        <f t="shared" si="18"/>
        <v>23.4</v>
      </c>
      <c r="T107" s="95">
        <f t="shared" si="19"/>
        <v>976</v>
      </c>
      <c r="U107" s="11">
        <f t="shared" si="15"/>
        <v>0</v>
      </c>
      <c r="V107" s="11">
        <f t="shared" si="16"/>
        <v>0</v>
      </c>
      <c r="W107" s="12">
        <f t="shared" si="17"/>
        <v>898.94736842105272</v>
      </c>
      <c r="X107" s="12">
        <f>V107/[1]Manure!$I$2</f>
        <v>0</v>
      </c>
      <c r="Y107" s="12">
        <f>W107/[1]Manure!$I$2</f>
        <v>641.10340171341716</v>
      </c>
      <c r="Z107" s="12"/>
      <c r="AA107" s="12"/>
      <c r="AB107" s="11"/>
      <c r="AC107" s="11"/>
    </row>
    <row r="108" spans="1:29" ht="15.75" thickBot="1" x14ac:dyDescent="0.3">
      <c r="A108" s="13">
        <v>45436</v>
      </c>
      <c r="B108" s="87">
        <v>0.41666666666666669</v>
      </c>
      <c r="C108" s="33"/>
      <c r="D108" s="6"/>
      <c r="E108" s="6" t="s">
        <v>60</v>
      </c>
      <c r="F108" s="6">
        <v>20</v>
      </c>
      <c r="G108" s="6">
        <v>61092</v>
      </c>
      <c r="H108" s="6">
        <v>21.9</v>
      </c>
      <c r="I108" s="6">
        <v>21.7</v>
      </c>
      <c r="J108" s="21"/>
      <c r="K108" s="25"/>
      <c r="L108" s="25"/>
      <c r="M108" s="25"/>
      <c r="N108" s="25"/>
      <c r="O108" s="21"/>
      <c r="P108" s="72"/>
      <c r="Q108" s="72"/>
      <c r="R108" s="21"/>
      <c r="S108" s="94">
        <f t="shared" si="18"/>
        <v>21.9</v>
      </c>
      <c r="T108" s="95">
        <f t="shared" si="19"/>
        <v>765</v>
      </c>
      <c r="U108" s="11">
        <f t="shared" si="15"/>
        <v>0</v>
      </c>
      <c r="V108" s="11">
        <f t="shared" si="16"/>
        <v>0</v>
      </c>
      <c r="W108" s="12">
        <f t="shared" si="17"/>
        <v>708.18921668362157</v>
      </c>
      <c r="X108" s="12">
        <f>V108/[1]Manure!$I$2</f>
        <v>0</v>
      </c>
      <c r="Y108" s="12">
        <f>W108/[1]Manure!$I$2</f>
        <v>505.06017573653224</v>
      </c>
      <c r="Z108" s="12"/>
      <c r="AA108" s="12"/>
      <c r="AB108" s="11"/>
      <c r="AC108" s="11"/>
    </row>
    <row r="109" spans="1:29" ht="15.75" thickBot="1" x14ac:dyDescent="0.3">
      <c r="A109" s="13">
        <v>45437</v>
      </c>
      <c r="B109" s="87">
        <v>0.41666666666666669</v>
      </c>
      <c r="C109" s="33"/>
      <c r="D109" s="6"/>
      <c r="E109" s="6" t="s">
        <v>60</v>
      </c>
      <c r="F109" s="6">
        <v>20</v>
      </c>
      <c r="G109" s="6">
        <v>61343</v>
      </c>
      <c r="H109" s="6">
        <v>24.2</v>
      </c>
      <c r="I109" s="6">
        <v>21.3</v>
      </c>
      <c r="J109" s="21"/>
      <c r="K109" s="25"/>
      <c r="L109" s="25"/>
      <c r="M109" s="25"/>
      <c r="N109" s="25"/>
      <c r="O109" s="21"/>
      <c r="P109" s="72"/>
      <c r="Q109" s="72"/>
      <c r="R109" s="21"/>
      <c r="S109" s="94">
        <f t="shared" si="18"/>
        <v>24.2</v>
      </c>
      <c r="T109" s="95">
        <f t="shared" si="19"/>
        <v>251</v>
      </c>
      <c r="U109" s="11">
        <f t="shared" si="15"/>
        <v>0</v>
      </c>
      <c r="V109" s="11">
        <f t="shared" si="16"/>
        <v>0</v>
      </c>
      <c r="W109" s="12">
        <f t="shared" si="17"/>
        <v>230.56191117092868</v>
      </c>
      <c r="X109" s="12">
        <f>V109/[1]Manure!$I$2</f>
        <v>0</v>
      </c>
      <c r="Y109" s="12">
        <f>W109/[1]Manure!$I$2</f>
        <v>164.43012210698785</v>
      </c>
      <c r="Z109" s="12"/>
      <c r="AA109" s="12"/>
      <c r="AB109" s="11"/>
      <c r="AC109" s="11"/>
    </row>
    <row r="110" spans="1:29" ht="15.75" thickBot="1" x14ac:dyDescent="0.3">
      <c r="A110" s="13">
        <v>45439</v>
      </c>
      <c r="B110" s="87">
        <v>0.41666666666666669</v>
      </c>
      <c r="C110" s="33"/>
      <c r="D110" s="6"/>
      <c r="E110" s="6" t="s">
        <v>60</v>
      </c>
      <c r="F110" s="6">
        <v>20</v>
      </c>
      <c r="G110" s="6">
        <v>62234</v>
      </c>
      <c r="H110" s="6">
        <v>20.2</v>
      </c>
      <c r="I110" s="6">
        <v>20.9</v>
      </c>
      <c r="J110" s="21"/>
      <c r="K110" s="25"/>
      <c r="L110" s="25"/>
      <c r="M110" s="25"/>
      <c r="N110" s="25"/>
      <c r="O110" s="21"/>
      <c r="P110" s="72"/>
      <c r="Q110" s="72"/>
      <c r="R110" s="21"/>
      <c r="S110" s="94">
        <f t="shared" si="18"/>
        <v>20.2</v>
      </c>
      <c r="T110" s="95">
        <f t="shared" si="19"/>
        <v>891</v>
      </c>
      <c r="U110" s="11">
        <f t="shared" si="15"/>
        <v>0</v>
      </c>
      <c r="V110" s="11">
        <f t="shared" si="16"/>
        <v>0</v>
      </c>
      <c r="W110" s="12">
        <f t="shared" si="17"/>
        <v>829.61459754433838</v>
      </c>
      <c r="X110" s="12">
        <f>V110/[1]Manure!$I$2</f>
        <v>0</v>
      </c>
      <c r="Y110" s="12">
        <f>W110/[1]Manure!$I$2</f>
        <v>591.65726412991069</v>
      </c>
      <c r="Z110" s="12"/>
      <c r="AA110" s="12"/>
      <c r="AB110" s="11"/>
      <c r="AC110" s="11"/>
    </row>
    <row r="111" spans="1:29" ht="15.75" thickBot="1" x14ac:dyDescent="0.3">
      <c r="A111" s="13">
        <v>45440</v>
      </c>
      <c r="B111" s="87">
        <v>0.41666666666666669</v>
      </c>
      <c r="C111" s="33"/>
      <c r="D111" s="6"/>
      <c r="E111" s="6" t="s">
        <v>60</v>
      </c>
      <c r="F111" s="6">
        <v>20</v>
      </c>
      <c r="G111" s="6">
        <v>64014</v>
      </c>
      <c r="H111" s="6">
        <v>24.3</v>
      </c>
      <c r="I111" s="6">
        <v>21.4</v>
      </c>
      <c r="J111" s="21"/>
      <c r="K111" s="25"/>
      <c r="L111" s="25"/>
      <c r="M111" s="25"/>
      <c r="N111" s="25"/>
      <c r="O111" s="21"/>
      <c r="P111" s="72"/>
      <c r="Q111" s="72"/>
      <c r="R111" s="21"/>
      <c r="S111" s="94">
        <f t="shared" si="18"/>
        <v>24.3</v>
      </c>
      <c r="T111" s="95">
        <f t="shared" si="19"/>
        <v>1780</v>
      </c>
      <c r="U111" s="11">
        <f t="shared" si="15"/>
        <v>0</v>
      </c>
      <c r="V111" s="11">
        <f t="shared" si="16"/>
        <v>0</v>
      </c>
      <c r="W111" s="12">
        <f t="shared" si="17"/>
        <v>1634.510595358224</v>
      </c>
      <c r="X111" s="12">
        <f>V111/[1]Manure!$I$2</f>
        <v>0</v>
      </c>
      <c r="Y111" s="12">
        <f>W111/[1]Manure!$I$2</f>
        <v>1165.685934051219</v>
      </c>
      <c r="Z111" s="12"/>
      <c r="AA111" s="12"/>
      <c r="AB111" s="11"/>
      <c r="AC111" s="11"/>
    </row>
    <row r="112" spans="1:29" ht="15.75" thickBot="1" x14ac:dyDescent="0.3">
      <c r="A112" s="13">
        <v>45441</v>
      </c>
      <c r="B112" s="87">
        <v>0.41666666666666669</v>
      </c>
      <c r="C112" s="33"/>
      <c r="D112" s="6"/>
      <c r="E112" s="6" t="s">
        <v>60</v>
      </c>
      <c r="F112" s="6">
        <v>20</v>
      </c>
      <c r="G112" s="6">
        <v>64527</v>
      </c>
      <c r="H112" s="6">
        <v>22</v>
      </c>
      <c r="I112" s="6">
        <v>21.9</v>
      </c>
      <c r="J112" s="21"/>
      <c r="K112" s="25"/>
      <c r="L112" s="25"/>
      <c r="M112" s="25"/>
      <c r="N112" s="25"/>
      <c r="O112" s="21"/>
      <c r="P112" s="72"/>
      <c r="Q112" s="72"/>
      <c r="R112" s="21"/>
      <c r="S112" s="94">
        <f t="shared" si="18"/>
        <v>22</v>
      </c>
      <c r="T112" s="95">
        <f t="shared" si="19"/>
        <v>513</v>
      </c>
      <c r="U112" s="11">
        <f t="shared" si="15"/>
        <v>0</v>
      </c>
      <c r="V112" s="11">
        <f t="shared" si="16"/>
        <v>0</v>
      </c>
      <c r="W112" s="12">
        <f t="shared" si="17"/>
        <v>474.74237288135589</v>
      </c>
      <c r="X112" s="12">
        <f>V112/[1]Manure!$I$2</f>
        <v>0</v>
      </c>
      <c r="Y112" s="12">
        <f>W112/[1]Manure!$I$2</f>
        <v>338.57260267230669</v>
      </c>
      <c r="Z112" s="12"/>
      <c r="AA112" s="12"/>
      <c r="AB112" s="11"/>
      <c r="AC112" s="11"/>
    </row>
    <row r="113" spans="1:29" ht="15.75" thickBot="1" x14ac:dyDescent="0.3">
      <c r="A113" s="13">
        <v>45442</v>
      </c>
      <c r="B113" s="87">
        <v>0.41666666666666669</v>
      </c>
      <c r="C113" s="33"/>
      <c r="D113" s="6"/>
      <c r="E113" s="6" t="s">
        <v>60</v>
      </c>
      <c r="F113" s="6">
        <v>20</v>
      </c>
      <c r="G113" s="6">
        <v>65261</v>
      </c>
      <c r="H113" s="6">
        <v>22.5</v>
      </c>
      <c r="I113" s="6">
        <v>21.4</v>
      </c>
      <c r="J113" s="21"/>
      <c r="K113" s="25"/>
      <c r="L113" s="25"/>
      <c r="M113" s="25"/>
      <c r="N113" s="25"/>
      <c r="O113" s="21"/>
      <c r="P113" s="72"/>
      <c r="Q113" s="72"/>
      <c r="R113" s="21"/>
      <c r="S113" s="94">
        <f t="shared" si="18"/>
        <v>22.5</v>
      </c>
      <c r="T113" s="95">
        <f t="shared" si="19"/>
        <v>734</v>
      </c>
      <c r="U113" s="11">
        <f t="shared" si="15"/>
        <v>0</v>
      </c>
      <c r="V113" s="11">
        <f t="shared" si="16"/>
        <v>0</v>
      </c>
      <c r="W113" s="12">
        <f t="shared" si="17"/>
        <v>678.11167512690349</v>
      </c>
      <c r="X113" s="12">
        <f>V113/[1]Manure!$I$2</f>
        <v>0</v>
      </c>
      <c r="Y113" s="12">
        <f>W113/[1]Manure!$I$2</f>
        <v>483.60973838661516</v>
      </c>
      <c r="Z113" s="12"/>
      <c r="AA113" s="12"/>
      <c r="AB113" s="11"/>
      <c r="AC113" s="11"/>
    </row>
    <row r="114" spans="1:29" ht="15.75" thickBot="1" x14ac:dyDescent="0.3">
      <c r="A114" s="13">
        <v>45443</v>
      </c>
      <c r="B114" s="87">
        <v>0.41666666666666669</v>
      </c>
      <c r="C114" s="33"/>
      <c r="D114" s="6"/>
      <c r="E114" s="6" t="s">
        <v>60</v>
      </c>
      <c r="F114" s="6">
        <v>20</v>
      </c>
      <c r="G114" s="6">
        <v>66023</v>
      </c>
      <c r="H114" s="6">
        <v>24.6</v>
      </c>
      <c r="I114" s="6">
        <v>22</v>
      </c>
      <c r="J114" s="21"/>
      <c r="K114" s="25"/>
      <c r="L114" s="25"/>
      <c r="M114" s="25"/>
      <c r="N114" s="25"/>
      <c r="O114" s="21"/>
      <c r="P114" s="72"/>
      <c r="Q114" s="72"/>
      <c r="R114" s="21"/>
      <c r="S114" s="94">
        <f t="shared" si="18"/>
        <v>24.6</v>
      </c>
      <c r="T114" s="95">
        <f t="shared" si="19"/>
        <v>762</v>
      </c>
      <c r="U114" s="11">
        <f t="shared" si="15"/>
        <v>0</v>
      </c>
      <c r="V114" s="11">
        <f t="shared" si="16"/>
        <v>0</v>
      </c>
      <c r="W114" s="12">
        <f t="shared" si="17"/>
        <v>699.01209677419342</v>
      </c>
      <c r="X114" s="12">
        <f>V114/[1]Manure!$I$2</f>
        <v>0</v>
      </c>
      <c r="Y114" s="12">
        <f>W114/[1]Manure!$I$2</f>
        <v>498.5153178298894</v>
      </c>
      <c r="Z114" s="12"/>
      <c r="AA114" s="12"/>
      <c r="AB114" s="11"/>
      <c r="AC114" s="11"/>
    </row>
    <row r="115" spans="1:29" ht="15.75" thickBot="1" x14ac:dyDescent="0.3">
      <c r="A115" s="13">
        <v>45444</v>
      </c>
      <c r="B115" s="87">
        <v>0.41666666666666669</v>
      </c>
      <c r="C115" s="33"/>
      <c r="D115" s="6"/>
      <c r="E115" s="6" t="s">
        <v>60</v>
      </c>
      <c r="F115" s="6">
        <v>20</v>
      </c>
      <c r="G115" s="6">
        <v>66419</v>
      </c>
      <c r="H115" s="6">
        <v>26.2</v>
      </c>
      <c r="I115" s="6">
        <v>22.7</v>
      </c>
      <c r="J115" s="21"/>
      <c r="K115" s="25"/>
      <c r="L115" s="25"/>
      <c r="M115" s="25"/>
      <c r="N115" s="25"/>
      <c r="O115" s="21"/>
      <c r="P115" s="72"/>
      <c r="Q115" s="72"/>
      <c r="R115" s="21"/>
      <c r="S115" s="94">
        <f t="shared" si="18"/>
        <v>26.2</v>
      </c>
      <c r="T115" s="95">
        <f t="shared" si="19"/>
        <v>396</v>
      </c>
      <c r="U115" s="11">
        <f t="shared" si="15"/>
        <v>0</v>
      </c>
      <c r="V115" s="11">
        <f t="shared" si="16"/>
        <v>0</v>
      </c>
      <c r="W115" s="12">
        <f t="shared" si="17"/>
        <v>361.3235294117647</v>
      </c>
      <c r="X115" s="12">
        <f>V115/[1]Manure!$I$2</f>
        <v>0</v>
      </c>
      <c r="Y115" s="12">
        <f>W115/[1]Manure!$I$2</f>
        <v>257.68554640952135</v>
      </c>
      <c r="Z115" s="12"/>
      <c r="AA115" s="12"/>
      <c r="AB115" s="11"/>
      <c r="AC115" s="11"/>
    </row>
    <row r="116" spans="1:29" ht="15.75" thickBot="1" x14ac:dyDescent="0.3">
      <c r="A116" s="13">
        <v>45446</v>
      </c>
      <c r="B116" s="87">
        <v>0.41666666666666669</v>
      </c>
      <c r="C116" s="33"/>
      <c r="D116" s="6"/>
      <c r="E116" s="6" t="s">
        <v>60</v>
      </c>
      <c r="F116" s="6">
        <v>20</v>
      </c>
      <c r="G116" s="6">
        <v>67550</v>
      </c>
      <c r="H116" s="6">
        <v>23.5</v>
      </c>
      <c r="I116" s="6">
        <v>21.9</v>
      </c>
      <c r="J116" s="21"/>
      <c r="K116" s="25"/>
      <c r="L116" s="25"/>
      <c r="M116" s="25"/>
      <c r="N116" s="25"/>
      <c r="O116" s="21"/>
      <c r="P116" s="72"/>
      <c r="Q116" s="72"/>
      <c r="R116" s="21"/>
      <c r="S116" s="94">
        <f t="shared" si="18"/>
        <v>23.5</v>
      </c>
      <c r="T116" s="95">
        <f t="shared" si="19"/>
        <v>1131</v>
      </c>
      <c r="U116" s="11">
        <f t="shared" si="15"/>
        <v>0</v>
      </c>
      <c r="V116" s="11">
        <f t="shared" si="16"/>
        <v>0</v>
      </c>
      <c r="W116" s="12">
        <f t="shared" si="17"/>
        <v>1041.3591905564924</v>
      </c>
      <c r="X116" s="12">
        <f>V116/[1]Manure!$I$2</f>
        <v>0</v>
      </c>
      <c r="Y116" s="12">
        <f>W116/[1]Manure!$I$2</f>
        <v>742.66741627369197</v>
      </c>
      <c r="Z116" s="12"/>
      <c r="AA116" s="12"/>
      <c r="AB116" s="11"/>
      <c r="AC116" s="11"/>
    </row>
    <row r="117" spans="1:29" ht="15.75" thickBot="1" x14ac:dyDescent="0.3">
      <c r="A117" s="13">
        <v>45447</v>
      </c>
      <c r="B117" s="87">
        <v>0.41666666666666669</v>
      </c>
      <c r="C117" s="33"/>
      <c r="D117" s="6"/>
      <c r="E117" s="6" t="s">
        <v>60</v>
      </c>
      <c r="F117" s="6">
        <v>20</v>
      </c>
      <c r="G117" s="6">
        <v>68411</v>
      </c>
      <c r="H117" s="6">
        <v>22</v>
      </c>
      <c r="I117" s="6">
        <v>21.9</v>
      </c>
      <c r="J117" s="21"/>
      <c r="K117" s="25"/>
      <c r="L117" s="25"/>
      <c r="M117" s="25"/>
      <c r="N117" s="25"/>
      <c r="O117" s="21"/>
      <c r="P117" s="72"/>
      <c r="Q117" s="72"/>
      <c r="R117" s="21"/>
      <c r="S117" s="94">
        <f t="shared" si="18"/>
        <v>22</v>
      </c>
      <c r="T117" s="95">
        <f t="shared" si="19"/>
        <v>861</v>
      </c>
      <c r="U117" s="11">
        <f t="shared" si="15"/>
        <v>0</v>
      </c>
      <c r="V117" s="11">
        <f t="shared" si="16"/>
        <v>0</v>
      </c>
      <c r="W117" s="12">
        <f t="shared" si="17"/>
        <v>796.78983050847455</v>
      </c>
      <c r="X117" s="12">
        <f>V117/[1]Manure!$I$2</f>
        <v>0</v>
      </c>
      <c r="Y117" s="12">
        <f>W117/[1]Manure!$I$2</f>
        <v>568.24758460205862</v>
      </c>
      <c r="Z117" s="12"/>
      <c r="AA117" s="12"/>
      <c r="AB117" s="11"/>
      <c r="AC117" s="11"/>
    </row>
    <row r="118" spans="1:29" ht="15.75" thickBot="1" x14ac:dyDescent="0.3">
      <c r="A118" s="13">
        <v>45448</v>
      </c>
      <c r="B118" s="87">
        <v>0.41666666666666669</v>
      </c>
      <c r="C118" s="33"/>
      <c r="D118" s="6"/>
      <c r="E118" s="6" t="s">
        <v>60</v>
      </c>
      <c r="F118" s="6">
        <v>20</v>
      </c>
      <c r="G118" s="6">
        <v>69101</v>
      </c>
      <c r="H118" s="6">
        <v>25.3</v>
      </c>
      <c r="I118" s="6">
        <v>20.6</v>
      </c>
      <c r="J118" s="21"/>
      <c r="K118" s="25"/>
      <c r="L118" s="25"/>
      <c r="M118" s="25"/>
      <c r="N118" s="25"/>
      <c r="O118" s="21"/>
      <c r="P118" s="72"/>
      <c r="Q118" s="72"/>
      <c r="R118" s="21"/>
      <c r="S118" s="94">
        <f t="shared" si="18"/>
        <v>25.3</v>
      </c>
      <c r="T118" s="95">
        <f t="shared" si="19"/>
        <v>690</v>
      </c>
      <c r="U118" s="11">
        <f t="shared" si="15"/>
        <v>0</v>
      </c>
      <c r="V118" s="11">
        <f t="shared" si="16"/>
        <v>0</v>
      </c>
      <c r="W118" s="12">
        <f t="shared" si="17"/>
        <v>631.47837747234325</v>
      </c>
      <c r="X118" s="12">
        <f>V118/[1]Manure!$I$2</f>
        <v>0</v>
      </c>
      <c r="Y118" s="12">
        <f>W118/[1]Manure!$I$2</f>
        <v>450.35221207340646</v>
      </c>
      <c r="Z118" s="12"/>
      <c r="AA118" s="12"/>
      <c r="AB118" s="15"/>
      <c r="AC118" s="11"/>
    </row>
    <row r="119" spans="1:29" ht="15.75" thickBot="1" x14ac:dyDescent="0.3">
      <c r="A119" s="13">
        <v>45449</v>
      </c>
      <c r="B119" s="87">
        <v>0.41666666666666669</v>
      </c>
      <c r="C119" s="33"/>
      <c r="D119" s="6"/>
      <c r="E119" s="6" t="s">
        <v>60</v>
      </c>
      <c r="F119" s="6">
        <v>20</v>
      </c>
      <c r="G119" s="6">
        <v>69872</v>
      </c>
      <c r="H119" s="6">
        <v>22.4</v>
      </c>
      <c r="I119" s="6">
        <v>22.5</v>
      </c>
      <c r="J119" s="21"/>
      <c r="K119" s="25"/>
      <c r="L119" s="25"/>
      <c r="M119" s="25"/>
      <c r="N119" s="25"/>
      <c r="O119" s="21"/>
      <c r="P119" s="72"/>
      <c r="Q119" s="72"/>
      <c r="R119" s="21"/>
      <c r="S119" s="94">
        <f t="shared" si="18"/>
        <v>22.4</v>
      </c>
      <c r="T119" s="95">
        <f t="shared" si="19"/>
        <v>771</v>
      </c>
      <c r="U119" s="11">
        <f t="shared" si="15"/>
        <v>0</v>
      </c>
      <c r="V119" s="11">
        <f t="shared" si="16"/>
        <v>0</v>
      </c>
      <c r="W119" s="12">
        <f t="shared" si="17"/>
        <v>712.53554502369673</v>
      </c>
      <c r="X119" s="12">
        <f>V119/[1]Manure!$I$2</f>
        <v>0</v>
      </c>
      <c r="Y119" s="12">
        <f>W119/[1]Manure!$I$2</f>
        <v>508.15985207095417</v>
      </c>
      <c r="Z119" s="12"/>
      <c r="AA119" s="12"/>
      <c r="AB119" s="11"/>
      <c r="AC119" s="11"/>
    </row>
    <row r="120" spans="1:29" ht="15.75" thickBot="1" x14ac:dyDescent="0.3">
      <c r="A120" s="13">
        <v>45450</v>
      </c>
      <c r="B120" s="87">
        <v>0.41666666666666669</v>
      </c>
      <c r="C120" s="33"/>
      <c r="D120" s="6"/>
      <c r="E120" s="6" t="s">
        <v>60</v>
      </c>
      <c r="F120" s="6">
        <v>20</v>
      </c>
      <c r="G120" s="6">
        <v>70446</v>
      </c>
      <c r="H120" s="6">
        <v>19.399999999999999</v>
      </c>
      <c r="I120" s="6">
        <v>22</v>
      </c>
      <c r="J120" s="21"/>
      <c r="K120" s="25"/>
      <c r="L120" s="25"/>
      <c r="M120" s="25"/>
      <c r="N120" s="25"/>
      <c r="O120" s="21"/>
      <c r="P120" s="72"/>
      <c r="Q120" s="72"/>
      <c r="R120" s="21"/>
      <c r="S120" s="94">
        <f t="shared" si="18"/>
        <v>19.399999999999999</v>
      </c>
      <c r="T120" s="95">
        <f t="shared" si="19"/>
        <v>574</v>
      </c>
      <c r="U120" s="11">
        <f t="shared" si="15"/>
        <v>0</v>
      </c>
      <c r="V120" s="11">
        <f t="shared" si="16"/>
        <v>0</v>
      </c>
      <c r="W120" s="12">
        <f t="shared" si="17"/>
        <v>535.91655266757869</v>
      </c>
      <c r="X120" s="12">
        <f>V120/[1]Manure!$I$2</f>
        <v>0</v>
      </c>
      <c r="Y120" s="12">
        <f>W120/[1]Manure!$I$2</f>
        <v>382.20026780120224</v>
      </c>
      <c r="Z120" s="12"/>
      <c r="AA120" s="12"/>
      <c r="AB120" s="11"/>
      <c r="AC120" s="11"/>
    </row>
    <row r="121" spans="1:29" ht="15.75" thickBot="1" x14ac:dyDescent="0.3">
      <c r="A121" s="13">
        <v>45451</v>
      </c>
      <c r="B121" s="87">
        <v>0.41666666666666669</v>
      </c>
      <c r="C121" s="33"/>
      <c r="D121" s="6"/>
      <c r="E121" s="6" t="s">
        <v>60</v>
      </c>
      <c r="F121" s="6">
        <v>20</v>
      </c>
      <c r="G121" s="6">
        <v>71298</v>
      </c>
      <c r="H121" s="6">
        <v>22.8</v>
      </c>
      <c r="I121" s="6">
        <v>20</v>
      </c>
      <c r="J121" s="21"/>
      <c r="K121" s="25"/>
      <c r="L121" s="25"/>
      <c r="M121" s="25"/>
      <c r="N121" s="25"/>
      <c r="O121" s="21"/>
      <c r="P121" s="72"/>
      <c r="Q121" s="72"/>
      <c r="R121" s="21"/>
      <c r="S121" s="94">
        <f t="shared" si="18"/>
        <v>22.8</v>
      </c>
      <c r="T121" s="95">
        <f t="shared" si="19"/>
        <v>852</v>
      </c>
      <c r="U121" s="11">
        <f t="shared" si="15"/>
        <v>0</v>
      </c>
      <c r="V121" s="11">
        <f t="shared" si="16"/>
        <v>0</v>
      </c>
      <c r="W121" s="12">
        <f t="shared" si="17"/>
        <v>786.32860040567948</v>
      </c>
      <c r="X121" s="12">
        <f>V121/[1]Manure!$I$2</f>
        <v>0</v>
      </c>
      <c r="Y121" s="12">
        <f>W121/[1]Manure!$I$2</f>
        <v>560.78693624754078</v>
      </c>
      <c r="Z121" s="12"/>
      <c r="AA121" s="12"/>
      <c r="AB121" s="11"/>
      <c r="AC121" s="11"/>
    </row>
    <row r="122" spans="1:29" ht="15.75" thickBot="1" x14ac:dyDescent="0.3">
      <c r="A122" s="13">
        <v>45453</v>
      </c>
      <c r="B122" s="87">
        <v>0.41666666666666669</v>
      </c>
      <c r="C122" s="33"/>
      <c r="D122" s="6"/>
      <c r="E122" s="6" t="s">
        <v>60</v>
      </c>
      <c r="F122" s="6">
        <v>20</v>
      </c>
      <c r="G122" s="6">
        <v>72186</v>
      </c>
      <c r="H122" s="6">
        <v>19.399999999999999</v>
      </c>
      <c r="I122" s="6">
        <v>20.5</v>
      </c>
      <c r="J122" s="21"/>
      <c r="K122" s="25"/>
      <c r="L122" s="25"/>
      <c r="M122" s="25"/>
      <c r="N122" s="25"/>
      <c r="O122" s="21"/>
      <c r="P122" s="72"/>
      <c r="Q122" s="72"/>
      <c r="R122" s="21"/>
      <c r="S122" s="94">
        <f t="shared" si="18"/>
        <v>19.399999999999999</v>
      </c>
      <c r="T122" s="95">
        <f t="shared" si="19"/>
        <v>888</v>
      </c>
      <c r="U122" s="11">
        <f t="shared" si="15"/>
        <v>0</v>
      </c>
      <c r="V122" s="11">
        <f t="shared" si="16"/>
        <v>0</v>
      </c>
      <c r="W122" s="12">
        <f t="shared" si="17"/>
        <v>829.08344733242143</v>
      </c>
      <c r="X122" s="12">
        <f>V122/[1]Manure!$I$2</f>
        <v>0</v>
      </c>
      <c r="Y122" s="12">
        <f>W122/[1]Manure!$I$2</f>
        <v>591.27846307921186</v>
      </c>
      <c r="Z122" s="12"/>
      <c r="AA122" s="12"/>
      <c r="AB122" s="11"/>
      <c r="AC122" s="11"/>
    </row>
    <row r="123" spans="1:29" ht="15.75" thickBot="1" x14ac:dyDescent="0.3">
      <c r="A123" s="13">
        <v>45454</v>
      </c>
      <c r="B123" s="87">
        <v>0.41666666666666669</v>
      </c>
      <c r="C123" s="6"/>
      <c r="D123" s="6"/>
      <c r="E123" s="6" t="s">
        <v>60</v>
      </c>
      <c r="F123" s="6">
        <v>20</v>
      </c>
      <c r="G123" s="6">
        <v>73054</v>
      </c>
      <c r="H123" s="6">
        <v>22.1</v>
      </c>
      <c r="I123" s="6">
        <v>21</v>
      </c>
      <c r="J123" s="21"/>
      <c r="K123" s="25"/>
      <c r="L123" s="25"/>
      <c r="M123" s="25"/>
      <c r="N123" s="25"/>
      <c r="O123" s="21"/>
      <c r="P123" s="72"/>
      <c r="Q123" s="72"/>
      <c r="R123" s="21"/>
      <c r="S123" s="94">
        <f t="shared" si="18"/>
        <v>22.1</v>
      </c>
      <c r="T123" s="95">
        <f t="shared" si="19"/>
        <v>868</v>
      </c>
      <c r="U123" s="11">
        <f t="shared" si="15"/>
        <v>0</v>
      </c>
      <c r="V123" s="11">
        <f t="shared" si="16"/>
        <v>0</v>
      </c>
      <c r="W123" s="12">
        <f t="shared" si="17"/>
        <v>802.99559471365637</v>
      </c>
      <c r="X123" s="12">
        <f>V123/[1]Manure!$I$2</f>
        <v>0</v>
      </c>
      <c r="Y123" s="12">
        <f>W123/[1]Manure!$I$2</f>
        <v>572.67335710213445</v>
      </c>
      <c r="Z123" s="12"/>
      <c r="AA123" s="12"/>
      <c r="AB123" s="11"/>
      <c r="AC123" s="11"/>
    </row>
    <row r="124" spans="1:29" ht="15.75" thickBot="1" x14ac:dyDescent="0.3">
      <c r="A124" s="13">
        <v>45455</v>
      </c>
      <c r="B124" s="87">
        <v>0.41666666666666669</v>
      </c>
      <c r="C124" s="33"/>
      <c r="D124" s="6"/>
      <c r="E124" s="6" t="s">
        <v>60</v>
      </c>
      <c r="F124" s="6">
        <v>20</v>
      </c>
      <c r="G124" s="6">
        <v>73637</v>
      </c>
      <c r="H124" s="6">
        <v>23.1</v>
      </c>
      <c r="I124" s="6">
        <v>19.899999999999999</v>
      </c>
      <c r="J124" s="21"/>
      <c r="K124" s="26"/>
      <c r="L124" s="26"/>
      <c r="M124" s="26"/>
      <c r="N124" s="25"/>
      <c r="O124" s="21"/>
      <c r="P124" s="72"/>
      <c r="Q124" s="72"/>
      <c r="R124" s="21"/>
      <c r="S124" s="94">
        <f t="shared" si="18"/>
        <v>23.1</v>
      </c>
      <c r="T124" s="95">
        <f t="shared" si="19"/>
        <v>583</v>
      </c>
      <c r="U124" s="11">
        <f t="shared" si="15"/>
        <v>0</v>
      </c>
      <c r="V124" s="11">
        <f t="shared" si="16"/>
        <v>0</v>
      </c>
      <c r="W124" s="12">
        <f t="shared" si="17"/>
        <v>537.51773049645385</v>
      </c>
      <c r="X124" s="12">
        <f>V124/[1]Manure!$I$2</f>
        <v>0</v>
      </c>
      <c r="Y124" s="12">
        <f>W124/[1]Manure!$I$2</f>
        <v>383.34218176513434</v>
      </c>
      <c r="Z124" s="12"/>
      <c r="AA124" s="12"/>
      <c r="AB124" s="11"/>
      <c r="AC124" s="11"/>
    </row>
    <row r="125" spans="1:29" ht="15.75" thickBot="1" x14ac:dyDescent="0.3">
      <c r="A125" s="13">
        <v>45456</v>
      </c>
      <c r="B125" s="87">
        <v>0.41666666666666669</v>
      </c>
      <c r="C125" s="33"/>
      <c r="D125" s="6"/>
      <c r="E125" s="6" t="s">
        <v>60</v>
      </c>
      <c r="F125" s="6">
        <v>20</v>
      </c>
      <c r="G125" s="6">
        <v>74189</v>
      </c>
      <c r="H125" s="6">
        <v>23.2</v>
      </c>
      <c r="I125" s="6">
        <v>24.5</v>
      </c>
      <c r="J125" s="21"/>
      <c r="K125" s="26"/>
      <c r="L125" s="26"/>
      <c r="M125" s="26"/>
      <c r="N125" s="25"/>
      <c r="O125" s="21"/>
      <c r="P125" s="72"/>
      <c r="Q125" s="72"/>
      <c r="R125" s="21"/>
      <c r="S125" s="94">
        <f t="shared" si="18"/>
        <v>23.2</v>
      </c>
      <c r="T125" s="95">
        <f t="shared" si="19"/>
        <v>552</v>
      </c>
      <c r="U125" s="11">
        <f t="shared" si="15"/>
        <v>0</v>
      </c>
      <c r="V125" s="11">
        <f t="shared" si="16"/>
        <v>0</v>
      </c>
      <c r="W125" s="12">
        <f t="shared" si="17"/>
        <v>508.7643484132343</v>
      </c>
      <c r="X125" s="12">
        <f>V125/[1]Manure!$I$2</f>
        <v>0</v>
      </c>
      <c r="Y125" s="12">
        <f>W125/[1]Manure!$I$2</f>
        <v>362.836096857521</v>
      </c>
      <c r="Z125" s="12"/>
      <c r="AA125" s="12"/>
      <c r="AB125" s="11"/>
      <c r="AC125" s="11"/>
    </row>
    <row r="126" spans="1:29" ht="15.75" thickBot="1" x14ac:dyDescent="0.3">
      <c r="A126" s="13">
        <v>45457</v>
      </c>
      <c r="B126" s="87">
        <v>0.41666666666666669</v>
      </c>
      <c r="C126" s="70"/>
      <c r="D126" s="6"/>
      <c r="E126" s="6" t="s">
        <v>60</v>
      </c>
      <c r="F126" s="6">
        <v>20</v>
      </c>
      <c r="G126" s="6">
        <v>74927</v>
      </c>
      <c r="H126" s="6">
        <v>23.2</v>
      </c>
      <c r="I126" s="6">
        <v>22.3</v>
      </c>
      <c r="J126" s="21"/>
      <c r="K126" s="26"/>
      <c r="L126" s="26"/>
      <c r="M126" s="26"/>
      <c r="N126" s="25"/>
      <c r="O126" s="21"/>
      <c r="P126" s="72"/>
      <c r="Q126" s="72"/>
      <c r="R126" s="21"/>
      <c r="S126" s="94">
        <f t="shared" si="18"/>
        <v>23.2</v>
      </c>
      <c r="T126" s="95">
        <f t="shared" si="19"/>
        <v>738</v>
      </c>
      <c r="U126" s="11">
        <f t="shared" si="15"/>
        <v>0</v>
      </c>
      <c r="V126" s="11">
        <f t="shared" si="16"/>
        <v>0</v>
      </c>
      <c r="W126" s="12">
        <f t="shared" si="17"/>
        <v>680.1958136394328</v>
      </c>
      <c r="X126" s="12">
        <f>V126/[1]Manure!$I$2</f>
        <v>0</v>
      </c>
      <c r="Y126" s="12">
        <f>W126/[1]Manure!$I$2</f>
        <v>485.0960860160335</v>
      </c>
      <c r="Z126" s="12"/>
      <c r="AA126" s="12"/>
      <c r="AB126" s="11"/>
      <c r="AC126" s="11"/>
    </row>
    <row r="127" spans="1:29" ht="15.75" thickBot="1" x14ac:dyDescent="0.3">
      <c r="A127" s="13">
        <v>45458</v>
      </c>
      <c r="B127" s="87">
        <v>0.41666666666666669</v>
      </c>
      <c r="C127" s="70"/>
      <c r="D127" s="6"/>
      <c r="E127" s="6" t="s">
        <v>60</v>
      </c>
      <c r="F127" s="6">
        <v>20</v>
      </c>
      <c r="G127" s="6">
        <v>75123</v>
      </c>
      <c r="H127" s="6">
        <v>23.1</v>
      </c>
      <c r="I127" s="6">
        <v>22.8</v>
      </c>
      <c r="J127" s="21"/>
      <c r="K127" s="26"/>
      <c r="L127" s="26"/>
      <c r="M127" s="26"/>
      <c r="N127" s="25"/>
      <c r="O127" s="21"/>
      <c r="P127" s="72"/>
      <c r="Q127" s="72"/>
      <c r="R127" s="21"/>
      <c r="S127" s="94">
        <f t="shared" si="18"/>
        <v>23.1</v>
      </c>
      <c r="T127" s="95">
        <f t="shared" si="19"/>
        <v>196</v>
      </c>
      <c r="U127" s="11">
        <f t="shared" si="15"/>
        <v>0</v>
      </c>
      <c r="V127" s="11">
        <f t="shared" si="16"/>
        <v>0</v>
      </c>
      <c r="W127" s="12">
        <f t="shared" si="17"/>
        <v>180.70921985815602</v>
      </c>
      <c r="X127" s="12">
        <f>V127/[1]Manure!$I$2</f>
        <v>0</v>
      </c>
      <c r="Y127" s="12">
        <f>W127/[1]Manure!$I$2</f>
        <v>128.87661685414466</v>
      </c>
      <c r="Z127" s="12"/>
      <c r="AA127" s="12"/>
      <c r="AB127" s="11"/>
      <c r="AC127" s="11"/>
    </row>
    <row r="128" spans="1:29" ht="15.75" thickBot="1" x14ac:dyDescent="0.3">
      <c r="A128" s="13">
        <v>45460</v>
      </c>
      <c r="B128" s="87">
        <v>0.41666666666666669</v>
      </c>
      <c r="C128" s="70"/>
      <c r="D128" s="6"/>
      <c r="E128" s="6" t="s">
        <v>60</v>
      </c>
      <c r="F128" s="6">
        <v>20</v>
      </c>
      <c r="G128" s="6">
        <v>76194</v>
      </c>
      <c r="H128" s="6">
        <v>27</v>
      </c>
      <c r="I128" s="6">
        <v>21.3</v>
      </c>
      <c r="J128" s="21"/>
      <c r="K128" s="26"/>
      <c r="L128" s="26"/>
      <c r="M128" s="26"/>
      <c r="N128" s="25"/>
      <c r="O128" s="21"/>
      <c r="P128" s="72"/>
      <c r="Q128" s="72"/>
      <c r="R128" s="21"/>
      <c r="S128" s="94">
        <f t="shared" si="18"/>
        <v>27</v>
      </c>
      <c r="T128" s="95">
        <f t="shared" si="19"/>
        <v>1071</v>
      </c>
      <c r="U128" s="11">
        <f t="shared" si="15"/>
        <v>0</v>
      </c>
      <c r="V128" s="11">
        <f t="shared" si="16"/>
        <v>0</v>
      </c>
      <c r="W128" s="12">
        <f t="shared" si="17"/>
        <v>974.61</v>
      </c>
      <c r="X128" s="12">
        <f>V128/[1]Manure!$I$2</f>
        <v>0</v>
      </c>
      <c r="Y128" s="12">
        <f>W128/[1]Manure!$I$2</f>
        <v>695.06381384861572</v>
      </c>
      <c r="Z128" s="12"/>
      <c r="AA128" s="12"/>
      <c r="AB128" s="11"/>
      <c r="AC128" s="11"/>
    </row>
    <row r="129" spans="1:29" ht="15.75" thickBot="1" x14ac:dyDescent="0.3">
      <c r="A129" s="13">
        <v>45461</v>
      </c>
      <c r="B129" s="87">
        <v>0.41666666666666669</v>
      </c>
      <c r="C129" s="70"/>
      <c r="D129" s="6"/>
      <c r="E129" s="6" t="s">
        <v>60</v>
      </c>
      <c r="F129" s="6">
        <v>20</v>
      </c>
      <c r="G129" s="6">
        <v>76981</v>
      </c>
      <c r="H129" s="6">
        <v>24</v>
      </c>
      <c r="I129" s="6">
        <v>22</v>
      </c>
      <c r="J129" s="21"/>
      <c r="K129" s="26"/>
      <c r="L129" s="26"/>
      <c r="M129" s="26"/>
      <c r="N129" s="25"/>
      <c r="O129" s="21"/>
      <c r="P129" s="72"/>
      <c r="Q129" s="72"/>
      <c r="R129" s="21"/>
      <c r="S129" s="94">
        <f t="shared" si="18"/>
        <v>24</v>
      </c>
      <c r="T129" s="95">
        <f t="shared" si="19"/>
        <v>787</v>
      </c>
      <c r="U129" s="11">
        <f t="shared" si="15"/>
        <v>0</v>
      </c>
      <c r="V129" s="11">
        <f t="shared" si="16"/>
        <v>0</v>
      </c>
      <c r="W129" s="12">
        <f t="shared" si="17"/>
        <v>723.40404040404042</v>
      </c>
      <c r="X129" s="12">
        <f>V129/[1]Manure!$I$2</f>
        <v>0</v>
      </c>
      <c r="Y129" s="12">
        <f>W129/[1]Manure!$I$2</f>
        <v>515.91095030497365</v>
      </c>
      <c r="Z129" s="12"/>
      <c r="AA129" s="12"/>
      <c r="AB129" s="11"/>
      <c r="AC129" s="11"/>
    </row>
    <row r="130" spans="1:29" ht="15.75" thickBot="1" x14ac:dyDescent="0.3">
      <c r="A130" s="13">
        <v>45462</v>
      </c>
      <c r="B130" s="87">
        <v>0.41666666666666669</v>
      </c>
      <c r="C130" s="70"/>
      <c r="D130" s="6"/>
      <c r="E130" s="6" t="s">
        <v>60</v>
      </c>
      <c r="F130" s="6">
        <v>20</v>
      </c>
      <c r="G130" s="6">
        <v>77708</v>
      </c>
      <c r="H130" s="6">
        <v>22.6</v>
      </c>
      <c r="I130" s="6">
        <v>20</v>
      </c>
      <c r="J130" s="21"/>
      <c r="K130" s="25"/>
      <c r="L130" s="25"/>
      <c r="M130" s="25"/>
      <c r="N130" s="25"/>
      <c r="O130" s="21"/>
      <c r="P130" s="72"/>
      <c r="Q130" s="72"/>
      <c r="R130" s="21"/>
      <c r="S130" s="94">
        <f t="shared" si="18"/>
        <v>22.6</v>
      </c>
      <c r="T130" s="95">
        <f t="shared" si="19"/>
        <v>727</v>
      </c>
      <c r="U130" s="11">
        <f t="shared" si="15"/>
        <v>0</v>
      </c>
      <c r="V130" s="11">
        <f t="shared" si="16"/>
        <v>0</v>
      </c>
      <c r="W130" s="12">
        <f t="shared" si="17"/>
        <v>671.41745602165088</v>
      </c>
      <c r="X130" s="12">
        <f>V130/[1]Manure!$I$2</f>
        <v>0</v>
      </c>
      <c r="Y130" s="12">
        <f>W130/[1]Manure!$I$2</f>
        <v>478.83561390396551</v>
      </c>
      <c r="Z130" s="12"/>
      <c r="AA130" s="12"/>
      <c r="AB130" s="11"/>
      <c r="AC130" s="11"/>
    </row>
    <row r="131" spans="1:29" ht="15.75" thickBot="1" x14ac:dyDescent="0.3">
      <c r="A131" s="13">
        <v>45463</v>
      </c>
      <c r="B131" s="87">
        <v>0.41666666666666669</v>
      </c>
      <c r="C131" s="70"/>
      <c r="D131" s="6"/>
      <c r="E131" s="6" t="s">
        <v>60</v>
      </c>
      <c r="F131" s="6">
        <v>20</v>
      </c>
      <c r="G131" s="6">
        <v>78396</v>
      </c>
      <c r="H131" s="6">
        <v>23.5</v>
      </c>
      <c r="I131" s="6">
        <v>22</v>
      </c>
      <c r="J131" s="21"/>
      <c r="K131" s="25"/>
      <c r="L131" s="25"/>
      <c r="M131" s="25"/>
      <c r="N131" s="25"/>
      <c r="O131" s="21"/>
      <c r="P131" s="72"/>
      <c r="Q131" s="72"/>
      <c r="R131" s="21"/>
      <c r="S131" s="94">
        <f t="shared" si="18"/>
        <v>23.5</v>
      </c>
      <c r="T131" s="95">
        <f t="shared" si="19"/>
        <v>688</v>
      </c>
      <c r="U131" s="11">
        <f t="shared" si="15"/>
        <v>0</v>
      </c>
      <c r="V131" s="11">
        <f t="shared" si="16"/>
        <v>0</v>
      </c>
      <c r="W131" s="12">
        <f t="shared" si="17"/>
        <v>633.47048903878579</v>
      </c>
      <c r="X131" s="12">
        <f>V131/[1]Manure!$I$2</f>
        <v>0</v>
      </c>
      <c r="Y131" s="12">
        <f>W131/[1]Manure!$I$2</f>
        <v>451.77292873236075</v>
      </c>
      <c r="Z131" s="12"/>
      <c r="AA131" s="12"/>
      <c r="AB131" s="11"/>
      <c r="AC131" s="11"/>
    </row>
    <row r="132" spans="1:29" ht="15.75" thickBot="1" x14ac:dyDescent="0.3">
      <c r="A132" s="13">
        <v>45464</v>
      </c>
      <c r="B132" s="87">
        <v>0.41666666666666669</v>
      </c>
      <c r="C132" s="70"/>
      <c r="D132" s="6"/>
      <c r="E132" s="6" t="s">
        <v>60</v>
      </c>
      <c r="F132" s="6">
        <v>20</v>
      </c>
      <c r="G132" s="6">
        <v>78841</v>
      </c>
      <c r="H132" s="6">
        <v>21</v>
      </c>
      <c r="I132" s="6">
        <v>22.4</v>
      </c>
      <c r="J132" s="21"/>
      <c r="K132" s="25"/>
      <c r="L132" s="25"/>
      <c r="M132" s="25"/>
      <c r="N132" s="25"/>
      <c r="O132" s="21"/>
      <c r="P132" s="72"/>
      <c r="Q132" s="72"/>
      <c r="R132" s="21"/>
      <c r="S132" s="94">
        <f t="shared" ref="S132:S195" si="23">H132</f>
        <v>21</v>
      </c>
      <c r="T132" s="95">
        <f t="shared" ref="T132:T195" si="24">G132-G131</f>
        <v>445</v>
      </c>
      <c r="U132" s="11">
        <f t="shared" si="15"/>
        <v>0</v>
      </c>
      <c r="V132" s="11">
        <f t="shared" si="16"/>
        <v>0</v>
      </c>
      <c r="W132" s="12">
        <f t="shared" si="17"/>
        <v>413.21428571428572</v>
      </c>
      <c r="X132" s="12">
        <f>V132/[1]Manure!$I$2</f>
        <v>0</v>
      </c>
      <c r="Y132" s="12">
        <f>W132/[1]Manure!$I$2</f>
        <v>294.69254098080563</v>
      </c>
      <c r="Z132" s="12"/>
      <c r="AA132" s="12"/>
      <c r="AB132" s="11"/>
      <c r="AC132" s="11"/>
    </row>
    <row r="133" spans="1:29" ht="15.75" thickBot="1" x14ac:dyDescent="0.3">
      <c r="A133" s="13">
        <v>45465</v>
      </c>
      <c r="B133" s="87">
        <v>0.41666666666666669</v>
      </c>
      <c r="C133" s="70"/>
      <c r="D133" s="6"/>
      <c r="E133" s="6" t="s">
        <v>60</v>
      </c>
      <c r="F133" s="6">
        <v>20</v>
      </c>
      <c r="G133" s="6">
        <v>79405</v>
      </c>
      <c r="H133" s="6">
        <v>18.3</v>
      </c>
      <c r="I133" s="6">
        <v>20</v>
      </c>
      <c r="J133" s="21"/>
      <c r="K133" s="25"/>
      <c r="L133" s="25"/>
      <c r="M133" s="25"/>
      <c r="N133" s="25"/>
      <c r="O133" s="21"/>
      <c r="P133" s="72"/>
      <c r="Q133" s="72"/>
      <c r="R133" s="21"/>
      <c r="S133" s="94">
        <f t="shared" si="23"/>
        <v>18.3</v>
      </c>
      <c r="T133" s="95">
        <f t="shared" si="24"/>
        <v>564</v>
      </c>
      <c r="U133" s="11">
        <f t="shared" ref="U133:U196" si="25">T133*(P133/100)</f>
        <v>0</v>
      </c>
      <c r="V133" s="11">
        <f t="shared" ref="V133:V196" si="26">U133*(273/(273+S133))</f>
        <v>0</v>
      </c>
      <c r="W133" s="12">
        <f t="shared" ref="W133:W196" si="27">T133*(273/(273+S133))</f>
        <v>528.56848609680742</v>
      </c>
      <c r="X133" s="12">
        <f>V133/[1]Manure!$I$2</f>
        <v>0</v>
      </c>
      <c r="Y133" s="12">
        <f>W133/[1]Manure!$I$2</f>
        <v>376.95983811641162</v>
      </c>
      <c r="Z133" s="12"/>
      <c r="AA133" s="12"/>
      <c r="AB133" s="11"/>
      <c r="AC133" s="11"/>
    </row>
    <row r="134" spans="1:29" ht="15.75" thickBot="1" x14ac:dyDescent="0.3">
      <c r="A134" s="13">
        <v>45467</v>
      </c>
      <c r="B134" s="87">
        <v>0.41666666666666669</v>
      </c>
      <c r="C134" s="70"/>
      <c r="D134" s="6"/>
      <c r="E134" s="6" t="s">
        <v>60</v>
      </c>
      <c r="F134" s="6">
        <v>20</v>
      </c>
      <c r="G134" s="6">
        <v>80493</v>
      </c>
      <c r="H134" s="6">
        <v>19.5</v>
      </c>
      <c r="I134" s="6">
        <v>20.9</v>
      </c>
      <c r="J134" s="21"/>
      <c r="K134" s="25"/>
      <c r="L134" s="25"/>
      <c r="M134" s="25"/>
      <c r="N134" s="25"/>
      <c r="O134" s="21"/>
      <c r="P134" s="72"/>
      <c r="Q134" s="72"/>
      <c r="R134" s="21"/>
      <c r="S134" s="94">
        <f t="shared" si="23"/>
        <v>19.5</v>
      </c>
      <c r="T134" s="95">
        <f t="shared" si="24"/>
        <v>1088</v>
      </c>
      <c r="U134" s="11">
        <f t="shared" si="25"/>
        <v>0</v>
      </c>
      <c r="V134" s="11">
        <f t="shared" si="26"/>
        <v>0</v>
      </c>
      <c r="W134" s="12">
        <f t="shared" si="27"/>
        <v>1015.4666666666667</v>
      </c>
      <c r="X134" s="12">
        <f>V134/[1]Manure!$I$2</f>
        <v>0</v>
      </c>
      <c r="Y134" s="12">
        <f>W134/[1]Manure!$I$2</f>
        <v>724.20161312676282</v>
      </c>
      <c r="Z134" s="12"/>
      <c r="AA134" s="12"/>
      <c r="AB134" s="11"/>
      <c r="AC134" s="11"/>
    </row>
    <row r="135" spans="1:29" ht="15.75" thickBot="1" x14ac:dyDescent="0.3">
      <c r="A135" s="13">
        <v>45468</v>
      </c>
      <c r="B135" s="87">
        <v>0.41666666666666669</v>
      </c>
      <c r="C135" s="71"/>
      <c r="D135" s="6"/>
      <c r="E135" s="6" t="s">
        <v>60</v>
      </c>
      <c r="F135" s="6">
        <v>20</v>
      </c>
      <c r="G135" s="6">
        <v>80931</v>
      </c>
      <c r="H135" s="6">
        <v>19.899999999999999</v>
      </c>
      <c r="I135" s="6">
        <v>20.100000000000001</v>
      </c>
      <c r="J135" s="21"/>
      <c r="K135" s="25"/>
      <c r="L135" s="25"/>
      <c r="M135" s="25"/>
      <c r="N135" s="25"/>
      <c r="O135" s="21"/>
      <c r="P135" s="72"/>
      <c r="Q135" s="72"/>
      <c r="R135" s="21"/>
      <c r="S135" s="94">
        <f t="shared" si="23"/>
        <v>19.899999999999999</v>
      </c>
      <c r="T135" s="95">
        <f t="shared" si="24"/>
        <v>438</v>
      </c>
      <c r="U135" s="11">
        <f t="shared" si="25"/>
        <v>0</v>
      </c>
      <c r="V135" s="11">
        <f t="shared" si="26"/>
        <v>0</v>
      </c>
      <c r="W135" s="12">
        <f t="shared" si="27"/>
        <v>408.24172072379656</v>
      </c>
      <c r="X135" s="12">
        <f>V135/[1]Manure!$I$2</f>
        <v>0</v>
      </c>
      <c r="Y135" s="12">
        <f>W135/[1]Manure!$I$2</f>
        <v>291.14625068325125</v>
      </c>
      <c r="Z135" s="12"/>
      <c r="AA135" s="12"/>
      <c r="AB135" s="11"/>
      <c r="AC135" s="11"/>
    </row>
    <row r="136" spans="1:29" ht="15.75" thickBot="1" x14ac:dyDescent="0.3">
      <c r="A136" s="13">
        <v>45469</v>
      </c>
      <c r="B136" s="87">
        <v>0.41666666666666669</v>
      </c>
      <c r="C136" s="70"/>
      <c r="D136" s="6"/>
      <c r="E136" s="6" t="s">
        <v>60</v>
      </c>
      <c r="F136" s="6">
        <v>20</v>
      </c>
      <c r="G136" s="6">
        <v>81508</v>
      </c>
      <c r="H136" s="6">
        <v>18.399999999999999</v>
      </c>
      <c r="I136" s="6">
        <v>20.8</v>
      </c>
      <c r="J136" s="21"/>
      <c r="K136" s="25"/>
      <c r="L136" s="25"/>
      <c r="M136" s="25"/>
      <c r="N136" s="25"/>
      <c r="O136" s="21"/>
      <c r="P136" s="72"/>
      <c r="Q136" s="72"/>
      <c r="R136" s="21"/>
      <c r="S136" s="94">
        <f t="shared" si="23"/>
        <v>18.399999999999999</v>
      </c>
      <c r="T136" s="95">
        <f t="shared" si="24"/>
        <v>577</v>
      </c>
      <c r="U136" s="11">
        <f t="shared" si="25"/>
        <v>0</v>
      </c>
      <c r="V136" s="11">
        <f t="shared" si="26"/>
        <v>0</v>
      </c>
      <c r="W136" s="12">
        <f t="shared" si="27"/>
        <v>540.56623198352781</v>
      </c>
      <c r="X136" s="12">
        <f>V136/[1]Manure!$I$2</f>
        <v>0</v>
      </c>
      <c r="Y136" s="12">
        <f>W136/[1]Manure!$I$2</f>
        <v>385.51628532463894</v>
      </c>
      <c r="Z136" s="12"/>
      <c r="AA136" s="12"/>
      <c r="AB136" s="11"/>
      <c r="AC136" s="11"/>
    </row>
    <row r="137" spans="1:29" ht="15.75" thickBot="1" x14ac:dyDescent="0.3">
      <c r="A137" s="13">
        <v>45470</v>
      </c>
      <c r="B137" s="87">
        <v>0.41666666666666669</v>
      </c>
      <c r="C137" s="70"/>
      <c r="D137" s="6"/>
      <c r="E137" s="6" t="s">
        <v>60</v>
      </c>
      <c r="F137" s="6">
        <v>20</v>
      </c>
      <c r="G137" s="6">
        <v>82108</v>
      </c>
      <c r="H137" s="6">
        <v>21.6</v>
      </c>
      <c r="I137" s="6">
        <v>21.2</v>
      </c>
      <c r="J137" s="21"/>
      <c r="K137" s="25"/>
      <c r="L137" s="25"/>
      <c r="M137" s="25"/>
      <c r="N137" s="25"/>
      <c r="O137" s="21"/>
      <c r="P137" s="72"/>
      <c r="Q137" s="72"/>
      <c r="R137" s="21"/>
      <c r="S137" s="94">
        <f t="shared" si="23"/>
        <v>21.6</v>
      </c>
      <c r="T137" s="95">
        <f t="shared" si="24"/>
        <v>600</v>
      </c>
      <c r="U137" s="11">
        <f t="shared" si="25"/>
        <v>0</v>
      </c>
      <c r="V137" s="11">
        <f t="shared" si="26"/>
        <v>0</v>
      </c>
      <c r="W137" s="12">
        <f t="shared" si="27"/>
        <v>556.00814663951121</v>
      </c>
      <c r="X137" s="12">
        <f>V137/[1]Manure!$I$2</f>
        <v>0</v>
      </c>
      <c r="Y137" s="12">
        <f>W137/[1]Manure!$I$2</f>
        <v>396.52901461523999</v>
      </c>
      <c r="Z137" s="12"/>
      <c r="AA137" s="12"/>
      <c r="AB137" s="11"/>
      <c r="AC137" s="11"/>
    </row>
    <row r="138" spans="1:29" ht="15.75" thickBot="1" x14ac:dyDescent="0.3">
      <c r="A138" s="13">
        <v>45471</v>
      </c>
      <c r="B138" s="87">
        <v>0.41666666666666669</v>
      </c>
      <c r="C138" s="70"/>
      <c r="D138" s="6"/>
      <c r="E138" s="6" t="s">
        <v>60</v>
      </c>
      <c r="F138" s="6">
        <v>20</v>
      </c>
      <c r="G138" s="6">
        <v>82663</v>
      </c>
      <c r="H138" s="6">
        <v>22.8</v>
      </c>
      <c r="I138" s="81">
        <v>26.8</v>
      </c>
      <c r="J138" s="21"/>
      <c r="K138" s="25"/>
      <c r="L138" s="25"/>
      <c r="M138" s="25"/>
      <c r="N138" s="25"/>
      <c r="O138" s="21"/>
      <c r="P138" s="72"/>
      <c r="Q138" s="72"/>
      <c r="R138" s="21"/>
      <c r="S138" s="94">
        <f t="shared" si="23"/>
        <v>22.8</v>
      </c>
      <c r="T138" s="95">
        <f t="shared" si="24"/>
        <v>555</v>
      </c>
      <c r="U138" s="11">
        <f t="shared" si="25"/>
        <v>0</v>
      </c>
      <c r="V138" s="11">
        <f t="shared" si="26"/>
        <v>0</v>
      </c>
      <c r="W138" s="12">
        <f t="shared" si="27"/>
        <v>512.22109533468551</v>
      </c>
      <c r="X138" s="12">
        <f>V138/[1]Manure!$I$2</f>
        <v>0</v>
      </c>
      <c r="Y138" s="12">
        <f>W138/[1]Manure!$I$2</f>
        <v>365.30134931617965</v>
      </c>
      <c r="Z138" s="12"/>
      <c r="AA138" s="12"/>
      <c r="AB138" s="11"/>
      <c r="AC138" s="11"/>
    </row>
    <row r="139" spans="1:29" ht="15.75" thickBot="1" x14ac:dyDescent="0.3">
      <c r="A139" s="13">
        <v>45472</v>
      </c>
      <c r="B139" s="87">
        <v>0.41666666666666669</v>
      </c>
      <c r="C139" s="70"/>
      <c r="D139" s="6"/>
      <c r="E139" s="6" t="s">
        <v>60</v>
      </c>
      <c r="F139" s="6">
        <v>20</v>
      </c>
      <c r="G139" s="6">
        <v>83132</v>
      </c>
      <c r="H139" s="6">
        <v>16.600000000000001</v>
      </c>
      <c r="I139" s="6">
        <v>21.3</v>
      </c>
      <c r="J139" s="21"/>
      <c r="K139" s="25"/>
      <c r="L139" s="25"/>
      <c r="M139" s="25"/>
      <c r="N139" s="25"/>
      <c r="O139" s="21"/>
      <c r="P139" s="72"/>
      <c r="Q139" s="72"/>
      <c r="R139" s="21"/>
      <c r="S139" s="94">
        <f t="shared" si="23"/>
        <v>16.600000000000001</v>
      </c>
      <c r="T139" s="95">
        <f t="shared" si="24"/>
        <v>469</v>
      </c>
      <c r="U139" s="11">
        <f t="shared" si="25"/>
        <v>0</v>
      </c>
      <c r="V139" s="11">
        <f t="shared" si="26"/>
        <v>0</v>
      </c>
      <c r="W139" s="12">
        <f t="shared" si="27"/>
        <v>442.11671270718227</v>
      </c>
      <c r="X139" s="12">
        <f>V139/[1]Manure!$I$2</f>
        <v>0</v>
      </c>
      <c r="Y139" s="12">
        <f>W139/[1]Manure!$I$2</f>
        <v>315.30492043018933</v>
      </c>
      <c r="Z139" s="12"/>
      <c r="AA139" s="12"/>
      <c r="AB139" s="11"/>
      <c r="AC139" s="11"/>
    </row>
    <row r="140" spans="1:29" ht="15.75" thickBot="1" x14ac:dyDescent="0.3">
      <c r="A140" s="13">
        <v>45474</v>
      </c>
      <c r="B140" s="87">
        <v>0.41666666666666669</v>
      </c>
      <c r="C140" s="70"/>
      <c r="D140" s="6"/>
      <c r="E140" s="6" t="s">
        <v>60</v>
      </c>
      <c r="F140" s="6">
        <v>20</v>
      </c>
      <c r="G140" s="6">
        <v>83932</v>
      </c>
      <c r="H140" s="6">
        <v>22.6</v>
      </c>
      <c r="I140" s="6">
        <v>21.9</v>
      </c>
      <c r="J140" s="21"/>
      <c r="K140" s="25"/>
      <c r="L140" s="25"/>
      <c r="M140" s="25"/>
      <c r="N140" s="25"/>
      <c r="O140" s="21"/>
      <c r="P140" s="72"/>
      <c r="Q140" s="72"/>
      <c r="R140" s="21"/>
      <c r="S140" s="94">
        <f t="shared" si="23"/>
        <v>22.6</v>
      </c>
      <c r="T140" s="95">
        <f t="shared" si="24"/>
        <v>800</v>
      </c>
      <c r="U140" s="11">
        <f t="shared" si="25"/>
        <v>0</v>
      </c>
      <c r="V140" s="11">
        <f t="shared" si="26"/>
        <v>0</v>
      </c>
      <c r="W140" s="12">
        <f t="shared" si="27"/>
        <v>738.83626522327472</v>
      </c>
      <c r="X140" s="12">
        <f>V140/[1]Manure!$I$2</f>
        <v>0</v>
      </c>
      <c r="Y140" s="12">
        <f>W140/[1]Manure!$I$2</f>
        <v>526.91676908276816</v>
      </c>
      <c r="Z140" s="12"/>
      <c r="AA140" s="12"/>
      <c r="AB140" s="11"/>
      <c r="AC140" s="11"/>
    </row>
    <row r="141" spans="1:29" ht="15.75" thickBot="1" x14ac:dyDescent="0.3">
      <c r="A141" s="13">
        <v>45475</v>
      </c>
      <c r="B141" s="87">
        <v>0.41666666666666669</v>
      </c>
      <c r="C141" s="70"/>
      <c r="D141" s="6"/>
      <c r="E141" s="6" t="s">
        <v>60</v>
      </c>
      <c r="F141" s="6">
        <v>20</v>
      </c>
      <c r="G141" s="6">
        <v>84566</v>
      </c>
      <c r="H141" s="6">
        <v>19.3</v>
      </c>
      <c r="I141" s="6">
        <v>19</v>
      </c>
      <c r="J141" s="21"/>
      <c r="K141" s="26"/>
      <c r="L141" s="26"/>
      <c r="M141" s="26"/>
      <c r="N141" s="25"/>
      <c r="O141" s="21"/>
      <c r="P141" s="72"/>
      <c r="Q141" s="72"/>
      <c r="R141" s="21"/>
      <c r="S141" s="94">
        <f t="shared" si="23"/>
        <v>19.3</v>
      </c>
      <c r="T141" s="95">
        <f t="shared" si="24"/>
        <v>634</v>
      </c>
      <c r="U141" s="11">
        <f t="shared" si="25"/>
        <v>0</v>
      </c>
      <c r="V141" s="11">
        <f t="shared" si="26"/>
        <v>0</v>
      </c>
      <c r="W141" s="12">
        <f t="shared" si="27"/>
        <v>592.13821416353062</v>
      </c>
      <c r="X141" s="12">
        <f>V141/[1]Manure!$I$2</f>
        <v>0</v>
      </c>
      <c r="Y141" s="12">
        <f>W141/[1]Manure!$I$2</f>
        <v>422.29593936242389</v>
      </c>
      <c r="Z141" s="12"/>
      <c r="AA141" s="12"/>
      <c r="AB141" s="11"/>
      <c r="AC141" s="11"/>
    </row>
    <row r="142" spans="1:29" ht="15.75" thickBot="1" x14ac:dyDescent="0.3">
      <c r="A142" s="13">
        <v>45476</v>
      </c>
      <c r="B142" s="87">
        <v>0.41666666666666669</v>
      </c>
      <c r="C142" s="70"/>
      <c r="D142" s="6"/>
      <c r="E142" s="6" t="s">
        <v>60</v>
      </c>
      <c r="F142" s="6">
        <v>20</v>
      </c>
      <c r="G142" s="6">
        <v>85053</v>
      </c>
      <c r="H142" s="6">
        <v>22.1</v>
      </c>
      <c r="I142" s="6">
        <v>20.3</v>
      </c>
      <c r="J142" s="21"/>
      <c r="K142" s="26"/>
      <c r="L142" s="26"/>
      <c r="M142" s="26"/>
      <c r="N142" s="25"/>
      <c r="O142" s="21"/>
      <c r="P142" s="72"/>
      <c r="Q142" s="72"/>
      <c r="R142" s="21"/>
      <c r="S142" s="94">
        <f t="shared" si="23"/>
        <v>22.1</v>
      </c>
      <c r="T142" s="95">
        <f t="shared" si="24"/>
        <v>487</v>
      </c>
      <c r="U142" s="11">
        <f t="shared" si="25"/>
        <v>0</v>
      </c>
      <c r="V142" s="11">
        <f t="shared" si="26"/>
        <v>0</v>
      </c>
      <c r="W142" s="12">
        <f t="shared" si="27"/>
        <v>450.52863436123346</v>
      </c>
      <c r="X142" s="12">
        <f>V142/[1]Manure!$I$2</f>
        <v>0</v>
      </c>
      <c r="Y142" s="12">
        <f>W142/[1]Manure!$I$2</f>
        <v>321.304060954769</v>
      </c>
      <c r="Z142" s="12"/>
      <c r="AA142" s="12"/>
      <c r="AB142" s="11"/>
      <c r="AC142" s="11"/>
    </row>
    <row r="143" spans="1:29" ht="15.75" thickBot="1" x14ac:dyDescent="0.3">
      <c r="A143" s="13">
        <v>45477</v>
      </c>
      <c r="B143" s="87">
        <v>0.41666666666666669</v>
      </c>
      <c r="C143" s="70"/>
      <c r="D143" s="6"/>
      <c r="E143" s="6" t="s">
        <v>60</v>
      </c>
      <c r="F143" s="6">
        <v>20</v>
      </c>
      <c r="G143" s="6">
        <v>85534</v>
      </c>
      <c r="H143" s="6">
        <v>21.2</v>
      </c>
      <c r="I143" s="6">
        <v>18.2</v>
      </c>
      <c r="J143" s="21"/>
      <c r="K143" s="26"/>
      <c r="L143" s="26"/>
      <c r="M143" s="26"/>
      <c r="N143" s="25"/>
      <c r="O143" s="21"/>
      <c r="P143" s="72"/>
      <c r="Q143" s="72"/>
      <c r="R143" s="21"/>
      <c r="S143" s="94">
        <f t="shared" si="23"/>
        <v>21.2</v>
      </c>
      <c r="T143" s="95">
        <f t="shared" si="24"/>
        <v>481</v>
      </c>
      <c r="U143" s="11">
        <f t="shared" si="25"/>
        <v>0</v>
      </c>
      <c r="V143" s="11">
        <f t="shared" si="26"/>
        <v>0</v>
      </c>
      <c r="W143" s="12">
        <f t="shared" si="27"/>
        <v>446.33922501699527</v>
      </c>
      <c r="X143" s="12">
        <f>V143/[1]Manure!$I$2</f>
        <v>0</v>
      </c>
      <c r="Y143" s="12">
        <f>W143/[1]Manure!$I$2</f>
        <v>318.31629473384038</v>
      </c>
      <c r="Z143" s="12"/>
      <c r="AA143" s="12"/>
      <c r="AB143" s="11"/>
      <c r="AC143" s="11"/>
    </row>
    <row r="144" spans="1:29" ht="15.75" thickBot="1" x14ac:dyDescent="0.3">
      <c r="A144" s="13">
        <v>45478</v>
      </c>
      <c r="B144" s="87">
        <v>0.41666666666666669</v>
      </c>
      <c r="C144" s="70"/>
      <c r="D144" s="6"/>
      <c r="E144" s="6" t="s">
        <v>60</v>
      </c>
      <c r="F144" s="6">
        <v>20</v>
      </c>
      <c r="G144" s="6">
        <v>85692</v>
      </c>
      <c r="H144" s="6">
        <v>23.5</v>
      </c>
      <c r="I144" s="6">
        <v>20.100000000000001</v>
      </c>
      <c r="J144" s="21"/>
      <c r="K144" s="26"/>
      <c r="L144" s="26"/>
      <c r="M144" s="26"/>
      <c r="N144" s="25"/>
      <c r="O144" s="21"/>
      <c r="P144" s="72"/>
      <c r="Q144" s="72"/>
      <c r="R144" s="21"/>
      <c r="S144" s="94">
        <f t="shared" si="23"/>
        <v>23.5</v>
      </c>
      <c r="T144" s="95">
        <f t="shared" si="24"/>
        <v>158</v>
      </c>
      <c r="U144" s="11">
        <f t="shared" si="25"/>
        <v>0</v>
      </c>
      <c r="V144" s="11">
        <f t="shared" si="26"/>
        <v>0</v>
      </c>
      <c r="W144" s="12">
        <f t="shared" si="27"/>
        <v>145.47723440134905</v>
      </c>
      <c r="X144" s="12">
        <f>V144/[1]Manure!$I$2</f>
        <v>0</v>
      </c>
      <c r="Y144" s="12">
        <f>W144/[1]Manure!$I$2</f>
        <v>103.75017840074564</v>
      </c>
      <c r="Z144" s="12"/>
      <c r="AA144" s="12"/>
      <c r="AB144" s="11"/>
      <c r="AC144" s="11"/>
    </row>
    <row r="145" spans="1:29" ht="15.75" thickBot="1" x14ac:dyDescent="0.3">
      <c r="A145" s="13">
        <v>45479</v>
      </c>
      <c r="B145" s="87">
        <v>0.41666666666666669</v>
      </c>
      <c r="C145" s="70"/>
      <c r="D145" s="6"/>
      <c r="E145" s="6" t="s">
        <v>60</v>
      </c>
      <c r="F145" s="6">
        <v>20</v>
      </c>
      <c r="G145" s="6">
        <v>86413</v>
      </c>
      <c r="H145" s="6">
        <v>20</v>
      </c>
      <c r="I145" s="6">
        <v>21.1</v>
      </c>
      <c r="J145" s="21"/>
      <c r="K145" s="26"/>
      <c r="L145" s="26"/>
      <c r="M145" s="26"/>
      <c r="N145" s="25"/>
      <c r="O145" s="21"/>
      <c r="P145" s="72"/>
      <c r="Q145" s="72"/>
      <c r="R145" s="21"/>
      <c r="S145" s="94">
        <f t="shared" si="23"/>
        <v>20</v>
      </c>
      <c r="T145" s="95">
        <f t="shared" si="24"/>
        <v>721</v>
      </c>
      <c r="U145" s="11">
        <f t="shared" si="25"/>
        <v>0</v>
      </c>
      <c r="V145" s="11">
        <f t="shared" si="26"/>
        <v>0</v>
      </c>
      <c r="W145" s="12">
        <f t="shared" si="27"/>
        <v>671.78498293515361</v>
      </c>
      <c r="X145" s="12">
        <f>V145/[1]Manure!$I$2</f>
        <v>0</v>
      </c>
      <c r="Y145" s="12">
        <f>W145/[1]Manure!$I$2</f>
        <v>479.09772352544616</v>
      </c>
      <c r="Z145" s="12"/>
      <c r="AA145" s="12"/>
      <c r="AB145" s="11"/>
      <c r="AC145" s="11"/>
    </row>
    <row r="146" spans="1:29" ht="15.75" thickBot="1" x14ac:dyDescent="0.3">
      <c r="A146" s="13">
        <v>45481</v>
      </c>
      <c r="B146" s="87">
        <v>0.41666666666666669</v>
      </c>
      <c r="C146" s="70"/>
      <c r="D146" s="6"/>
      <c r="E146" s="6" t="s">
        <v>60</v>
      </c>
      <c r="F146" s="6">
        <v>20</v>
      </c>
      <c r="G146" s="6">
        <v>87216</v>
      </c>
      <c r="H146" s="6">
        <v>25.3</v>
      </c>
      <c r="I146" s="6">
        <v>20.399999999999999</v>
      </c>
      <c r="J146" s="21"/>
      <c r="K146" s="26"/>
      <c r="L146" s="26"/>
      <c r="M146" s="26"/>
      <c r="N146" s="25"/>
      <c r="O146" s="21"/>
      <c r="P146" s="72"/>
      <c r="Q146" s="72"/>
      <c r="R146" s="21"/>
      <c r="S146" s="94">
        <f t="shared" si="23"/>
        <v>25.3</v>
      </c>
      <c r="T146" s="95">
        <f t="shared" si="24"/>
        <v>803</v>
      </c>
      <c r="U146" s="11">
        <f t="shared" si="25"/>
        <v>0</v>
      </c>
      <c r="V146" s="11">
        <f t="shared" si="26"/>
        <v>0</v>
      </c>
      <c r="W146" s="12">
        <f t="shared" si="27"/>
        <v>734.89440160911829</v>
      </c>
      <c r="X146" s="12">
        <f>V146/[1]Manure!$I$2</f>
        <v>0</v>
      </c>
      <c r="Y146" s="12">
        <f>W146/[1]Manure!$I$2</f>
        <v>524.1055453549933</v>
      </c>
      <c r="Z146" s="12"/>
      <c r="AA146" s="12"/>
      <c r="AB146" s="11"/>
      <c r="AC146" s="11"/>
    </row>
    <row r="147" spans="1:29" ht="15.75" thickBot="1" x14ac:dyDescent="0.3">
      <c r="A147" s="13">
        <v>45482</v>
      </c>
      <c r="B147" s="87">
        <v>0.41666666666666669</v>
      </c>
      <c r="C147" s="70"/>
      <c r="D147" s="6"/>
      <c r="E147" s="6" t="s">
        <v>60</v>
      </c>
      <c r="F147" s="6">
        <v>20</v>
      </c>
      <c r="G147" s="6">
        <v>87978</v>
      </c>
      <c r="H147" s="6">
        <v>21.9</v>
      </c>
      <c r="I147" s="6">
        <v>21.4</v>
      </c>
      <c r="J147" s="21"/>
      <c r="K147" s="26"/>
      <c r="L147" s="26"/>
      <c r="M147" s="26"/>
      <c r="N147" s="25"/>
      <c r="O147" s="21"/>
      <c r="P147" s="72"/>
      <c r="Q147" s="72"/>
      <c r="R147" s="21"/>
      <c r="S147" s="94">
        <f t="shared" si="23"/>
        <v>21.9</v>
      </c>
      <c r="T147" s="95">
        <f t="shared" si="24"/>
        <v>762</v>
      </c>
      <c r="U147" s="11">
        <f t="shared" si="25"/>
        <v>0</v>
      </c>
      <c r="V147" s="11">
        <f t="shared" si="26"/>
        <v>0</v>
      </c>
      <c r="W147" s="12">
        <f t="shared" si="27"/>
        <v>705.41200406917608</v>
      </c>
      <c r="X147" s="12">
        <f>V147/[1]Manure!$I$2</f>
        <v>0</v>
      </c>
      <c r="Y147" s="12">
        <f>W147/[1]Manure!$I$2</f>
        <v>503.07954759638903</v>
      </c>
      <c r="Z147" s="12"/>
      <c r="AA147" s="12"/>
      <c r="AB147" s="11"/>
      <c r="AC147" s="11"/>
    </row>
    <row r="148" spans="1:29" ht="15.75" thickBot="1" x14ac:dyDescent="0.3">
      <c r="A148" s="13">
        <v>45483</v>
      </c>
      <c r="B148" s="87">
        <v>0.41666666666666669</v>
      </c>
      <c r="C148" s="70"/>
      <c r="D148" s="6"/>
      <c r="E148" s="6" t="s">
        <v>60</v>
      </c>
      <c r="F148" s="6">
        <v>20</v>
      </c>
      <c r="G148" s="6">
        <v>88343</v>
      </c>
      <c r="H148" s="6">
        <v>17.8</v>
      </c>
      <c r="I148" s="6">
        <v>20.3</v>
      </c>
      <c r="J148" s="21"/>
      <c r="K148" s="26"/>
      <c r="L148" s="26"/>
      <c r="M148" s="26"/>
      <c r="N148" s="25"/>
      <c r="O148" s="21"/>
      <c r="P148" s="72"/>
      <c r="Q148" s="72"/>
      <c r="R148" s="21"/>
      <c r="S148" s="94">
        <f t="shared" si="23"/>
        <v>17.8</v>
      </c>
      <c r="T148" s="95">
        <f t="shared" si="24"/>
        <v>365</v>
      </c>
      <c r="U148" s="11">
        <f t="shared" si="25"/>
        <v>0</v>
      </c>
      <c r="V148" s="11">
        <f t="shared" si="26"/>
        <v>0</v>
      </c>
      <c r="W148" s="12">
        <f t="shared" si="27"/>
        <v>342.6581843191197</v>
      </c>
      <c r="X148" s="12">
        <f>V148/[1]Manure!$I$2</f>
        <v>0</v>
      </c>
      <c r="Y148" s="12">
        <f>W148/[1]Manure!$I$2</f>
        <v>244.3739592650283</v>
      </c>
      <c r="Z148" s="12"/>
      <c r="AA148" s="12"/>
      <c r="AB148" s="11"/>
      <c r="AC148" s="11"/>
    </row>
    <row r="149" spans="1:29" ht="15.75" thickBot="1" x14ac:dyDescent="0.3">
      <c r="A149" s="13">
        <v>45484</v>
      </c>
      <c r="B149" s="87">
        <v>0.41666666666666669</v>
      </c>
      <c r="C149" s="70"/>
      <c r="D149" s="6"/>
      <c r="E149" s="6" t="s">
        <v>60</v>
      </c>
      <c r="F149" s="6">
        <v>20</v>
      </c>
      <c r="G149" s="6">
        <v>88878</v>
      </c>
      <c r="H149" s="6">
        <v>22.7</v>
      </c>
      <c r="I149" s="6">
        <v>20.9</v>
      </c>
      <c r="J149" s="21"/>
      <c r="K149" s="26"/>
      <c r="L149" s="26"/>
      <c r="M149" s="26"/>
      <c r="N149" s="25"/>
      <c r="O149" s="21"/>
      <c r="P149" s="72"/>
      <c r="Q149" s="72"/>
      <c r="R149" s="21"/>
      <c r="S149" s="94">
        <f t="shared" si="23"/>
        <v>22.7</v>
      </c>
      <c r="T149" s="95">
        <f t="shared" si="24"/>
        <v>535</v>
      </c>
      <c r="U149" s="11">
        <f t="shared" si="25"/>
        <v>0</v>
      </c>
      <c r="V149" s="11">
        <f t="shared" si="26"/>
        <v>0</v>
      </c>
      <c r="W149" s="12">
        <f t="shared" si="27"/>
        <v>493.92965843760572</v>
      </c>
      <c r="X149" s="12">
        <f>V149/[1]Manure!$I$2</f>
        <v>0</v>
      </c>
      <c r="Y149" s="12">
        <f>W149/[1]Manure!$I$2</f>
        <v>352.25642273995373</v>
      </c>
      <c r="Z149" s="12"/>
      <c r="AA149" s="12"/>
      <c r="AB149" s="11"/>
      <c r="AC149" s="11"/>
    </row>
    <row r="150" spans="1:29" ht="15.75" thickBot="1" x14ac:dyDescent="0.3">
      <c r="A150" s="13">
        <v>45485</v>
      </c>
      <c r="B150" s="87">
        <v>0.41666666666666669</v>
      </c>
      <c r="C150" s="70"/>
      <c r="D150" s="6"/>
      <c r="E150" s="6" t="s">
        <v>60</v>
      </c>
      <c r="F150" s="6">
        <v>20</v>
      </c>
      <c r="G150" s="6">
        <v>89205</v>
      </c>
      <c r="H150" s="6">
        <v>24.1</v>
      </c>
      <c r="I150" s="6">
        <v>19.600000000000001</v>
      </c>
      <c r="J150" s="21"/>
      <c r="K150" s="26"/>
      <c r="L150" s="26"/>
      <c r="M150" s="26"/>
      <c r="N150" s="25"/>
      <c r="O150" s="21"/>
      <c r="P150" s="72"/>
      <c r="Q150" s="72"/>
      <c r="R150" s="21"/>
      <c r="S150" s="94">
        <f t="shared" si="23"/>
        <v>24.1</v>
      </c>
      <c r="T150" s="95">
        <f t="shared" si="24"/>
        <v>327</v>
      </c>
      <c r="U150" s="11">
        <f t="shared" si="25"/>
        <v>0</v>
      </c>
      <c r="V150" s="11">
        <f t="shared" si="26"/>
        <v>0</v>
      </c>
      <c r="W150" s="12">
        <f t="shared" si="27"/>
        <v>300.47458768091553</v>
      </c>
      <c r="X150" s="12">
        <f>V150/[1]Manure!$I$2</f>
        <v>0</v>
      </c>
      <c r="Y150" s="12">
        <f>W150/[1]Manure!$I$2</f>
        <v>214.28983170507939</v>
      </c>
      <c r="Z150" s="12"/>
      <c r="AA150" s="12"/>
      <c r="AB150" s="11"/>
      <c r="AC150" s="11"/>
    </row>
    <row r="151" spans="1:29" ht="15.75" thickBot="1" x14ac:dyDescent="0.3">
      <c r="A151" s="13">
        <v>45486</v>
      </c>
      <c r="B151" s="87">
        <v>0.41666666666666669</v>
      </c>
      <c r="C151" s="70"/>
      <c r="D151" s="6"/>
      <c r="E151" s="6" t="s">
        <v>60</v>
      </c>
      <c r="F151" s="6">
        <v>20</v>
      </c>
      <c r="G151" s="6">
        <v>89657</v>
      </c>
      <c r="H151" s="6">
        <v>20.9</v>
      </c>
      <c r="I151" s="6">
        <v>19.899999999999999</v>
      </c>
      <c r="J151" s="21"/>
      <c r="K151" s="26"/>
      <c r="L151" s="26"/>
      <c r="M151" s="26"/>
      <c r="N151" s="25"/>
      <c r="O151" s="21"/>
      <c r="P151" s="72"/>
      <c r="Q151" s="72"/>
      <c r="R151" s="21"/>
      <c r="S151" s="94">
        <f t="shared" si="23"/>
        <v>20.9</v>
      </c>
      <c r="T151" s="95">
        <f t="shared" si="24"/>
        <v>452</v>
      </c>
      <c r="U151" s="11">
        <f t="shared" si="25"/>
        <v>0</v>
      </c>
      <c r="V151" s="11">
        <f t="shared" si="26"/>
        <v>0</v>
      </c>
      <c r="W151" s="12">
        <f t="shared" si="27"/>
        <v>419.85709424974488</v>
      </c>
      <c r="X151" s="12">
        <f>V151/[1]Manure!$I$2</f>
        <v>0</v>
      </c>
      <c r="Y151" s="12">
        <f>W151/[1]Manure!$I$2</f>
        <v>299.43000092408795</v>
      </c>
      <c r="Z151" s="12"/>
      <c r="AA151" s="12"/>
      <c r="AB151" s="11"/>
      <c r="AC151" s="11"/>
    </row>
    <row r="152" spans="1:29" ht="15.75" thickBot="1" x14ac:dyDescent="0.3">
      <c r="A152" s="13">
        <v>45488</v>
      </c>
      <c r="B152" s="87">
        <v>0.41666666666666669</v>
      </c>
      <c r="C152" s="70"/>
      <c r="D152" s="6"/>
      <c r="E152" s="6" t="s">
        <v>60</v>
      </c>
      <c r="F152" s="6">
        <v>20</v>
      </c>
      <c r="G152" s="6">
        <v>90478</v>
      </c>
      <c r="H152" s="6">
        <v>23.7</v>
      </c>
      <c r="I152" s="6">
        <v>18.7</v>
      </c>
      <c r="J152" s="21"/>
      <c r="K152" s="25"/>
      <c r="L152" s="25"/>
      <c r="M152" s="25"/>
      <c r="N152" s="25"/>
      <c r="O152" s="21"/>
      <c r="P152" s="72"/>
      <c r="Q152" s="72"/>
      <c r="R152" s="21"/>
      <c r="S152" s="94">
        <f t="shared" si="23"/>
        <v>23.7</v>
      </c>
      <c r="T152" s="95">
        <f t="shared" si="24"/>
        <v>821</v>
      </c>
      <c r="U152" s="11">
        <f t="shared" si="25"/>
        <v>0</v>
      </c>
      <c r="V152" s="11">
        <f t="shared" si="26"/>
        <v>0</v>
      </c>
      <c r="W152" s="12">
        <f t="shared" si="27"/>
        <v>755.41961577350867</v>
      </c>
      <c r="X152" s="12">
        <f>V152/[1]Manure!$I$2</f>
        <v>0</v>
      </c>
      <c r="Y152" s="12">
        <f>W152/[1]Manure!$I$2</f>
        <v>538.74353761565226</v>
      </c>
      <c r="Z152" s="12"/>
      <c r="AA152" s="12"/>
      <c r="AB152" s="11"/>
      <c r="AC152" s="11"/>
    </row>
    <row r="153" spans="1:29" ht="15.75" thickBot="1" x14ac:dyDescent="0.3">
      <c r="A153" s="13">
        <v>45489</v>
      </c>
      <c r="B153" s="87">
        <v>0.41666666666666669</v>
      </c>
      <c r="C153" s="70"/>
      <c r="D153" s="6"/>
      <c r="E153" s="6" t="s">
        <v>60</v>
      </c>
      <c r="F153" s="6">
        <v>20</v>
      </c>
      <c r="G153" s="6">
        <v>90960</v>
      </c>
      <c r="H153" s="6">
        <v>19.899999999999999</v>
      </c>
      <c r="I153" s="6">
        <v>18</v>
      </c>
      <c r="J153" s="21"/>
      <c r="K153" s="25"/>
      <c r="L153" s="25"/>
      <c r="M153" s="25"/>
      <c r="N153" s="25"/>
      <c r="O153" s="21"/>
      <c r="P153" s="72"/>
      <c r="Q153" s="72"/>
      <c r="R153" s="21"/>
      <c r="S153" s="94">
        <f t="shared" si="23"/>
        <v>19.899999999999999</v>
      </c>
      <c r="T153" s="95">
        <f t="shared" si="24"/>
        <v>482</v>
      </c>
      <c r="U153" s="11">
        <f t="shared" si="25"/>
        <v>0</v>
      </c>
      <c r="V153" s="11">
        <f t="shared" si="26"/>
        <v>0</v>
      </c>
      <c r="W153" s="12">
        <f t="shared" si="27"/>
        <v>449.25230454079895</v>
      </c>
      <c r="X153" s="12">
        <f>V153/[1]Manure!$I$2</f>
        <v>0</v>
      </c>
      <c r="Y153" s="12">
        <f>W153/[1]Manure!$I$2</f>
        <v>320.39381924503903</v>
      </c>
      <c r="Z153" s="12"/>
      <c r="AA153" s="12"/>
      <c r="AB153" s="11"/>
      <c r="AC153" s="11"/>
    </row>
    <row r="154" spans="1:29" ht="15.75" thickBot="1" x14ac:dyDescent="0.3">
      <c r="A154" s="13">
        <v>45490</v>
      </c>
      <c r="B154" s="87">
        <v>0.41666666666666669</v>
      </c>
      <c r="C154" s="70"/>
      <c r="D154" s="6"/>
      <c r="E154" s="6" t="s">
        <v>60</v>
      </c>
      <c r="F154" s="6">
        <v>20</v>
      </c>
      <c r="G154" s="6">
        <v>91376</v>
      </c>
      <c r="H154" s="6">
        <v>22.4</v>
      </c>
      <c r="I154" s="6">
        <v>18.5</v>
      </c>
      <c r="J154" s="21"/>
      <c r="K154" s="25"/>
      <c r="L154" s="25"/>
      <c r="M154" s="25"/>
      <c r="N154" s="25"/>
      <c r="O154" s="21"/>
      <c r="P154" s="72"/>
      <c r="Q154" s="72"/>
      <c r="R154" s="21"/>
      <c r="S154" s="94">
        <f t="shared" si="23"/>
        <v>22.4</v>
      </c>
      <c r="T154" s="95">
        <f t="shared" si="24"/>
        <v>416</v>
      </c>
      <c r="U154" s="11">
        <f t="shared" si="25"/>
        <v>0</v>
      </c>
      <c r="V154" s="11">
        <f t="shared" si="26"/>
        <v>0</v>
      </c>
      <c r="W154" s="12">
        <f t="shared" si="27"/>
        <v>384.45497630331761</v>
      </c>
      <c r="X154" s="12">
        <f>V154/[1]Manure!$I$2</f>
        <v>0</v>
      </c>
      <c r="Y154" s="12">
        <f>W154/[1]Manure!$I$2</f>
        <v>274.18222887356285</v>
      </c>
      <c r="Z154" s="12"/>
      <c r="AA154" s="12"/>
      <c r="AB154" s="11"/>
      <c r="AC154" s="11"/>
    </row>
    <row r="155" spans="1:29" ht="15.75" thickBot="1" x14ac:dyDescent="0.3">
      <c r="A155" s="13">
        <v>45491</v>
      </c>
      <c r="B155" s="87">
        <v>0.41666666666666669</v>
      </c>
      <c r="C155" s="6"/>
      <c r="D155" s="6"/>
      <c r="E155" s="6" t="s">
        <v>60</v>
      </c>
      <c r="F155" s="6">
        <v>20</v>
      </c>
      <c r="G155" s="6">
        <v>92614</v>
      </c>
      <c r="H155" s="6">
        <v>17.100000000000001</v>
      </c>
      <c r="I155" s="6">
        <v>19.600000000000001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94">
        <f t="shared" si="23"/>
        <v>17.100000000000001</v>
      </c>
      <c r="T155" s="95">
        <f t="shared" si="24"/>
        <v>1238</v>
      </c>
      <c r="U155" s="11">
        <f t="shared" si="25"/>
        <v>0</v>
      </c>
      <c r="V155" s="11">
        <f t="shared" si="26"/>
        <v>0</v>
      </c>
      <c r="W155" s="12">
        <f t="shared" si="27"/>
        <v>1165.0258531540846</v>
      </c>
      <c r="X155" s="12">
        <f>V155/[1]Manure!$I$2</f>
        <v>0</v>
      </c>
      <c r="Y155" s="12">
        <f>W155/[1]Manure!$I$2</f>
        <v>830.86292232330402</v>
      </c>
      <c r="Z155" s="12"/>
      <c r="AA155" s="12"/>
      <c r="AB155" s="11"/>
      <c r="AC155" s="11"/>
    </row>
    <row r="156" spans="1:29" ht="15.75" thickBot="1" x14ac:dyDescent="0.3">
      <c r="A156" s="13">
        <v>45492</v>
      </c>
      <c r="B156" s="87">
        <v>0.41666666666666669</v>
      </c>
      <c r="C156" s="6"/>
      <c r="D156" s="6"/>
      <c r="E156" s="6" t="s">
        <v>60</v>
      </c>
      <c r="F156" s="6">
        <v>20</v>
      </c>
      <c r="G156" s="6">
        <v>93255</v>
      </c>
      <c r="H156" s="6">
        <v>19.100000000000001</v>
      </c>
      <c r="I156" s="6">
        <v>16.8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94">
        <f t="shared" si="23"/>
        <v>19.100000000000001</v>
      </c>
      <c r="T156" s="95">
        <f t="shared" si="24"/>
        <v>641</v>
      </c>
      <c r="U156" s="11">
        <f t="shared" si="25"/>
        <v>0</v>
      </c>
      <c r="V156" s="11">
        <f t="shared" si="26"/>
        <v>0</v>
      </c>
      <c r="W156" s="12">
        <f t="shared" si="27"/>
        <v>599.08592947620673</v>
      </c>
      <c r="X156" s="12">
        <f>V156/[1]Manure!$I$2</f>
        <v>0</v>
      </c>
      <c r="Y156" s="12">
        <f>W156/[1]Manure!$I$2</f>
        <v>427.25085004748058</v>
      </c>
      <c r="Z156" s="12"/>
      <c r="AA156" s="12"/>
      <c r="AB156" s="11"/>
      <c r="AC156" s="11"/>
    </row>
    <row r="157" spans="1:29" ht="15.75" thickBot="1" x14ac:dyDescent="0.3">
      <c r="A157" s="13">
        <v>45493</v>
      </c>
      <c r="B157" s="87">
        <v>0.41666666666666669</v>
      </c>
      <c r="C157" s="6"/>
      <c r="D157" s="6"/>
      <c r="E157" s="6" t="s">
        <v>60</v>
      </c>
      <c r="F157" s="6">
        <v>20</v>
      </c>
      <c r="G157" s="6">
        <v>93821</v>
      </c>
      <c r="H157" s="6">
        <v>19.600000000000001</v>
      </c>
      <c r="I157" s="6">
        <v>17.8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94">
        <f t="shared" si="23"/>
        <v>19.600000000000001</v>
      </c>
      <c r="T157" s="95">
        <f t="shared" si="24"/>
        <v>566</v>
      </c>
      <c r="U157" s="11">
        <f t="shared" si="25"/>
        <v>0</v>
      </c>
      <c r="V157" s="11">
        <f t="shared" si="26"/>
        <v>0</v>
      </c>
      <c r="W157" s="12">
        <f t="shared" si="27"/>
        <v>528.08612440191382</v>
      </c>
      <c r="X157" s="12">
        <f>V157/[1]Manure!$I$2</f>
        <v>0</v>
      </c>
      <c r="Y157" s="12">
        <f>W157/[1]Manure!$I$2</f>
        <v>376.6158316324773</v>
      </c>
      <c r="Z157" s="12"/>
      <c r="AA157" s="12"/>
      <c r="AB157" s="11"/>
      <c r="AC157" s="11"/>
    </row>
    <row r="158" spans="1:29" ht="15.75" thickBot="1" x14ac:dyDescent="0.3">
      <c r="A158" s="13">
        <v>45495</v>
      </c>
      <c r="B158" s="87">
        <v>0.41666666666666669</v>
      </c>
      <c r="C158" s="6"/>
      <c r="D158" s="6"/>
      <c r="E158" s="6" t="s">
        <v>60</v>
      </c>
      <c r="F158" s="6">
        <v>20</v>
      </c>
      <c r="G158" s="6">
        <v>94608</v>
      </c>
      <c r="H158" s="6">
        <v>18.3</v>
      </c>
      <c r="I158" s="6">
        <v>19.2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94">
        <f t="shared" si="23"/>
        <v>18.3</v>
      </c>
      <c r="T158" s="95">
        <f t="shared" si="24"/>
        <v>787</v>
      </c>
      <c r="U158" s="11">
        <f t="shared" si="25"/>
        <v>0</v>
      </c>
      <c r="V158" s="11">
        <f t="shared" si="26"/>
        <v>0</v>
      </c>
      <c r="W158" s="12">
        <f t="shared" si="27"/>
        <v>737.55921730175078</v>
      </c>
      <c r="X158" s="12">
        <f>V158/[1]Manure!$I$2</f>
        <v>0</v>
      </c>
      <c r="Y158" s="12">
        <f>W158/[1]Manure!$I$2</f>
        <v>526.00601524399997</v>
      </c>
      <c r="Z158" s="12"/>
      <c r="AA158" s="12"/>
      <c r="AB158" s="11"/>
      <c r="AC158" s="11"/>
    </row>
    <row r="159" spans="1:29" ht="15.75" thickBot="1" x14ac:dyDescent="0.3">
      <c r="A159" s="13">
        <v>45496</v>
      </c>
      <c r="B159" s="87">
        <v>0.41666666666666669</v>
      </c>
      <c r="C159" s="6"/>
      <c r="D159" s="6"/>
      <c r="E159" s="6" t="s">
        <v>60</v>
      </c>
      <c r="F159" s="6">
        <v>20</v>
      </c>
      <c r="G159" s="6">
        <v>95553</v>
      </c>
      <c r="H159" s="6">
        <v>21.1</v>
      </c>
      <c r="I159" s="6">
        <v>20.8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94">
        <f t="shared" si="23"/>
        <v>21.1</v>
      </c>
      <c r="T159" s="95">
        <f t="shared" si="24"/>
        <v>945</v>
      </c>
      <c r="U159" s="11">
        <f t="shared" si="25"/>
        <v>0</v>
      </c>
      <c r="V159" s="11">
        <f t="shared" si="26"/>
        <v>0</v>
      </c>
      <c r="W159" s="12">
        <f t="shared" si="27"/>
        <v>877.20163209792588</v>
      </c>
      <c r="X159" s="12">
        <f>V159/[1]Manure!$I$2</f>
        <v>0</v>
      </c>
      <c r="Y159" s="12">
        <f>W159/[1]Manure!$I$2</f>
        <v>625.59496816184378</v>
      </c>
      <c r="Z159" s="12"/>
      <c r="AA159" s="12"/>
      <c r="AB159" s="11"/>
      <c r="AC159" s="11"/>
    </row>
    <row r="160" spans="1:29" ht="15.75" thickBot="1" x14ac:dyDescent="0.3">
      <c r="A160" s="13">
        <v>45497</v>
      </c>
      <c r="B160" s="87">
        <v>0.41666666666666669</v>
      </c>
      <c r="C160" s="6"/>
      <c r="D160" s="6"/>
      <c r="E160" s="6" t="s">
        <v>60</v>
      </c>
      <c r="F160" s="6">
        <v>20</v>
      </c>
      <c r="G160" s="6">
        <v>96155</v>
      </c>
      <c r="H160" s="6">
        <v>18.8</v>
      </c>
      <c r="I160" s="6">
        <v>19.2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94">
        <f t="shared" si="23"/>
        <v>18.8</v>
      </c>
      <c r="T160" s="95">
        <f t="shared" si="24"/>
        <v>602</v>
      </c>
      <c r="U160" s="11">
        <f t="shared" si="25"/>
        <v>0</v>
      </c>
      <c r="V160" s="11">
        <f t="shared" si="26"/>
        <v>0</v>
      </c>
      <c r="W160" s="12">
        <f t="shared" si="27"/>
        <v>563.21453050034268</v>
      </c>
      <c r="X160" s="12">
        <f>V160/[1]Manure!$I$2</f>
        <v>0</v>
      </c>
      <c r="Y160" s="12">
        <f>W160/[1]Manure!$I$2</f>
        <v>401.66840026731273</v>
      </c>
      <c r="Z160" s="12"/>
      <c r="AA160" s="12"/>
      <c r="AB160" s="11"/>
      <c r="AC160" s="11"/>
    </row>
    <row r="161" spans="1:29" ht="15.75" thickBot="1" x14ac:dyDescent="0.3">
      <c r="A161" s="13">
        <v>45498</v>
      </c>
      <c r="B161" s="87">
        <v>0.41666666666666669</v>
      </c>
      <c r="C161" s="6"/>
      <c r="D161" s="6"/>
      <c r="E161" s="6" t="s">
        <v>60</v>
      </c>
      <c r="F161" s="6">
        <v>20</v>
      </c>
      <c r="G161" s="6">
        <v>96689</v>
      </c>
      <c r="H161" s="6">
        <v>18.2</v>
      </c>
      <c r="I161" s="6">
        <v>19.8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94">
        <f t="shared" si="23"/>
        <v>18.2</v>
      </c>
      <c r="T161" s="95">
        <f t="shared" si="24"/>
        <v>534</v>
      </c>
      <c r="U161" s="11">
        <f t="shared" si="25"/>
        <v>0</v>
      </c>
      <c r="V161" s="11">
        <f t="shared" si="26"/>
        <v>0</v>
      </c>
      <c r="W161" s="12">
        <f t="shared" si="27"/>
        <v>500.625</v>
      </c>
      <c r="X161" s="12">
        <f>V161/[1]Manure!$I$2</f>
        <v>0</v>
      </c>
      <c r="Y161" s="12">
        <f>W161/[1]Manure!$I$2</f>
        <v>357.03134772674525</v>
      </c>
      <c r="Z161" s="12"/>
      <c r="AA161" s="12"/>
      <c r="AB161" s="11"/>
      <c r="AC161" s="11"/>
    </row>
    <row r="162" spans="1:29" ht="15.75" thickBot="1" x14ac:dyDescent="0.3">
      <c r="A162" s="13">
        <v>45499</v>
      </c>
      <c r="B162" s="87">
        <v>0.41666666666666669</v>
      </c>
      <c r="C162" s="6"/>
      <c r="D162" s="6"/>
      <c r="E162" s="6" t="s">
        <v>60</v>
      </c>
      <c r="F162" s="6">
        <v>20</v>
      </c>
      <c r="G162" s="6">
        <v>97274</v>
      </c>
      <c r="H162" s="6">
        <v>20.2</v>
      </c>
      <c r="I162" s="6">
        <v>19.5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94">
        <f t="shared" si="23"/>
        <v>20.2</v>
      </c>
      <c r="T162" s="95">
        <f t="shared" si="24"/>
        <v>585</v>
      </c>
      <c r="U162" s="11">
        <f t="shared" si="25"/>
        <v>0</v>
      </c>
      <c r="V162" s="11">
        <f t="shared" si="26"/>
        <v>0</v>
      </c>
      <c r="W162" s="12">
        <f t="shared" si="27"/>
        <v>544.69645293315148</v>
      </c>
      <c r="X162" s="12">
        <f>V162/[1]Manure!$I$2</f>
        <v>0</v>
      </c>
      <c r="Y162" s="12">
        <f>W162/[1]Manure!$I$2</f>
        <v>388.46184008529485</v>
      </c>
      <c r="Z162" s="12"/>
      <c r="AA162" s="12"/>
      <c r="AB162" s="11"/>
      <c r="AC162" s="11"/>
    </row>
    <row r="163" spans="1:29" ht="15.75" thickBot="1" x14ac:dyDescent="0.3">
      <c r="A163" s="13">
        <v>45500</v>
      </c>
      <c r="B163" s="87">
        <v>0.41666666666666669</v>
      </c>
      <c r="C163" s="6"/>
      <c r="D163" s="6"/>
      <c r="E163" s="6" t="s">
        <v>60</v>
      </c>
      <c r="F163" s="6">
        <v>20</v>
      </c>
      <c r="G163" s="6">
        <v>97373</v>
      </c>
      <c r="H163" s="6">
        <v>22</v>
      </c>
      <c r="I163" s="6">
        <v>20.100000000000001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94">
        <f t="shared" si="23"/>
        <v>22</v>
      </c>
      <c r="T163" s="95">
        <f t="shared" si="24"/>
        <v>99</v>
      </c>
      <c r="U163" s="11">
        <f t="shared" si="25"/>
        <v>0</v>
      </c>
      <c r="V163" s="11">
        <f t="shared" si="26"/>
        <v>0</v>
      </c>
      <c r="W163" s="12">
        <f t="shared" si="27"/>
        <v>91.616949152542375</v>
      </c>
      <c r="X163" s="12">
        <f>V163/[1]Manure!$I$2</f>
        <v>0</v>
      </c>
      <c r="Y163" s="12">
        <f>W163/[1]Manure!$I$2</f>
        <v>65.338572445532876</v>
      </c>
      <c r="Z163" s="12"/>
      <c r="AA163" s="12"/>
      <c r="AB163" s="11"/>
      <c r="AC163" s="11"/>
    </row>
    <row r="164" spans="1:29" ht="15.75" thickBot="1" x14ac:dyDescent="0.3">
      <c r="A164" s="13">
        <v>45502</v>
      </c>
      <c r="B164" s="87">
        <v>0.41666666666666669</v>
      </c>
      <c r="C164" s="6"/>
      <c r="D164" s="6"/>
      <c r="E164" s="6" t="s">
        <v>60</v>
      </c>
      <c r="F164" s="6">
        <v>20</v>
      </c>
      <c r="G164" s="6">
        <v>98565</v>
      </c>
      <c r="H164" s="6">
        <v>20.5</v>
      </c>
      <c r="I164" s="6">
        <v>21.6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94">
        <f t="shared" si="23"/>
        <v>20.5</v>
      </c>
      <c r="T164" s="95">
        <f t="shared" si="24"/>
        <v>1192</v>
      </c>
      <c r="U164" s="11">
        <f t="shared" si="25"/>
        <v>0</v>
      </c>
      <c r="V164" s="11">
        <f t="shared" si="26"/>
        <v>0</v>
      </c>
      <c r="W164" s="12">
        <f t="shared" si="27"/>
        <v>1108.7427597955707</v>
      </c>
      <c r="X164" s="12">
        <f>V164/[1]Manure!$I$2</f>
        <v>0</v>
      </c>
      <c r="Y164" s="12">
        <f>W164/[1]Manure!$I$2</f>
        <v>790.72343932501099</v>
      </c>
      <c r="Z164" s="12"/>
      <c r="AA164" s="12"/>
      <c r="AB164" s="11"/>
      <c r="AC164" s="11"/>
    </row>
    <row r="165" spans="1:29" ht="15.75" thickBot="1" x14ac:dyDescent="0.3">
      <c r="A165" s="13">
        <v>45503</v>
      </c>
      <c r="B165" s="87">
        <v>0.41666666666666669</v>
      </c>
      <c r="C165" s="6"/>
      <c r="D165" s="6"/>
      <c r="E165" s="6" t="s">
        <v>60</v>
      </c>
      <c r="F165" s="6">
        <v>20</v>
      </c>
      <c r="G165" s="6">
        <v>99134</v>
      </c>
      <c r="H165" s="6">
        <v>20.6</v>
      </c>
      <c r="I165" s="6">
        <v>20.9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94">
        <f t="shared" si="23"/>
        <v>20.6</v>
      </c>
      <c r="T165" s="95">
        <f t="shared" si="24"/>
        <v>569</v>
      </c>
      <c r="U165" s="11">
        <f t="shared" si="25"/>
        <v>0</v>
      </c>
      <c r="V165" s="11">
        <f t="shared" si="26"/>
        <v>0</v>
      </c>
      <c r="W165" s="12">
        <f t="shared" si="27"/>
        <v>529.07697547683915</v>
      </c>
      <c r="X165" s="12">
        <f>V165/[1]Manure!$I$2</f>
        <v>0</v>
      </c>
      <c r="Y165" s="12">
        <f>W165/[1]Manure!$I$2</f>
        <v>377.32247811372991</v>
      </c>
      <c r="Z165" s="12"/>
      <c r="AA165" s="12"/>
      <c r="AB165" s="11"/>
      <c r="AC165" s="11"/>
    </row>
    <row r="166" spans="1:29" ht="15.75" thickBot="1" x14ac:dyDescent="0.3">
      <c r="A166" s="13">
        <v>45504</v>
      </c>
      <c r="B166" s="87">
        <v>0.41666666666666669</v>
      </c>
      <c r="C166" s="6"/>
      <c r="D166" s="6"/>
      <c r="E166" s="6" t="s">
        <v>60</v>
      </c>
      <c r="F166" s="6">
        <v>20</v>
      </c>
      <c r="G166" s="6">
        <v>99855</v>
      </c>
      <c r="H166" s="6">
        <v>18.100000000000001</v>
      </c>
      <c r="I166" s="6">
        <v>19.7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94">
        <f t="shared" si="23"/>
        <v>18.100000000000001</v>
      </c>
      <c r="T166" s="95">
        <f t="shared" si="24"/>
        <v>721</v>
      </c>
      <c r="U166" s="11">
        <f t="shared" ref="U166" si="28">T166*(P166/100)</f>
        <v>0</v>
      </c>
      <c r="V166" s="11">
        <f t="shared" ref="V166" si="29">U166*(273/(273+S166))</f>
        <v>0</v>
      </c>
      <c r="W166" s="12">
        <f t="shared" ref="W166" si="30">T166*(273/(273+S166))</f>
        <v>676.16970113363095</v>
      </c>
      <c r="X166" s="12">
        <f>V166/[1]Manure!$I$2</f>
        <v>0</v>
      </c>
      <c r="Y166" s="12">
        <f>W166/[1]Manure!$I$2</f>
        <v>482.22477840245858</v>
      </c>
      <c r="Z166" s="12"/>
      <c r="AA166" s="12"/>
      <c r="AB166" s="11"/>
      <c r="AC166" s="11"/>
    </row>
    <row r="167" spans="1:29" ht="15.75" thickBot="1" x14ac:dyDescent="0.3">
      <c r="A167" s="13">
        <v>45505</v>
      </c>
      <c r="B167" s="87">
        <v>0.41666666666666669</v>
      </c>
      <c r="C167" s="6"/>
      <c r="D167" s="6"/>
      <c r="E167" s="6" t="s">
        <v>60</v>
      </c>
      <c r="F167" s="6">
        <v>20</v>
      </c>
      <c r="G167" s="74">
        <v>100326</v>
      </c>
      <c r="H167" s="6">
        <v>19.100000000000001</v>
      </c>
      <c r="I167" s="6">
        <v>19.7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94">
        <f t="shared" si="23"/>
        <v>19.100000000000001</v>
      </c>
      <c r="T167" s="95">
        <f t="shared" si="24"/>
        <v>471</v>
      </c>
      <c r="U167" s="11">
        <f t="shared" si="25"/>
        <v>0</v>
      </c>
      <c r="V167" s="11">
        <f t="shared" si="26"/>
        <v>0</v>
      </c>
      <c r="W167" s="12">
        <f t="shared" si="27"/>
        <v>440.2019856213625</v>
      </c>
      <c r="X167" s="12">
        <f>V167/[1]Manure!$I$2</f>
        <v>0</v>
      </c>
      <c r="Y167" s="12">
        <f>W167/[1]Manure!$I$2</f>
        <v>313.93939215657309</v>
      </c>
      <c r="Z167" s="12"/>
      <c r="AA167" s="12"/>
      <c r="AB167" s="11"/>
      <c r="AC167" s="11"/>
    </row>
    <row r="168" spans="1:29" ht="15.75" thickBot="1" x14ac:dyDescent="0.3">
      <c r="A168" s="13">
        <v>45506</v>
      </c>
      <c r="B168" s="87">
        <v>0.41666666666666669</v>
      </c>
      <c r="C168" s="6"/>
      <c r="D168" s="6"/>
      <c r="E168" s="6" t="s">
        <v>60</v>
      </c>
      <c r="F168" s="6">
        <v>20</v>
      </c>
      <c r="G168" s="6">
        <v>100800</v>
      </c>
      <c r="H168" s="6">
        <v>19</v>
      </c>
      <c r="I168" s="6">
        <v>18.600000000000001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94">
        <f t="shared" si="23"/>
        <v>19</v>
      </c>
      <c r="T168" s="95">
        <f t="shared" si="24"/>
        <v>474</v>
      </c>
      <c r="U168" s="11">
        <f t="shared" si="25"/>
        <v>0</v>
      </c>
      <c r="V168" s="11">
        <f t="shared" si="26"/>
        <v>0</v>
      </c>
      <c r="W168" s="12">
        <f t="shared" si="27"/>
        <v>443.15753424657532</v>
      </c>
      <c r="X168" s="12">
        <f>V168/[1]Manure!$I$2</f>
        <v>0</v>
      </c>
      <c r="Y168" s="12">
        <f>W168/[1]Manure!$I$2</f>
        <v>316.04720440912075</v>
      </c>
      <c r="Z168" s="12"/>
      <c r="AA168" s="12"/>
      <c r="AB168" s="11"/>
      <c r="AC168" s="11"/>
    </row>
    <row r="169" spans="1:29" ht="15.75" thickBot="1" x14ac:dyDescent="0.3">
      <c r="A169" s="13">
        <v>45507</v>
      </c>
      <c r="B169" s="87">
        <v>0.41666666666666669</v>
      </c>
      <c r="C169" s="6"/>
      <c r="D169" s="6"/>
      <c r="E169" s="6" t="s">
        <v>60</v>
      </c>
      <c r="F169" s="6">
        <v>20</v>
      </c>
      <c r="G169" s="6">
        <v>101335</v>
      </c>
      <c r="H169" s="6">
        <v>19.100000000000001</v>
      </c>
      <c r="I169" s="6">
        <v>19.7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94">
        <f t="shared" si="23"/>
        <v>19.100000000000001</v>
      </c>
      <c r="T169" s="95">
        <f t="shared" si="24"/>
        <v>535</v>
      </c>
      <c r="U169" s="11">
        <f t="shared" si="25"/>
        <v>0</v>
      </c>
      <c r="V169" s="11">
        <f t="shared" si="26"/>
        <v>0</v>
      </c>
      <c r="W169" s="12">
        <f t="shared" si="27"/>
        <v>500.01711742553914</v>
      </c>
      <c r="X169" s="12">
        <f>V169/[1]Manure!$I$2</f>
        <v>0</v>
      </c>
      <c r="Y169" s="12">
        <f>W169/[1]Manure!$I$2</f>
        <v>356.59782336256177</v>
      </c>
      <c r="Z169" s="12"/>
      <c r="AA169" s="12"/>
      <c r="AB169" s="11"/>
      <c r="AC169" s="11"/>
    </row>
    <row r="170" spans="1:29" ht="15.75" thickBot="1" x14ac:dyDescent="0.3">
      <c r="A170" s="13">
        <v>45509</v>
      </c>
      <c r="B170" s="87">
        <v>0.41666666666666669</v>
      </c>
      <c r="C170" s="6"/>
      <c r="D170" s="6"/>
      <c r="E170" s="6" t="s">
        <v>60</v>
      </c>
      <c r="F170" s="6">
        <v>20</v>
      </c>
      <c r="G170" s="6">
        <v>102183</v>
      </c>
      <c r="H170" s="6">
        <v>23.3</v>
      </c>
      <c r="I170" s="6">
        <v>20.100000000000001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94">
        <f t="shared" si="23"/>
        <v>23.3</v>
      </c>
      <c r="T170" s="95">
        <f t="shared" si="24"/>
        <v>848</v>
      </c>
      <c r="U170" s="11">
        <f t="shared" si="25"/>
        <v>0</v>
      </c>
      <c r="V170" s="11">
        <f t="shared" si="26"/>
        <v>0</v>
      </c>
      <c r="W170" s="12">
        <f t="shared" si="27"/>
        <v>781.31623354708063</v>
      </c>
      <c r="X170" s="12">
        <f>V170/[1]Manure!$I$2</f>
        <v>0</v>
      </c>
      <c r="Y170" s="12">
        <f>W170/[1]Manure!$I$2</f>
        <v>557.21226040269403</v>
      </c>
      <c r="Z170" s="12"/>
      <c r="AA170" s="12"/>
      <c r="AB170" s="11"/>
      <c r="AC170" s="11"/>
    </row>
    <row r="171" spans="1:29" ht="15.75" thickBot="1" x14ac:dyDescent="0.3">
      <c r="A171" s="13">
        <v>45510</v>
      </c>
      <c r="B171" s="87">
        <v>0.41666666666666669</v>
      </c>
      <c r="C171" s="6"/>
      <c r="D171" s="6"/>
      <c r="E171" s="6" t="s">
        <v>60</v>
      </c>
      <c r="F171" s="6">
        <v>20</v>
      </c>
      <c r="G171" s="6">
        <v>102952</v>
      </c>
      <c r="H171" s="6">
        <v>26.1</v>
      </c>
      <c r="I171" s="6">
        <v>21.8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94">
        <f t="shared" si="23"/>
        <v>26.1</v>
      </c>
      <c r="T171" s="95">
        <f t="shared" si="24"/>
        <v>769</v>
      </c>
      <c r="U171" s="11">
        <f t="shared" si="25"/>
        <v>0</v>
      </c>
      <c r="V171" s="11">
        <f t="shared" si="26"/>
        <v>0</v>
      </c>
      <c r="W171" s="12">
        <f t="shared" si="27"/>
        <v>701.89568706118348</v>
      </c>
      <c r="X171" s="12">
        <f>V171/[1]Manure!$I$2</f>
        <v>0</v>
      </c>
      <c r="Y171" s="12">
        <f>W171/[1]Manure!$I$2</f>
        <v>500.57181146575618</v>
      </c>
      <c r="Z171" s="12"/>
      <c r="AA171" s="12"/>
      <c r="AB171" s="11"/>
      <c r="AC171" s="11"/>
    </row>
    <row r="172" spans="1:29" ht="15.75" thickBot="1" x14ac:dyDescent="0.3">
      <c r="A172" s="13">
        <v>45511</v>
      </c>
      <c r="B172" s="87">
        <v>0.41666666666666669</v>
      </c>
      <c r="C172" s="6"/>
      <c r="D172" s="6"/>
      <c r="E172" s="6" t="s">
        <v>60</v>
      </c>
      <c r="F172" s="6">
        <v>20</v>
      </c>
      <c r="G172" s="6">
        <v>103233</v>
      </c>
      <c r="H172" s="6">
        <v>26.1</v>
      </c>
      <c r="I172" s="6">
        <v>19.2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94">
        <f t="shared" si="23"/>
        <v>26.1</v>
      </c>
      <c r="T172" s="95">
        <f t="shared" si="24"/>
        <v>281</v>
      </c>
      <c r="U172" s="11">
        <f t="shared" si="25"/>
        <v>0</v>
      </c>
      <c r="V172" s="11">
        <f t="shared" si="26"/>
        <v>0</v>
      </c>
      <c r="W172" s="12">
        <f t="shared" si="27"/>
        <v>256.47943831494479</v>
      </c>
      <c r="X172" s="12">
        <f>V172/[1]Manure!$I$2</f>
        <v>0</v>
      </c>
      <c r="Y172" s="12">
        <f>W172/[1]Manure!$I$2</f>
        <v>182.91375685549735</v>
      </c>
      <c r="Z172" s="12"/>
      <c r="AA172" s="12"/>
      <c r="AB172" s="11"/>
      <c r="AC172" s="11"/>
    </row>
    <row r="173" spans="1:29" ht="15.75" thickBot="1" x14ac:dyDescent="0.3">
      <c r="A173" s="13">
        <v>45512</v>
      </c>
      <c r="B173" s="87">
        <v>0.41666666666666669</v>
      </c>
      <c r="C173" s="6"/>
      <c r="D173" s="6"/>
      <c r="E173" s="6" t="s">
        <v>60</v>
      </c>
      <c r="F173" s="6">
        <v>20</v>
      </c>
      <c r="G173" s="6">
        <v>103768</v>
      </c>
      <c r="H173" s="6">
        <v>20.9</v>
      </c>
      <c r="I173" s="6">
        <v>19.600000000000001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94">
        <f t="shared" si="23"/>
        <v>20.9</v>
      </c>
      <c r="T173" s="95">
        <f t="shared" si="24"/>
        <v>535</v>
      </c>
      <c r="U173" s="11">
        <f t="shared" si="25"/>
        <v>0</v>
      </c>
      <c r="V173" s="11">
        <f t="shared" si="26"/>
        <v>0</v>
      </c>
      <c r="W173" s="12">
        <f t="shared" si="27"/>
        <v>496.95474651241926</v>
      </c>
      <c r="X173" s="12">
        <f>V173/[1]Manure!$I$2</f>
        <v>0</v>
      </c>
      <c r="Y173" s="12">
        <f>W173/[1]Manure!$I$2</f>
        <v>354.41382852740497</v>
      </c>
      <c r="Z173" s="12"/>
      <c r="AA173" s="12"/>
      <c r="AB173" s="11"/>
      <c r="AC173" s="11"/>
    </row>
    <row r="174" spans="1:29" ht="15.75" thickBot="1" x14ac:dyDescent="0.3">
      <c r="A174" s="13">
        <v>45513</v>
      </c>
      <c r="B174" s="87">
        <v>0.41666666666666669</v>
      </c>
      <c r="C174" s="6"/>
      <c r="D174" s="6"/>
      <c r="E174" s="6" t="s">
        <v>60</v>
      </c>
      <c r="F174" s="6">
        <v>20</v>
      </c>
      <c r="G174" s="6">
        <v>104269</v>
      </c>
      <c r="H174" s="6">
        <v>16.399999999999999</v>
      </c>
      <c r="I174" s="6">
        <v>17.5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94">
        <f t="shared" si="23"/>
        <v>16.399999999999999</v>
      </c>
      <c r="T174" s="95">
        <f t="shared" si="24"/>
        <v>501</v>
      </c>
      <c r="U174" s="11">
        <f t="shared" si="25"/>
        <v>0</v>
      </c>
      <c r="V174" s="11">
        <f t="shared" si="26"/>
        <v>0</v>
      </c>
      <c r="W174" s="12">
        <f t="shared" si="27"/>
        <v>472.60884588804424</v>
      </c>
      <c r="X174" s="12">
        <f>V174/[1]Manure!$I$2</f>
        <v>0</v>
      </c>
      <c r="Y174" s="12">
        <f>W174/[1]Manure!$I$2</f>
        <v>337.05103259923118</v>
      </c>
      <c r="Z174" s="12"/>
      <c r="AA174" s="12"/>
      <c r="AB174" s="11"/>
      <c r="AC174" s="11"/>
    </row>
    <row r="175" spans="1:29" ht="15.75" thickBot="1" x14ac:dyDescent="0.3">
      <c r="A175" s="13">
        <v>45514</v>
      </c>
      <c r="B175" s="87">
        <v>0.41666666666666669</v>
      </c>
      <c r="C175" s="6"/>
      <c r="D175" s="6"/>
      <c r="E175" s="6" t="s">
        <v>60</v>
      </c>
      <c r="F175" s="6">
        <v>20</v>
      </c>
      <c r="G175" s="6">
        <v>104782</v>
      </c>
      <c r="H175" s="6">
        <v>16.2</v>
      </c>
      <c r="I175" s="6">
        <v>18.8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94">
        <f t="shared" si="23"/>
        <v>16.2</v>
      </c>
      <c r="T175" s="95">
        <f t="shared" si="24"/>
        <v>513</v>
      </c>
      <c r="U175" s="11">
        <f t="shared" si="25"/>
        <v>0</v>
      </c>
      <c r="V175" s="11">
        <f t="shared" si="26"/>
        <v>0</v>
      </c>
      <c r="W175" s="12">
        <f t="shared" si="27"/>
        <v>484.26348547717845</v>
      </c>
      <c r="X175" s="12">
        <f>V175/[1]Manure!$I$2</f>
        <v>0</v>
      </c>
      <c r="Y175" s="12">
        <f>W175/[1]Manure!$I$2</f>
        <v>345.36278626670293</v>
      </c>
      <c r="Z175" s="12"/>
      <c r="AA175" s="12"/>
      <c r="AB175" s="11"/>
      <c r="AC175" s="11"/>
    </row>
    <row r="176" spans="1:29" ht="15.75" thickBot="1" x14ac:dyDescent="0.3">
      <c r="A176" s="13">
        <v>45516</v>
      </c>
      <c r="B176" s="87">
        <v>0.41666666666666669</v>
      </c>
      <c r="C176" s="6"/>
      <c r="D176" s="6"/>
      <c r="E176" s="6" t="s">
        <v>60</v>
      </c>
      <c r="F176" s="6">
        <v>20</v>
      </c>
      <c r="G176" s="6">
        <v>105640</v>
      </c>
      <c r="H176" s="6">
        <v>17.600000000000001</v>
      </c>
      <c r="I176" s="6">
        <v>18.2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94">
        <f t="shared" si="23"/>
        <v>17.600000000000001</v>
      </c>
      <c r="T176" s="95">
        <f t="shared" si="24"/>
        <v>858</v>
      </c>
      <c r="U176" s="11">
        <f t="shared" si="25"/>
        <v>0</v>
      </c>
      <c r="V176" s="11">
        <f t="shared" si="26"/>
        <v>0</v>
      </c>
      <c r="W176" s="12">
        <f t="shared" si="27"/>
        <v>806.03578802477625</v>
      </c>
      <c r="X176" s="12">
        <f>V176/[1]Manure!$I$2</f>
        <v>0</v>
      </c>
      <c r="Y176" s="12">
        <f>W176/[1]Manure!$I$2</f>
        <v>574.84153550956307</v>
      </c>
      <c r="Z176" s="12"/>
      <c r="AA176" s="12"/>
      <c r="AB176" s="11"/>
      <c r="AC176" s="11"/>
    </row>
    <row r="177" spans="1:29" ht="15.75" thickBot="1" x14ac:dyDescent="0.3">
      <c r="A177" s="13">
        <v>45517</v>
      </c>
      <c r="B177" s="87">
        <v>0.41666666666666669</v>
      </c>
      <c r="C177" s="6"/>
      <c r="D177" s="6"/>
      <c r="E177" s="6" t="s">
        <v>60</v>
      </c>
      <c r="F177" s="6">
        <v>20</v>
      </c>
      <c r="G177" s="6">
        <v>106321</v>
      </c>
      <c r="H177" s="6">
        <v>18.399999999999999</v>
      </c>
      <c r="I177" s="6">
        <v>18.8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94">
        <f t="shared" si="23"/>
        <v>18.399999999999999</v>
      </c>
      <c r="T177" s="95">
        <f t="shared" si="24"/>
        <v>681</v>
      </c>
      <c r="U177" s="11">
        <f t="shared" si="25"/>
        <v>0</v>
      </c>
      <c r="V177" s="11">
        <f t="shared" si="26"/>
        <v>0</v>
      </c>
      <c r="W177" s="12">
        <f t="shared" si="27"/>
        <v>637.9993136582018</v>
      </c>
      <c r="X177" s="12">
        <f>V177/[1]Manure!$I$2</f>
        <v>0</v>
      </c>
      <c r="Y177" s="12">
        <f>W177/[1]Manure!$I$2</f>
        <v>455.00275616304873</v>
      </c>
      <c r="Z177" s="12"/>
      <c r="AA177" s="12"/>
      <c r="AB177" s="11"/>
      <c r="AC177" s="11"/>
    </row>
    <row r="178" spans="1:29" ht="15.75" thickBot="1" x14ac:dyDescent="0.3">
      <c r="A178" s="13">
        <v>45518</v>
      </c>
      <c r="B178" s="87">
        <v>0.41666666666666669</v>
      </c>
      <c r="C178" s="6"/>
      <c r="D178" s="6"/>
      <c r="E178" s="6" t="s">
        <v>60</v>
      </c>
      <c r="F178" s="6">
        <v>20</v>
      </c>
      <c r="G178" s="6">
        <v>107116</v>
      </c>
      <c r="H178" s="6">
        <v>21.7</v>
      </c>
      <c r="I178" s="6">
        <v>18.399999999999999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94">
        <f t="shared" si="23"/>
        <v>21.7</v>
      </c>
      <c r="T178" s="95">
        <f t="shared" si="24"/>
        <v>795</v>
      </c>
      <c r="U178" s="11">
        <f t="shared" si="25"/>
        <v>0</v>
      </c>
      <c r="V178" s="11">
        <f t="shared" si="26"/>
        <v>0</v>
      </c>
      <c r="W178" s="12">
        <f t="shared" si="27"/>
        <v>736.46080760095015</v>
      </c>
      <c r="X178" s="12">
        <f>V178/[1]Manure!$I$2</f>
        <v>0</v>
      </c>
      <c r="Y178" s="12">
        <f>W178/[1]Manure!$I$2</f>
        <v>525.22266104508265</v>
      </c>
      <c r="Z178" s="12"/>
      <c r="AA178" s="12"/>
      <c r="AB178" s="11"/>
      <c r="AC178" s="11"/>
    </row>
    <row r="179" spans="1:29" ht="15.75" thickBot="1" x14ac:dyDescent="0.3">
      <c r="A179" s="13">
        <v>45519</v>
      </c>
      <c r="B179" s="87">
        <v>0.41666666666666669</v>
      </c>
      <c r="C179" s="6"/>
      <c r="D179" s="6"/>
      <c r="E179" s="6" t="s">
        <v>60</v>
      </c>
      <c r="F179" s="6">
        <v>20</v>
      </c>
      <c r="G179" s="6">
        <v>107846</v>
      </c>
      <c r="H179" s="6">
        <v>20.399999999999999</v>
      </c>
      <c r="I179" s="6">
        <v>19.2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94">
        <f t="shared" si="23"/>
        <v>20.399999999999999</v>
      </c>
      <c r="T179" s="95">
        <f t="shared" si="24"/>
        <v>730</v>
      </c>
      <c r="U179" s="11">
        <f t="shared" si="25"/>
        <v>0</v>
      </c>
      <c r="V179" s="11">
        <f t="shared" si="26"/>
        <v>0</v>
      </c>
      <c r="W179" s="12">
        <f t="shared" si="27"/>
        <v>679.24335378323121</v>
      </c>
      <c r="X179" s="12">
        <f>V179/[1]Manure!$I$2</f>
        <v>0</v>
      </c>
      <c r="Y179" s="12">
        <f>W179/[1]Manure!$I$2</f>
        <v>484.41681904751357</v>
      </c>
      <c r="Z179" s="12"/>
      <c r="AA179" s="12"/>
      <c r="AB179" s="11"/>
      <c r="AC179" s="11"/>
    </row>
    <row r="180" spans="1:29" ht="15.75" thickBot="1" x14ac:dyDescent="0.3">
      <c r="A180" s="13">
        <v>45520</v>
      </c>
      <c r="B180" s="87">
        <v>0.41666666666666669</v>
      </c>
      <c r="C180" s="6"/>
      <c r="D180" s="6"/>
      <c r="E180" s="6" t="s">
        <v>60</v>
      </c>
      <c r="F180" s="6">
        <v>20</v>
      </c>
      <c r="G180" s="6">
        <v>108464</v>
      </c>
      <c r="H180" s="6">
        <v>17.8</v>
      </c>
      <c r="I180" s="6">
        <v>19.899999999999999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94">
        <f t="shared" si="23"/>
        <v>17.8</v>
      </c>
      <c r="T180" s="95">
        <f t="shared" si="24"/>
        <v>618</v>
      </c>
      <c r="U180" s="11">
        <f t="shared" si="25"/>
        <v>0</v>
      </c>
      <c r="V180" s="11">
        <f t="shared" si="26"/>
        <v>0</v>
      </c>
      <c r="W180" s="12">
        <f t="shared" si="27"/>
        <v>580.17193947730402</v>
      </c>
      <c r="X180" s="12">
        <f>V180/[1]Manure!$I$2</f>
        <v>0</v>
      </c>
      <c r="Y180" s="12">
        <f>W180/[1]Manure!$I$2</f>
        <v>413.76193650900683</v>
      </c>
      <c r="Z180" s="12"/>
      <c r="AA180" s="12"/>
      <c r="AB180" s="11"/>
      <c r="AC180" s="11"/>
    </row>
    <row r="181" spans="1:29" ht="15.75" thickBot="1" x14ac:dyDescent="0.3">
      <c r="A181" s="13">
        <v>45521</v>
      </c>
      <c r="B181" s="87">
        <v>0.41666666666666669</v>
      </c>
      <c r="C181" s="6"/>
      <c r="D181" s="6"/>
      <c r="E181" s="6" t="s">
        <v>60</v>
      </c>
      <c r="F181" s="6">
        <v>20</v>
      </c>
      <c r="G181" s="6">
        <v>108973</v>
      </c>
      <c r="H181" s="6">
        <v>23.3</v>
      </c>
      <c r="I181" s="6">
        <v>21.2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94">
        <f t="shared" si="23"/>
        <v>23.3</v>
      </c>
      <c r="T181" s="95">
        <f t="shared" si="24"/>
        <v>509</v>
      </c>
      <c r="U181" s="11">
        <f t="shared" si="25"/>
        <v>0</v>
      </c>
      <c r="V181" s="11">
        <f t="shared" si="26"/>
        <v>0</v>
      </c>
      <c r="W181" s="12">
        <f t="shared" si="27"/>
        <v>468.97401282483963</v>
      </c>
      <c r="X181" s="12">
        <f>V181/[1]Manure!$I$2</f>
        <v>0</v>
      </c>
      <c r="Y181" s="12">
        <f>W181/[1]Manure!$I$2</f>
        <v>334.45877422756041</v>
      </c>
      <c r="Z181" s="12"/>
      <c r="AA181" s="12"/>
      <c r="AB181" s="11"/>
      <c r="AC181" s="11"/>
    </row>
    <row r="182" spans="1:29" ht="15.75" thickBot="1" x14ac:dyDescent="0.3">
      <c r="A182" s="13">
        <v>45523</v>
      </c>
      <c r="B182" s="87">
        <v>0.41666666666666669</v>
      </c>
      <c r="C182" s="6"/>
      <c r="D182" s="6"/>
      <c r="E182" s="6" t="s">
        <v>60</v>
      </c>
      <c r="F182" s="6">
        <v>20</v>
      </c>
      <c r="G182" s="6">
        <v>109845</v>
      </c>
      <c r="H182" s="6">
        <v>18.5</v>
      </c>
      <c r="I182" s="6">
        <v>20.100000000000001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94">
        <f t="shared" si="23"/>
        <v>18.5</v>
      </c>
      <c r="T182" s="95">
        <f t="shared" si="24"/>
        <v>872</v>
      </c>
      <c r="U182" s="11">
        <f t="shared" si="25"/>
        <v>0</v>
      </c>
      <c r="V182" s="11">
        <f t="shared" si="26"/>
        <v>0</v>
      </c>
      <c r="W182" s="12">
        <f t="shared" si="27"/>
        <v>816.65866209262435</v>
      </c>
      <c r="X182" s="12">
        <f>V182/[1]Manure!$I$2</f>
        <v>0</v>
      </c>
      <c r="Y182" s="12">
        <f>W182/[1]Manure!$I$2</f>
        <v>582.41746368968859</v>
      </c>
      <c r="Z182" s="12"/>
      <c r="AA182" s="12"/>
      <c r="AB182" s="11"/>
      <c r="AC182" s="11"/>
    </row>
    <row r="183" spans="1:29" ht="15.75" thickBot="1" x14ac:dyDescent="0.3">
      <c r="A183" s="13">
        <v>45524</v>
      </c>
      <c r="B183" s="87">
        <v>0.41666666666666669</v>
      </c>
      <c r="C183" s="6"/>
      <c r="D183" s="6"/>
      <c r="E183" s="6" t="s">
        <v>60</v>
      </c>
      <c r="F183" s="6">
        <v>20</v>
      </c>
      <c r="G183" s="6">
        <v>110472</v>
      </c>
      <c r="H183" s="6">
        <v>21.6</v>
      </c>
      <c r="I183" s="6">
        <v>20.9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94">
        <f t="shared" si="23"/>
        <v>21.6</v>
      </c>
      <c r="T183" s="95">
        <f t="shared" si="24"/>
        <v>627</v>
      </c>
      <c r="U183" s="11">
        <f t="shared" si="25"/>
        <v>0</v>
      </c>
      <c r="V183" s="11">
        <f t="shared" si="26"/>
        <v>0</v>
      </c>
      <c r="W183" s="12">
        <f t="shared" si="27"/>
        <v>581.02851323828918</v>
      </c>
      <c r="X183" s="12">
        <f>V183/[1]Manure!$I$2</f>
        <v>0</v>
      </c>
      <c r="Y183" s="12">
        <f>W183/[1]Manure!$I$2</f>
        <v>414.37282027292576</v>
      </c>
      <c r="Z183" s="12"/>
      <c r="AA183" s="12"/>
      <c r="AB183" s="11"/>
      <c r="AC183" s="11"/>
    </row>
    <row r="184" spans="1:29" ht="15.75" thickBot="1" x14ac:dyDescent="0.3">
      <c r="A184" s="13">
        <v>45525</v>
      </c>
      <c r="B184" s="87">
        <v>0.41666666666666669</v>
      </c>
      <c r="C184" s="6"/>
      <c r="D184" s="6"/>
      <c r="E184" s="6" t="s">
        <v>60</v>
      </c>
      <c r="F184" s="6">
        <v>20</v>
      </c>
      <c r="G184" s="6">
        <v>111163</v>
      </c>
      <c r="H184" s="6">
        <v>15.8</v>
      </c>
      <c r="I184" s="6">
        <v>18.2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94">
        <f t="shared" si="23"/>
        <v>15.8</v>
      </c>
      <c r="T184" s="95">
        <f t="shared" si="24"/>
        <v>691</v>
      </c>
      <c r="U184" s="11">
        <f t="shared" si="25"/>
        <v>0</v>
      </c>
      <c r="V184" s="11">
        <f t="shared" si="26"/>
        <v>0</v>
      </c>
      <c r="W184" s="12">
        <f t="shared" si="27"/>
        <v>653.19598337950129</v>
      </c>
      <c r="X184" s="12">
        <f>V184/[1]Manure!$I$2</f>
        <v>0</v>
      </c>
      <c r="Y184" s="12">
        <f>W184/[1]Manure!$I$2</f>
        <v>465.84058382158315</v>
      </c>
      <c r="Z184" s="12"/>
      <c r="AA184" s="12"/>
      <c r="AB184" s="11"/>
      <c r="AC184" s="11"/>
    </row>
    <row r="185" spans="1:29" ht="15.75" thickBot="1" x14ac:dyDescent="0.3">
      <c r="A185" s="13">
        <v>45526</v>
      </c>
      <c r="B185" s="87">
        <v>0.41666666666666669</v>
      </c>
      <c r="C185" s="6"/>
      <c r="D185" s="6"/>
      <c r="E185" s="6" t="s">
        <v>60</v>
      </c>
      <c r="F185" s="6">
        <v>20</v>
      </c>
      <c r="G185" s="6">
        <v>111682</v>
      </c>
      <c r="H185" s="6">
        <v>16</v>
      </c>
      <c r="I185" s="6">
        <v>20.399999999999999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94">
        <f t="shared" si="23"/>
        <v>16</v>
      </c>
      <c r="T185" s="95">
        <f t="shared" si="24"/>
        <v>519</v>
      </c>
      <c r="U185" s="11">
        <f t="shared" si="25"/>
        <v>0</v>
      </c>
      <c r="V185" s="11">
        <f t="shared" si="26"/>
        <v>0</v>
      </c>
      <c r="W185" s="12">
        <f t="shared" si="27"/>
        <v>490.26643598615919</v>
      </c>
      <c r="X185" s="12">
        <f>V185/[1]Manure!$I$2</f>
        <v>0</v>
      </c>
      <c r="Y185" s="12">
        <f>W185/[1]Manure!$I$2</f>
        <v>349.64391787331135</v>
      </c>
      <c r="Z185" s="12"/>
      <c r="AA185" s="12"/>
      <c r="AB185" s="11"/>
      <c r="AC185" s="11"/>
    </row>
    <row r="186" spans="1:29" ht="15.75" thickBot="1" x14ac:dyDescent="0.3">
      <c r="A186" s="13">
        <v>45527</v>
      </c>
      <c r="B186" s="87">
        <v>0.41666666666666669</v>
      </c>
      <c r="C186" s="6"/>
      <c r="D186" s="6"/>
      <c r="E186" s="6" t="s">
        <v>60</v>
      </c>
      <c r="F186" s="6">
        <v>20</v>
      </c>
      <c r="G186" s="6">
        <v>112229</v>
      </c>
      <c r="H186" s="6">
        <v>19.100000000000001</v>
      </c>
      <c r="I186" s="6">
        <v>20.8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94">
        <f t="shared" si="23"/>
        <v>19.100000000000001</v>
      </c>
      <c r="T186" s="95">
        <f t="shared" si="24"/>
        <v>547</v>
      </c>
      <c r="U186" s="11">
        <f t="shared" si="25"/>
        <v>0</v>
      </c>
      <c r="V186" s="11">
        <f t="shared" si="26"/>
        <v>0</v>
      </c>
      <c r="W186" s="12">
        <f t="shared" si="27"/>
        <v>511.23245463882228</v>
      </c>
      <c r="X186" s="12">
        <f>V186/[1]Manure!$I$2</f>
        <v>0</v>
      </c>
      <c r="Y186" s="12">
        <f>W186/[1]Manure!$I$2</f>
        <v>364.59627921368468</v>
      </c>
      <c r="Z186" s="12"/>
      <c r="AA186" s="12"/>
      <c r="AB186" s="11"/>
      <c r="AC186" s="11"/>
    </row>
    <row r="187" spans="1:29" ht="15.75" thickBot="1" x14ac:dyDescent="0.3">
      <c r="A187" s="13">
        <v>45528</v>
      </c>
      <c r="B187" s="87">
        <v>0.41666666666666669</v>
      </c>
      <c r="C187" s="6"/>
      <c r="D187" s="6"/>
      <c r="E187" s="6" t="s">
        <v>60</v>
      </c>
      <c r="F187" s="6">
        <v>20</v>
      </c>
      <c r="G187" s="6">
        <v>112758</v>
      </c>
      <c r="H187" s="6">
        <v>16.2</v>
      </c>
      <c r="I187" s="6">
        <v>19.399999999999999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94">
        <f t="shared" si="23"/>
        <v>16.2</v>
      </c>
      <c r="T187" s="95">
        <f t="shared" si="24"/>
        <v>529</v>
      </c>
      <c r="U187" s="11">
        <f t="shared" si="25"/>
        <v>0</v>
      </c>
      <c r="V187" s="11">
        <f t="shared" si="26"/>
        <v>0</v>
      </c>
      <c r="W187" s="12">
        <f t="shared" si="27"/>
        <v>499.36721991701251</v>
      </c>
      <c r="X187" s="12">
        <f>V187/[1]Manure!$I$2</f>
        <v>0</v>
      </c>
      <c r="Y187" s="12">
        <f>W187/[1]Manure!$I$2</f>
        <v>356.1343351561128</v>
      </c>
      <c r="Z187" s="12"/>
      <c r="AA187" s="12"/>
      <c r="AB187" s="11"/>
      <c r="AC187" s="11"/>
    </row>
    <row r="188" spans="1:29" ht="15.75" thickBot="1" x14ac:dyDescent="0.3">
      <c r="A188" s="13">
        <v>45530</v>
      </c>
      <c r="B188" s="87">
        <v>0.41666666666666669</v>
      </c>
      <c r="C188" s="6"/>
      <c r="D188" s="6"/>
      <c r="E188" s="6" t="s">
        <v>60</v>
      </c>
      <c r="F188" s="6">
        <v>20</v>
      </c>
      <c r="G188" s="6">
        <v>113555</v>
      </c>
      <c r="H188" s="6">
        <v>17.100000000000001</v>
      </c>
      <c r="I188" s="6">
        <v>18.399999999999999</v>
      </c>
      <c r="J188" s="21"/>
      <c r="K188" s="21"/>
      <c r="L188" s="21"/>
      <c r="M188" s="21"/>
      <c r="N188" s="21"/>
      <c r="O188" s="21"/>
      <c r="P188" s="21"/>
      <c r="Q188" s="21"/>
      <c r="R188" s="21"/>
      <c r="S188" s="94">
        <f t="shared" si="23"/>
        <v>17.100000000000001</v>
      </c>
      <c r="T188" s="95">
        <f t="shared" si="24"/>
        <v>797</v>
      </c>
      <c r="U188" s="11">
        <f t="shared" si="25"/>
        <v>0</v>
      </c>
      <c r="V188" s="11">
        <f t="shared" si="26"/>
        <v>0</v>
      </c>
      <c r="W188" s="12">
        <f t="shared" si="27"/>
        <v>750.02068252326774</v>
      </c>
      <c r="X188" s="12">
        <f>V188/[1]Manure!$I$2</f>
        <v>0</v>
      </c>
      <c r="Y188" s="12">
        <f>W188/[1]Manure!$I$2</f>
        <v>534.89317374125471</v>
      </c>
      <c r="Z188" s="12"/>
      <c r="AA188" s="12"/>
      <c r="AB188" s="11"/>
      <c r="AC188" s="11"/>
    </row>
    <row r="189" spans="1:29" ht="15.75" thickBot="1" x14ac:dyDescent="0.3">
      <c r="A189" s="13">
        <v>45531</v>
      </c>
      <c r="B189" s="87">
        <v>0.41666666666666669</v>
      </c>
      <c r="C189" s="6"/>
      <c r="D189" s="6"/>
      <c r="E189" s="6" t="s">
        <v>60</v>
      </c>
      <c r="F189" s="6">
        <v>20</v>
      </c>
      <c r="G189" s="6">
        <v>114103</v>
      </c>
      <c r="H189" s="6">
        <v>20.2</v>
      </c>
      <c r="I189" s="6">
        <v>19.899999999999999</v>
      </c>
      <c r="J189" s="21"/>
      <c r="K189" s="21"/>
      <c r="L189" s="21"/>
      <c r="M189" s="21"/>
      <c r="N189" s="21"/>
      <c r="O189" s="21"/>
      <c r="P189" s="21"/>
      <c r="Q189" s="21"/>
      <c r="R189" s="21"/>
      <c r="S189" s="94">
        <f t="shared" si="23"/>
        <v>20.2</v>
      </c>
      <c r="T189" s="95">
        <f t="shared" si="24"/>
        <v>548</v>
      </c>
      <c r="U189" s="11">
        <f t="shared" si="25"/>
        <v>0</v>
      </c>
      <c r="V189" s="11">
        <f t="shared" si="26"/>
        <v>0</v>
      </c>
      <c r="W189" s="12">
        <f t="shared" si="27"/>
        <v>510.24556616643929</v>
      </c>
      <c r="X189" s="12">
        <f>V189/[1]Manure!$I$2</f>
        <v>0</v>
      </c>
      <c r="Y189" s="12">
        <f>W189/[1]Manure!$I$2</f>
        <v>363.89245874656677</v>
      </c>
      <c r="Z189" s="12"/>
      <c r="AA189" s="12"/>
      <c r="AB189" s="11"/>
      <c r="AC189" s="11"/>
    </row>
    <row r="190" spans="1:29" ht="15.75" thickBot="1" x14ac:dyDescent="0.3">
      <c r="A190" s="13">
        <v>45532</v>
      </c>
      <c r="B190" s="87">
        <v>0.41666666666666669</v>
      </c>
      <c r="C190" s="6"/>
      <c r="D190" s="6"/>
      <c r="E190" s="6" t="s">
        <v>60</v>
      </c>
      <c r="F190" s="6">
        <v>20</v>
      </c>
      <c r="G190" s="6">
        <v>114481</v>
      </c>
      <c r="H190" s="6">
        <v>22.9</v>
      </c>
      <c r="I190" s="6">
        <v>19.100000000000001</v>
      </c>
      <c r="J190" s="21"/>
      <c r="K190" s="21"/>
      <c r="L190" s="21"/>
      <c r="M190" s="21"/>
      <c r="N190" s="21"/>
      <c r="O190" s="21"/>
      <c r="P190" s="21"/>
      <c r="Q190" s="21"/>
      <c r="R190" s="21"/>
      <c r="S190" s="94">
        <f t="shared" si="23"/>
        <v>22.9</v>
      </c>
      <c r="T190" s="95">
        <f t="shared" si="24"/>
        <v>378</v>
      </c>
      <c r="U190" s="11">
        <f t="shared" si="25"/>
        <v>0</v>
      </c>
      <c r="V190" s="11">
        <f t="shared" si="26"/>
        <v>0</v>
      </c>
      <c r="W190" s="12">
        <f t="shared" si="27"/>
        <v>348.74619803987832</v>
      </c>
      <c r="X190" s="12">
        <f>V190/[1]Manure!$I$2</f>
        <v>0</v>
      </c>
      <c r="Y190" s="12">
        <f>W190/[1]Manure!$I$2</f>
        <v>248.71575550712842</v>
      </c>
      <c r="Z190" s="12"/>
      <c r="AA190" s="12"/>
      <c r="AB190" s="11"/>
      <c r="AC190" s="11"/>
    </row>
    <row r="191" spans="1:29" ht="15.75" thickBot="1" x14ac:dyDescent="0.3">
      <c r="A191" s="13">
        <v>45533</v>
      </c>
      <c r="B191" s="87">
        <v>0.41666666666666669</v>
      </c>
      <c r="C191" s="6"/>
      <c r="D191" s="6"/>
      <c r="E191" s="6" t="s">
        <v>60</v>
      </c>
      <c r="F191" s="6">
        <v>20</v>
      </c>
      <c r="G191" s="6">
        <v>115222</v>
      </c>
      <c r="H191" s="6">
        <v>22.1</v>
      </c>
      <c r="I191" s="6">
        <v>19.600000000000001</v>
      </c>
      <c r="J191" s="21"/>
      <c r="K191" s="21"/>
      <c r="L191" s="21"/>
      <c r="M191" s="21"/>
      <c r="N191" s="21"/>
      <c r="O191" s="21"/>
      <c r="P191" s="21"/>
      <c r="Q191" s="21"/>
      <c r="R191" s="21"/>
      <c r="S191" s="94">
        <f t="shared" si="23"/>
        <v>22.1</v>
      </c>
      <c r="T191" s="95">
        <f t="shared" si="24"/>
        <v>741</v>
      </c>
      <c r="U191" s="11">
        <f t="shared" si="25"/>
        <v>0</v>
      </c>
      <c r="V191" s="11">
        <f t="shared" si="26"/>
        <v>0</v>
      </c>
      <c r="W191" s="12">
        <f t="shared" si="27"/>
        <v>685.50660792951544</v>
      </c>
      <c r="X191" s="12">
        <f>V191/[1]Manure!$I$2</f>
        <v>0</v>
      </c>
      <c r="Y191" s="12">
        <f>W191/[1]Manure!$I$2</f>
        <v>488.88359171967932</v>
      </c>
      <c r="Z191" s="12"/>
      <c r="AA191" s="12"/>
      <c r="AB191" s="11"/>
      <c r="AC191" s="11"/>
    </row>
    <row r="192" spans="1:29" ht="15.75" thickBot="1" x14ac:dyDescent="0.3">
      <c r="A192" s="13">
        <v>45534</v>
      </c>
      <c r="B192" s="87">
        <v>0.41666666666666669</v>
      </c>
      <c r="C192" s="6"/>
      <c r="D192" s="6"/>
      <c r="E192" s="6" t="s">
        <v>60</v>
      </c>
      <c r="F192" s="6">
        <v>20</v>
      </c>
      <c r="G192" s="6">
        <v>115895</v>
      </c>
      <c r="H192" s="6">
        <v>21.7</v>
      </c>
      <c r="I192" s="6">
        <v>20.100000000000001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94">
        <f t="shared" si="23"/>
        <v>21.7</v>
      </c>
      <c r="T192" s="95">
        <f t="shared" si="24"/>
        <v>673</v>
      </c>
      <c r="U192" s="11">
        <f t="shared" si="25"/>
        <v>0</v>
      </c>
      <c r="V192" s="11">
        <f t="shared" si="26"/>
        <v>0</v>
      </c>
      <c r="W192" s="12">
        <f t="shared" si="27"/>
        <v>623.44418052256538</v>
      </c>
      <c r="X192" s="12">
        <f>V192/[1]Manure!$I$2</f>
        <v>0</v>
      </c>
      <c r="Y192" s="12">
        <f>W192/[1]Manure!$I$2</f>
        <v>444.62245394130895</v>
      </c>
      <c r="Z192" s="12"/>
      <c r="AA192" s="12"/>
      <c r="AB192" s="11"/>
      <c r="AC192" s="11"/>
    </row>
    <row r="193" spans="1:29" ht="15.75" thickBot="1" x14ac:dyDescent="0.3">
      <c r="A193" s="13">
        <v>45535</v>
      </c>
      <c r="B193" s="87">
        <v>0.41666666666666669</v>
      </c>
      <c r="C193" s="6"/>
      <c r="D193" s="6"/>
      <c r="E193" s="6" t="s">
        <v>60</v>
      </c>
      <c r="F193" s="6">
        <v>20</v>
      </c>
      <c r="G193" s="6">
        <v>116665</v>
      </c>
      <c r="H193" s="6">
        <v>18.100000000000001</v>
      </c>
      <c r="I193" s="6">
        <v>19.8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94">
        <f t="shared" si="23"/>
        <v>18.100000000000001</v>
      </c>
      <c r="T193" s="95">
        <f t="shared" si="24"/>
        <v>770</v>
      </c>
      <c r="U193" s="11">
        <f t="shared" si="25"/>
        <v>0</v>
      </c>
      <c r="V193" s="11">
        <f t="shared" si="26"/>
        <v>0</v>
      </c>
      <c r="W193" s="12">
        <f t="shared" si="27"/>
        <v>722.12298179319816</v>
      </c>
      <c r="X193" s="12">
        <f>V193/[1]Manure!$I$2</f>
        <v>0</v>
      </c>
      <c r="Y193" s="12">
        <f>W193/[1]Manure!$I$2</f>
        <v>514.99733615796549</v>
      </c>
      <c r="Z193" s="12"/>
      <c r="AA193" s="12"/>
      <c r="AB193" s="11"/>
      <c r="AC193" s="11"/>
    </row>
    <row r="194" spans="1:29" ht="15.75" thickBot="1" x14ac:dyDescent="0.3">
      <c r="A194" s="13">
        <v>45537</v>
      </c>
      <c r="B194" s="87">
        <v>0.41666666666666669</v>
      </c>
      <c r="C194" s="6"/>
      <c r="D194" s="6"/>
      <c r="E194" s="6" t="s">
        <v>60</v>
      </c>
      <c r="F194" s="6">
        <v>20</v>
      </c>
      <c r="G194" s="6">
        <v>117507</v>
      </c>
      <c r="H194" s="6">
        <v>18.3</v>
      </c>
      <c r="I194" s="6">
        <v>21.6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94">
        <f t="shared" si="23"/>
        <v>18.3</v>
      </c>
      <c r="T194" s="95">
        <f t="shared" si="24"/>
        <v>842</v>
      </c>
      <c r="U194" s="11">
        <f t="shared" si="25"/>
        <v>0</v>
      </c>
      <c r="V194" s="11">
        <f t="shared" si="26"/>
        <v>0</v>
      </c>
      <c r="W194" s="12">
        <f t="shared" si="27"/>
        <v>789.10401647785784</v>
      </c>
      <c r="X194" s="12">
        <f>V194/[1]Manure!$I$2</f>
        <v>0</v>
      </c>
      <c r="Y194" s="12">
        <f>W194/[1]Manure!$I$2</f>
        <v>562.76628314542302</v>
      </c>
      <c r="Z194" s="12"/>
      <c r="AA194" s="12"/>
      <c r="AB194" s="11"/>
      <c r="AC194" s="11"/>
    </row>
    <row r="195" spans="1:29" ht="15.75" thickBot="1" x14ac:dyDescent="0.3">
      <c r="A195" s="13">
        <v>45538</v>
      </c>
      <c r="B195" s="87">
        <v>0.41666666666666669</v>
      </c>
      <c r="C195" s="6"/>
      <c r="D195" s="6"/>
      <c r="E195" s="6" t="s">
        <v>60</v>
      </c>
      <c r="F195" s="6">
        <v>20</v>
      </c>
      <c r="G195" s="6">
        <v>118492</v>
      </c>
      <c r="H195" s="6">
        <v>16.3</v>
      </c>
      <c r="I195" s="6">
        <v>20.8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94">
        <f t="shared" si="23"/>
        <v>16.3</v>
      </c>
      <c r="T195" s="95">
        <f t="shared" si="24"/>
        <v>985</v>
      </c>
      <c r="U195" s="11">
        <f t="shared" si="25"/>
        <v>0</v>
      </c>
      <c r="V195" s="11">
        <f t="shared" si="26"/>
        <v>0</v>
      </c>
      <c r="W195" s="12">
        <f t="shared" si="27"/>
        <v>929.50224680262704</v>
      </c>
      <c r="X195" s="12">
        <f>V195/[1]Manure!$I$2</f>
        <v>0</v>
      </c>
      <c r="Y195" s="12">
        <f>W195/[1]Manure!$I$2</f>
        <v>662.89426195451631</v>
      </c>
      <c r="Z195" s="12"/>
      <c r="AA195" s="12"/>
      <c r="AB195" s="11"/>
      <c r="AC195" s="11"/>
    </row>
    <row r="196" spans="1:29" ht="15.75" thickBot="1" x14ac:dyDescent="0.3">
      <c r="A196" s="13">
        <v>45539</v>
      </c>
      <c r="B196" s="87">
        <v>0.41666666666666669</v>
      </c>
      <c r="C196" s="6"/>
      <c r="D196" s="6"/>
      <c r="E196" s="6" t="s">
        <v>60</v>
      </c>
      <c r="F196" s="6">
        <v>20</v>
      </c>
      <c r="G196" s="6">
        <v>119058</v>
      </c>
      <c r="H196" s="6">
        <v>19.600000000000001</v>
      </c>
      <c r="I196" s="6">
        <v>19.7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94">
        <f t="shared" ref="S196:S259" si="31">H196</f>
        <v>19.600000000000001</v>
      </c>
      <c r="T196" s="95">
        <f t="shared" ref="T196:T259" si="32">G196-G195</f>
        <v>566</v>
      </c>
      <c r="U196" s="11">
        <f t="shared" si="25"/>
        <v>0</v>
      </c>
      <c r="V196" s="11">
        <f t="shared" si="26"/>
        <v>0</v>
      </c>
      <c r="W196" s="12">
        <f t="shared" si="27"/>
        <v>528.08612440191382</v>
      </c>
      <c r="X196" s="12">
        <f>V196/[1]Manure!$I$2</f>
        <v>0</v>
      </c>
      <c r="Y196" s="12">
        <f>W196/[1]Manure!$I$2</f>
        <v>376.6158316324773</v>
      </c>
      <c r="Z196" s="12"/>
      <c r="AA196" s="12"/>
      <c r="AB196" s="11"/>
      <c r="AC196" s="11"/>
    </row>
    <row r="197" spans="1:29" ht="15.75" thickBot="1" x14ac:dyDescent="0.3">
      <c r="A197" s="13">
        <v>45540</v>
      </c>
      <c r="B197" s="87">
        <v>0.41666666666666669</v>
      </c>
      <c r="C197" s="6"/>
      <c r="D197" s="6"/>
      <c r="E197" s="6" t="s">
        <v>60</v>
      </c>
      <c r="F197" s="6">
        <v>20</v>
      </c>
      <c r="G197" s="6">
        <v>119555</v>
      </c>
      <c r="H197" s="6">
        <v>20</v>
      </c>
      <c r="I197" s="6">
        <v>19.5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94">
        <f t="shared" si="31"/>
        <v>20</v>
      </c>
      <c r="T197" s="95">
        <f t="shared" si="32"/>
        <v>497</v>
      </c>
      <c r="U197" s="11">
        <f t="shared" ref="U197:U254" si="33">T197*(P197/100)</f>
        <v>0</v>
      </c>
      <c r="V197" s="11">
        <f t="shared" ref="V197:V254" si="34">U197*(273/(273+S197))</f>
        <v>0</v>
      </c>
      <c r="W197" s="12">
        <f t="shared" ref="W197:W254" si="35">T197*(273/(273+S197))</f>
        <v>463.07508532423208</v>
      </c>
      <c r="X197" s="12">
        <f>V197/[1]Manure!$I$2</f>
        <v>0</v>
      </c>
      <c r="Y197" s="12">
        <f>W197/[1]Manure!$I$2</f>
        <v>330.25182883792888</v>
      </c>
      <c r="Z197" s="12"/>
      <c r="AA197" s="12"/>
      <c r="AB197" s="11"/>
      <c r="AC197" s="11"/>
    </row>
    <row r="198" spans="1:29" ht="15.75" thickBot="1" x14ac:dyDescent="0.3">
      <c r="A198" s="13">
        <v>45541</v>
      </c>
      <c r="B198" s="87">
        <v>0.41666666666666669</v>
      </c>
      <c r="C198" s="6"/>
      <c r="D198" s="6"/>
      <c r="E198" s="6" t="s">
        <v>60</v>
      </c>
      <c r="F198" s="6">
        <v>20</v>
      </c>
      <c r="G198" s="6">
        <v>119994</v>
      </c>
      <c r="H198" s="6">
        <v>23.6</v>
      </c>
      <c r="I198" s="6">
        <v>20.6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94">
        <f t="shared" si="31"/>
        <v>23.6</v>
      </c>
      <c r="T198" s="95">
        <f t="shared" si="32"/>
        <v>439</v>
      </c>
      <c r="U198" s="11">
        <f t="shared" si="33"/>
        <v>0</v>
      </c>
      <c r="V198" s="11">
        <f t="shared" si="34"/>
        <v>0</v>
      </c>
      <c r="W198" s="12">
        <f t="shared" si="35"/>
        <v>404.0694538098449</v>
      </c>
      <c r="X198" s="12">
        <f>V198/[1]Manure!$I$2</f>
        <v>0</v>
      </c>
      <c r="Y198" s="12">
        <f>W198/[1]Manure!$I$2</f>
        <v>288.17070995043952</v>
      </c>
      <c r="Z198" s="12"/>
      <c r="AA198" s="12"/>
      <c r="AB198" s="11"/>
      <c r="AC198" s="11"/>
    </row>
    <row r="199" spans="1:29" ht="15.75" thickBot="1" x14ac:dyDescent="0.3">
      <c r="A199" s="13">
        <v>45542</v>
      </c>
      <c r="B199" s="87">
        <v>0.41666666666666669</v>
      </c>
      <c r="C199" s="6"/>
      <c r="D199" s="6"/>
      <c r="E199" s="6" t="s">
        <v>60</v>
      </c>
      <c r="F199" s="6">
        <v>20</v>
      </c>
      <c r="G199" s="6">
        <v>120564</v>
      </c>
      <c r="H199" s="6">
        <v>23.4</v>
      </c>
      <c r="I199" s="6">
        <v>21.2</v>
      </c>
      <c r="J199" s="21"/>
      <c r="K199" s="21"/>
      <c r="L199" s="21"/>
      <c r="M199" s="21"/>
      <c r="N199" s="21"/>
      <c r="O199" s="21"/>
      <c r="P199" s="21"/>
      <c r="Q199" s="21"/>
      <c r="R199" s="21"/>
      <c r="S199" s="94">
        <f t="shared" si="31"/>
        <v>23.4</v>
      </c>
      <c r="T199" s="95">
        <f t="shared" si="32"/>
        <v>570</v>
      </c>
      <c r="U199" s="11">
        <f t="shared" si="33"/>
        <v>0</v>
      </c>
      <c r="V199" s="11">
        <f t="shared" si="34"/>
        <v>0</v>
      </c>
      <c r="W199" s="12">
        <f t="shared" si="35"/>
        <v>525</v>
      </c>
      <c r="X199" s="12">
        <f>V199/[1]Manure!$I$2</f>
        <v>0</v>
      </c>
      <c r="Y199" s="12">
        <f>W199/[1]Manure!$I$2</f>
        <v>374.41489649246694</v>
      </c>
      <c r="Z199" s="12"/>
      <c r="AA199" s="12"/>
      <c r="AB199" s="11"/>
      <c r="AC199" s="11"/>
    </row>
    <row r="200" spans="1:29" ht="27" thickBot="1" x14ac:dyDescent="0.3">
      <c r="A200" s="13">
        <v>45543</v>
      </c>
      <c r="B200" s="87">
        <v>0.41666666666666669</v>
      </c>
      <c r="C200" s="6"/>
      <c r="D200" s="6"/>
      <c r="E200" s="6" t="s">
        <v>60</v>
      </c>
      <c r="F200" s="6">
        <v>20</v>
      </c>
      <c r="G200" s="74">
        <v>0</v>
      </c>
      <c r="H200" s="6">
        <v>0</v>
      </c>
      <c r="I200" s="6">
        <v>0</v>
      </c>
      <c r="J200" s="21"/>
      <c r="K200" s="21"/>
      <c r="L200" s="21"/>
      <c r="M200" s="21"/>
      <c r="N200" s="21"/>
      <c r="O200" s="21"/>
      <c r="P200" s="21"/>
      <c r="Q200" s="21"/>
      <c r="R200" s="21"/>
      <c r="S200" s="94">
        <f t="shared" si="31"/>
        <v>0</v>
      </c>
      <c r="T200" s="95">
        <f t="shared" si="32"/>
        <v>-120564</v>
      </c>
      <c r="U200" s="11">
        <f t="shared" si="33"/>
        <v>0</v>
      </c>
      <c r="V200" s="11">
        <f t="shared" si="34"/>
        <v>0</v>
      </c>
      <c r="W200" s="12">
        <f t="shared" si="35"/>
        <v>-120564</v>
      </c>
      <c r="X200" s="12">
        <f>V200/[1]Manure!$I$2</f>
        <v>0</v>
      </c>
      <c r="Y200" s="12">
        <f>W200/[1]Manure!$I$2</f>
        <v>-85982.776344224359</v>
      </c>
      <c r="Z200" s="12"/>
      <c r="AA200" s="12"/>
      <c r="AB200" s="11" t="s">
        <v>82</v>
      </c>
      <c r="AC200" s="11"/>
    </row>
    <row r="201" spans="1:29" ht="15.75" thickBot="1" x14ac:dyDescent="0.3">
      <c r="A201" s="13">
        <v>45544</v>
      </c>
      <c r="B201" s="87">
        <v>0.41666666666666669</v>
      </c>
      <c r="C201" s="6"/>
      <c r="D201" s="6"/>
      <c r="E201" s="6" t="s">
        <v>60</v>
      </c>
      <c r="F201" s="6">
        <v>20</v>
      </c>
      <c r="G201" s="6">
        <v>0</v>
      </c>
      <c r="H201" s="6">
        <v>0</v>
      </c>
      <c r="I201" s="6">
        <v>0</v>
      </c>
      <c r="J201" s="21"/>
      <c r="K201" s="21"/>
      <c r="L201" s="21"/>
      <c r="M201" s="21"/>
      <c r="N201" s="21"/>
      <c r="O201" s="21"/>
      <c r="P201" s="21"/>
      <c r="Q201" s="21"/>
      <c r="R201" s="21"/>
      <c r="S201" s="94">
        <f t="shared" si="31"/>
        <v>0</v>
      </c>
      <c r="T201" s="95">
        <f t="shared" si="32"/>
        <v>0</v>
      </c>
      <c r="U201" s="11">
        <f t="shared" si="33"/>
        <v>0</v>
      </c>
      <c r="V201" s="11">
        <f t="shared" si="34"/>
        <v>0</v>
      </c>
      <c r="W201" s="12">
        <f t="shared" si="35"/>
        <v>0</v>
      </c>
      <c r="X201" s="12">
        <f>V201/[1]Manure!$I$2</f>
        <v>0</v>
      </c>
      <c r="Y201" s="12">
        <f>W201/[1]Manure!$I$2</f>
        <v>0</v>
      </c>
      <c r="Z201" s="12"/>
      <c r="AA201" s="12"/>
      <c r="AB201" s="11" t="s">
        <v>83</v>
      </c>
      <c r="AC201" s="11"/>
    </row>
    <row r="202" spans="1:29" ht="15.75" thickBot="1" x14ac:dyDescent="0.3">
      <c r="A202" s="13">
        <v>45545</v>
      </c>
      <c r="B202" s="87">
        <v>0.41666666666666669</v>
      </c>
      <c r="C202" s="6"/>
      <c r="D202" s="6"/>
      <c r="E202" s="6" t="s">
        <v>60</v>
      </c>
      <c r="F202" s="6">
        <v>20</v>
      </c>
      <c r="G202" s="6">
        <v>0</v>
      </c>
      <c r="H202" s="6">
        <v>0</v>
      </c>
      <c r="I202" s="6">
        <v>0</v>
      </c>
      <c r="J202" s="21"/>
      <c r="K202" s="21"/>
      <c r="L202" s="21"/>
      <c r="M202" s="21"/>
      <c r="N202" s="21"/>
      <c r="O202" s="21"/>
      <c r="P202" s="21"/>
      <c r="Q202" s="21"/>
      <c r="R202" s="21"/>
      <c r="S202" s="94">
        <f t="shared" si="31"/>
        <v>0</v>
      </c>
      <c r="T202" s="95">
        <f t="shared" si="32"/>
        <v>0</v>
      </c>
      <c r="U202" s="11">
        <f t="shared" si="33"/>
        <v>0</v>
      </c>
      <c r="V202" s="11">
        <f t="shared" si="34"/>
        <v>0</v>
      </c>
      <c r="W202" s="12">
        <f t="shared" si="35"/>
        <v>0</v>
      </c>
      <c r="X202" s="12">
        <f>V202/[1]Manure!$I$2</f>
        <v>0</v>
      </c>
      <c r="Y202" s="12">
        <f>W202/[1]Manure!$I$2</f>
        <v>0</v>
      </c>
      <c r="Z202" s="12"/>
      <c r="AA202" s="12"/>
      <c r="AB202" s="11"/>
      <c r="AC202" s="11"/>
    </row>
    <row r="203" spans="1:29" ht="15.75" thickBot="1" x14ac:dyDescent="0.3">
      <c r="A203" s="13">
        <v>45547</v>
      </c>
      <c r="B203" s="87">
        <v>0.41666666666666669</v>
      </c>
      <c r="C203" s="6"/>
      <c r="D203" s="6"/>
      <c r="E203" s="6" t="s">
        <v>60</v>
      </c>
      <c r="F203" s="6">
        <v>20</v>
      </c>
      <c r="G203" s="6">
        <v>0</v>
      </c>
      <c r="H203" s="6">
        <v>0</v>
      </c>
      <c r="I203" s="6">
        <v>0</v>
      </c>
      <c r="J203" s="21"/>
      <c r="K203" s="21"/>
      <c r="L203" s="21"/>
      <c r="M203" s="21"/>
      <c r="N203" s="21"/>
      <c r="O203" s="21"/>
      <c r="P203" s="21"/>
      <c r="Q203" s="21"/>
      <c r="R203" s="21"/>
      <c r="S203" s="94">
        <f t="shared" si="31"/>
        <v>0</v>
      </c>
      <c r="T203" s="95">
        <f t="shared" si="32"/>
        <v>0</v>
      </c>
      <c r="U203" s="11">
        <f t="shared" si="33"/>
        <v>0</v>
      </c>
      <c r="V203" s="11">
        <f t="shared" si="34"/>
        <v>0</v>
      </c>
      <c r="W203" s="12">
        <f t="shared" si="35"/>
        <v>0</v>
      </c>
      <c r="X203" s="12">
        <f>V203/[1]Manure!$I$2</f>
        <v>0</v>
      </c>
      <c r="Y203" s="12">
        <f>W203/[1]Manure!$I$2</f>
        <v>0</v>
      </c>
      <c r="Z203" s="12"/>
      <c r="AA203" s="12"/>
      <c r="AB203" s="11"/>
      <c r="AC203" s="11"/>
    </row>
    <row r="204" spans="1:29" ht="15.75" thickBot="1" x14ac:dyDescent="0.3">
      <c r="A204" s="13">
        <v>45548</v>
      </c>
      <c r="B204" s="87">
        <v>0.41666666666666669</v>
      </c>
      <c r="C204" s="6"/>
      <c r="D204" s="6"/>
      <c r="E204" s="6" t="s">
        <v>60</v>
      </c>
      <c r="F204" s="6">
        <v>20</v>
      </c>
      <c r="G204" s="6">
        <v>0</v>
      </c>
      <c r="H204" s="6">
        <v>0</v>
      </c>
      <c r="I204" s="6">
        <v>0</v>
      </c>
      <c r="J204" s="21"/>
      <c r="K204" s="21"/>
      <c r="L204" s="21"/>
      <c r="M204" s="21"/>
      <c r="N204" s="21"/>
      <c r="O204" s="21"/>
      <c r="P204" s="21"/>
      <c r="Q204" s="21"/>
      <c r="R204" s="21"/>
      <c r="S204" s="94">
        <f t="shared" si="31"/>
        <v>0</v>
      </c>
      <c r="T204" s="95">
        <f t="shared" si="32"/>
        <v>0</v>
      </c>
      <c r="U204" s="11">
        <f t="shared" si="33"/>
        <v>0</v>
      </c>
      <c r="V204" s="11">
        <f t="shared" si="34"/>
        <v>0</v>
      </c>
      <c r="W204" s="12">
        <f t="shared" si="35"/>
        <v>0</v>
      </c>
      <c r="X204" s="12">
        <f>V204/[1]Manure!$I$2</f>
        <v>0</v>
      </c>
      <c r="Y204" s="12">
        <f>W204/[1]Manure!$I$2</f>
        <v>0</v>
      </c>
      <c r="Z204" s="12"/>
      <c r="AA204" s="12"/>
      <c r="AB204" s="11"/>
      <c r="AC204" s="11"/>
    </row>
    <row r="205" spans="1:29" ht="15.75" thickBot="1" x14ac:dyDescent="0.3">
      <c r="A205" s="13">
        <v>45549</v>
      </c>
      <c r="B205" s="87">
        <v>0.41666666666666669</v>
      </c>
      <c r="C205" s="6"/>
      <c r="D205" s="6"/>
      <c r="E205" s="6" t="s">
        <v>60</v>
      </c>
      <c r="F205" s="6">
        <v>20</v>
      </c>
      <c r="G205" s="6">
        <v>124100</v>
      </c>
      <c r="H205" s="6">
        <v>0</v>
      </c>
      <c r="I205" s="6">
        <v>0</v>
      </c>
      <c r="J205" s="21"/>
      <c r="K205" s="21"/>
      <c r="L205" s="21"/>
      <c r="M205" s="21"/>
      <c r="N205" s="21"/>
      <c r="O205" s="21"/>
      <c r="P205" s="21"/>
      <c r="Q205" s="21"/>
      <c r="R205" s="21"/>
      <c r="S205" s="94">
        <f t="shared" si="31"/>
        <v>0</v>
      </c>
      <c r="T205" s="95">
        <f t="shared" si="32"/>
        <v>124100</v>
      </c>
      <c r="U205" s="11"/>
      <c r="V205" s="11"/>
      <c r="W205" s="12">
        <f t="shared" si="35"/>
        <v>124100</v>
      </c>
      <c r="X205" s="12"/>
      <c r="Y205" s="12"/>
      <c r="Z205" s="12"/>
      <c r="AA205" s="12"/>
      <c r="AB205" s="11"/>
      <c r="AC205" s="11"/>
    </row>
    <row r="206" spans="1:29" ht="15.75" thickBot="1" x14ac:dyDescent="0.3">
      <c r="A206" s="13">
        <v>45551</v>
      </c>
      <c r="B206" s="87">
        <v>0.41666666666666669</v>
      </c>
      <c r="C206" s="6"/>
      <c r="D206" s="6"/>
      <c r="E206" s="6" t="s">
        <v>60</v>
      </c>
      <c r="F206" s="6">
        <v>20</v>
      </c>
      <c r="G206" s="6">
        <v>125401</v>
      </c>
      <c r="H206" s="6">
        <v>28.3</v>
      </c>
      <c r="I206" s="6">
        <v>21.2</v>
      </c>
      <c r="J206" s="21"/>
      <c r="K206" s="21"/>
      <c r="L206" s="21"/>
      <c r="M206" s="21"/>
      <c r="N206" s="21"/>
      <c r="O206" s="21"/>
      <c r="P206" s="21"/>
      <c r="Q206" s="21"/>
      <c r="R206" s="21"/>
      <c r="S206" s="94">
        <f t="shared" si="31"/>
        <v>28.3</v>
      </c>
      <c r="T206" s="95">
        <f t="shared" si="32"/>
        <v>1301</v>
      </c>
      <c r="U206" s="11">
        <f t="shared" si="33"/>
        <v>0</v>
      </c>
      <c r="V206" s="11">
        <f t="shared" si="34"/>
        <v>0</v>
      </c>
      <c r="W206" s="12">
        <f t="shared" si="35"/>
        <v>1178.8018586126784</v>
      </c>
      <c r="X206" s="12">
        <f>V206/[1]Manure!$I$2</f>
        <v>0</v>
      </c>
      <c r="Y206" s="12">
        <f>W206/[1]Manure!$I$2</f>
        <v>840.68757310017838</v>
      </c>
      <c r="Z206" s="12"/>
      <c r="AA206" s="12"/>
      <c r="AB206" s="11"/>
      <c r="AC206" s="11"/>
    </row>
    <row r="207" spans="1:29" ht="15.75" thickBot="1" x14ac:dyDescent="0.3">
      <c r="A207" s="13">
        <v>45552</v>
      </c>
      <c r="B207" s="87">
        <v>0.41666666666666669</v>
      </c>
      <c r="C207" s="6"/>
      <c r="D207" s="6"/>
      <c r="E207" s="6" t="s">
        <v>60</v>
      </c>
      <c r="F207" s="6">
        <v>20</v>
      </c>
      <c r="G207" s="6">
        <v>126877</v>
      </c>
      <c r="H207" s="6">
        <v>28.9</v>
      </c>
      <c r="I207" s="6">
        <v>22.3</v>
      </c>
      <c r="J207" s="21"/>
      <c r="K207" s="21"/>
      <c r="L207" s="21"/>
      <c r="M207" s="21"/>
      <c r="N207" s="21"/>
      <c r="O207" s="21"/>
      <c r="P207" s="21"/>
      <c r="Q207" s="21"/>
      <c r="R207" s="21"/>
      <c r="S207" s="94">
        <f t="shared" si="31"/>
        <v>28.9</v>
      </c>
      <c r="T207" s="95">
        <f t="shared" si="32"/>
        <v>1476</v>
      </c>
      <c r="U207" s="11">
        <f t="shared" si="33"/>
        <v>0</v>
      </c>
      <c r="V207" s="11">
        <f t="shared" si="34"/>
        <v>0</v>
      </c>
      <c r="W207" s="12">
        <f t="shared" si="35"/>
        <v>1334.7068565750251</v>
      </c>
      <c r="X207" s="12">
        <f>V207/[1]Manure!$I$2</f>
        <v>0</v>
      </c>
      <c r="Y207" s="12">
        <f>W207/[1]Manure!$I$2</f>
        <v>951.87453248061706</v>
      </c>
      <c r="Z207" s="12"/>
      <c r="AA207" s="12"/>
      <c r="AB207" s="11"/>
      <c r="AC207" s="11"/>
    </row>
    <row r="208" spans="1:29" ht="15.75" thickBot="1" x14ac:dyDescent="0.3">
      <c r="A208" s="13">
        <v>45553</v>
      </c>
      <c r="B208" s="87">
        <v>0.41666666666666669</v>
      </c>
      <c r="C208" s="6"/>
      <c r="D208" s="6"/>
      <c r="E208" s="6" t="s">
        <v>60</v>
      </c>
      <c r="F208" s="6">
        <v>20</v>
      </c>
      <c r="G208" s="6">
        <v>127224</v>
      </c>
      <c r="H208" s="6">
        <v>28.9</v>
      </c>
      <c r="I208" s="6">
        <v>21.9</v>
      </c>
      <c r="J208" s="21"/>
      <c r="K208" s="21"/>
      <c r="L208" s="21"/>
      <c r="M208" s="21"/>
      <c r="N208" s="21"/>
      <c r="O208" s="21"/>
      <c r="P208" s="21"/>
      <c r="Q208" s="21"/>
      <c r="R208" s="21"/>
      <c r="S208" s="94">
        <f t="shared" si="31"/>
        <v>28.9</v>
      </c>
      <c r="T208" s="95">
        <f t="shared" si="32"/>
        <v>347</v>
      </c>
      <c r="U208" s="11">
        <f t="shared" si="33"/>
        <v>0</v>
      </c>
      <c r="V208" s="11">
        <f t="shared" si="34"/>
        <v>0</v>
      </c>
      <c r="W208" s="12">
        <f t="shared" si="35"/>
        <v>313.78270950645913</v>
      </c>
      <c r="X208" s="12">
        <f>V208/[1]Manure!$I$2</f>
        <v>0</v>
      </c>
      <c r="Y208" s="12">
        <f>W208/[1]Manure!$I$2</f>
        <v>223.7808013352128</v>
      </c>
      <c r="Z208" s="12"/>
      <c r="AA208" s="12"/>
      <c r="AB208" s="11"/>
      <c r="AC208" s="11"/>
    </row>
    <row r="209" spans="1:29" ht="15.75" thickBot="1" x14ac:dyDescent="0.3">
      <c r="A209" s="13">
        <v>45554</v>
      </c>
      <c r="B209" s="87">
        <v>0.41666666666666669</v>
      </c>
      <c r="C209" s="6"/>
      <c r="D209" s="6"/>
      <c r="E209" s="6" t="s">
        <v>60</v>
      </c>
      <c r="F209" s="6">
        <v>20</v>
      </c>
      <c r="G209" s="6">
        <v>127786</v>
      </c>
      <c r="H209" s="6">
        <v>19.2</v>
      </c>
      <c r="I209" s="6">
        <v>22.8</v>
      </c>
      <c r="J209" s="21"/>
      <c r="K209" s="21"/>
      <c r="L209" s="21"/>
      <c r="M209" s="21"/>
      <c r="N209" s="21"/>
      <c r="O209" s="21"/>
      <c r="P209" s="21"/>
      <c r="Q209" s="21"/>
      <c r="R209" s="21"/>
      <c r="S209" s="94">
        <f t="shared" si="31"/>
        <v>19.2</v>
      </c>
      <c r="T209" s="95">
        <f t="shared" si="32"/>
        <v>562</v>
      </c>
      <c r="U209" s="11">
        <f t="shared" si="33"/>
        <v>0</v>
      </c>
      <c r="V209" s="11">
        <f t="shared" si="34"/>
        <v>0</v>
      </c>
      <c r="W209" s="12">
        <f t="shared" si="35"/>
        <v>525.0718685831622</v>
      </c>
      <c r="X209" s="12">
        <f>V209/[1]Manure!$I$2</f>
        <v>0</v>
      </c>
      <c r="Y209" s="12">
        <f>W209/[1]Manure!$I$2</f>
        <v>374.46615109842077</v>
      </c>
      <c r="Z209" s="12"/>
      <c r="AA209" s="12"/>
      <c r="AB209" s="11"/>
      <c r="AC209" s="11"/>
    </row>
    <row r="210" spans="1:29" ht="15.75" thickBot="1" x14ac:dyDescent="0.3">
      <c r="A210" s="13">
        <v>45555</v>
      </c>
      <c r="B210" s="87">
        <v>0.41666666666666669</v>
      </c>
      <c r="C210" s="6"/>
      <c r="D210" s="6"/>
      <c r="E210" s="6" t="s">
        <v>60</v>
      </c>
      <c r="F210" s="6">
        <v>20</v>
      </c>
      <c r="G210" s="6">
        <v>128243</v>
      </c>
      <c r="H210" s="6">
        <v>25</v>
      </c>
      <c r="I210" s="6">
        <v>21.7</v>
      </c>
      <c r="J210" s="21"/>
      <c r="K210" s="21"/>
      <c r="L210" s="21"/>
      <c r="M210" s="21"/>
      <c r="N210" s="21"/>
      <c r="O210" s="21"/>
      <c r="P210" s="21"/>
      <c r="Q210" s="21"/>
      <c r="R210" s="21"/>
      <c r="S210" s="94">
        <f t="shared" si="31"/>
        <v>25</v>
      </c>
      <c r="T210" s="95">
        <f t="shared" si="32"/>
        <v>457</v>
      </c>
      <c r="U210" s="11">
        <f t="shared" si="33"/>
        <v>0</v>
      </c>
      <c r="V210" s="11">
        <f t="shared" si="34"/>
        <v>0</v>
      </c>
      <c r="W210" s="12">
        <f t="shared" si="35"/>
        <v>418.66107382550331</v>
      </c>
      <c r="X210" s="12">
        <f>V210/[1]Manure!$I$2</f>
        <v>0</v>
      </c>
      <c r="Y210" s="12">
        <f>W210/[1]Manure!$I$2</f>
        <v>298.577033565335</v>
      </c>
      <c r="Z210" s="12"/>
      <c r="AA210" s="12"/>
      <c r="AB210" s="11"/>
      <c r="AC210" s="11"/>
    </row>
    <row r="211" spans="1:29" ht="15.75" thickBot="1" x14ac:dyDescent="0.3">
      <c r="A211" s="13">
        <v>45556</v>
      </c>
      <c r="B211" s="87">
        <v>0.41666666666666669</v>
      </c>
      <c r="C211" s="6"/>
      <c r="D211" s="6"/>
      <c r="E211" s="6" t="s">
        <v>60</v>
      </c>
      <c r="F211" s="6">
        <v>20</v>
      </c>
      <c r="G211" s="6">
        <v>129105</v>
      </c>
      <c r="H211" s="6">
        <v>24.8</v>
      </c>
      <c r="I211" s="6">
        <v>20.6</v>
      </c>
      <c r="J211" s="21"/>
      <c r="K211" s="21"/>
      <c r="L211" s="21"/>
      <c r="M211" s="21"/>
      <c r="N211" s="21"/>
      <c r="O211" s="21"/>
      <c r="P211" s="21"/>
      <c r="Q211" s="21"/>
      <c r="R211" s="21"/>
      <c r="S211" s="94">
        <f t="shared" si="31"/>
        <v>24.8</v>
      </c>
      <c r="T211" s="95">
        <f t="shared" si="32"/>
        <v>862</v>
      </c>
      <c r="U211" s="11">
        <f t="shared" si="33"/>
        <v>0</v>
      </c>
      <c r="V211" s="11">
        <f t="shared" si="34"/>
        <v>0</v>
      </c>
      <c r="W211" s="12">
        <f t="shared" si="35"/>
        <v>790.21490933512428</v>
      </c>
      <c r="X211" s="12">
        <f>V211/[1]Manure!$I$2</f>
        <v>0</v>
      </c>
      <c r="Y211" s="12">
        <f>W211/[1]Manure!$I$2</f>
        <v>563.55853997240899</v>
      </c>
      <c r="Z211" s="12"/>
      <c r="AA211" s="12"/>
      <c r="AB211" s="11"/>
      <c r="AC211" s="11"/>
    </row>
    <row r="212" spans="1:29" ht="15.75" thickBot="1" x14ac:dyDescent="0.3">
      <c r="A212" s="13">
        <v>45558</v>
      </c>
      <c r="B212" s="87">
        <v>0.41666666666666669</v>
      </c>
      <c r="C212" s="6"/>
      <c r="D212" s="6"/>
      <c r="E212" s="6" t="s">
        <v>60</v>
      </c>
      <c r="F212" s="6">
        <v>20</v>
      </c>
      <c r="G212" s="6">
        <v>131892</v>
      </c>
      <c r="H212" s="6">
        <v>27</v>
      </c>
      <c r="I212" s="6">
        <v>23.1</v>
      </c>
      <c r="J212" s="21"/>
      <c r="K212" s="21"/>
      <c r="L212" s="21"/>
      <c r="M212" s="21"/>
      <c r="N212" s="21"/>
      <c r="O212" s="21"/>
      <c r="P212" s="21"/>
      <c r="Q212" s="21"/>
      <c r="R212" s="21"/>
      <c r="S212" s="94">
        <f t="shared" si="31"/>
        <v>27</v>
      </c>
      <c r="T212" s="95">
        <f t="shared" si="32"/>
        <v>2787</v>
      </c>
      <c r="U212" s="11">
        <f t="shared" si="33"/>
        <v>0</v>
      </c>
      <c r="V212" s="11">
        <f t="shared" si="34"/>
        <v>0</v>
      </c>
      <c r="W212" s="12">
        <f t="shared" si="35"/>
        <v>2536.17</v>
      </c>
      <c r="X212" s="12">
        <f>V212/[1]Manure!$I$2</f>
        <v>0</v>
      </c>
      <c r="Y212" s="12">
        <f>W212/[1]Manure!$I$2</f>
        <v>1808.7234819758094</v>
      </c>
      <c r="Z212" s="12"/>
      <c r="AA212" s="12"/>
      <c r="AB212" s="11"/>
      <c r="AC212" s="11"/>
    </row>
    <row r="213" spans="1:29" ht="15.75" thickBot="1" x14ac:dyDescent="0.3">
      <c r="A213" s="13">
        <v>45559</v>
      </c>
      <c r="B213" s="87">
        <v>0.41666666666666669</v>
      </c>
      <c r="C213" s="6"/>
      <c r="D213" s="6"/>
      <c r="E213" s="6" t="s">
        <v>60</v>
      </c>
      <c r="F213" s="6">
        <v>20</v>
      </c>
      <c r="G213" s="74">
        <v>132098</v>
      </c>
      <c r="H213" s="6">
        <v>23.7</v>
      </c>
      <c r="I213" s="6">
        <v>21.8</v>
      </c>
      <c r="J213" s="21"/>
      <c r="K213" s="21"/>
      <c r="L213" s="21"/>
      <c r="M213" s="21"/>
      <c r="N213" s="21"/>
      <c r="O213" s="21"/>
      <c r="P213" s="21"/>
      <c r="Q213" s="21"/>
      <c r="R213" s="21"/>
      <c r="S213" s="94">
        <f t="shared" si="31"/>
        <v>23.7</v>
      </c>
      <c r="T213" s="95">
        <f t="shared" si="32"/>
        <v>206</v>
      </c>
      <c r="U213" s="11">
        <f t="shared" si="33"/>
        <v>0</v>
      </c>
      <c r="V213" s="11">
        <f t="shared" si="34"/>
        <v>0</v>
      </c>
      <c r="W213" s="12">
        <f t="shared" si="35"/>
        <v>189.54499494438826</v>
      </c>
      <c r="X213" s="12">
        <f>V213/[1]Manure!$I$2</f>
        <v>0</v>
      </c>
      <c r="Y213" s="12">
        <f>W213/[1]Manure!$I$2</f>
        <v>135.178037452892</v>
      </c>
      <c r="Z213" s="12"/>
      <c r="AA213" s="12"/>
      <c r="AB213" s="11"/>
      <c r="AC213" s="11"/>
    </row>
    <row r="214" spans="1:29" ht="15.75" thickBot="1" x14ac:dyDescent="0.3">
      <c r="A214" s="13">
        <v>45560</v>
      </c>
      <c r="B214" s="87">
        <v>0.41666666666666669</v>
      </c>
      <c r="C214" s="6"/>
      <c r="D214" s="6"/>
      <c r="E214" s="6" t="s">
        <v>60</v>
      </c>
      <c r="F214" s="6">
        <v>20</v>
      </c>
      <c r="G214" s="6">
        <v>132907</v>
      </c>
      <c r="H214" s="6">
        <v>23.4</v>
      </c>
      <c r="I214" s="6">
        <v>22</v>
      </c>
      <c r="J214" s="21"/>
      <c r="K214" s="21"/>
      <c r="L214" s="21"/>
      <c r="M214" s="21"/>
      <c r="N214" s="21"/>
      <c r="O214" s="21"/>
      <c r="P214" s="21"/>
      <c r="Q214" s="21"/>
      <c r="R214" s="21"/>
      <c r="S214" s="94">
        <f t="shared" si="31"/>
        <v>23.4</v>
      </c>
      <c r="T214" s="95">
        <f t="shared" si="32"/>
        <v>809</v>
      </c>
      <c r="U214" s="11">
        <f t="shared" si="33"/>
        <v>0</v>
      </c>
      <c r="V214" s="11">
        <f t="shared" si="34"/>
        <v>0</v>
      </c>
      <c r="W214" s="12">
        <f t="shared" si="35"/>
        <v>745.13157894736844</v>
      </c>
      <c r="X214" s="12">
        <f>V214/[1]Manure!$I$2</f>
        <v>0</v>
      </c>
      <c r="Y214" s="12">
        <f>W214/[1]Manure!$I$2</f>
        <v>531.4064057235189</v>
      </c>
      <c r="Z214" s="12"/>
      <c r="AA214" s="12"/>
      <c r="AB214" s="11"/>
      <c r="AC214" s="11"/>
    </row>
    <row r="215" spans="1:29" ht="15.75" thickBot="1" x14ac:dyDescent="0.3">
      <c r="A215" s="13">
        <v>45561</v>
      </c>
      <c r="B215" s="87">
        <v>0.41666666666666669</v>
      </c>
      <c r="C215" s="6"/>
      <c r="D215" s="6"/>
      <c r="E215" s="6" t="s">
        <v>60</v>
      </c>
      <c r="F215" s="6">
        <v>20</v>
      </c>
      <c r="G215" s="6">
        <v>133431</v>
      </c>
      <c r="H215" s="6">
        <v>21.4</v>
      </c>
      <c r="I215" s="6">
        <v>20.8</v>
      </c>
      <c r="J215" s="21"/>
      <c r="K215" s="21"/>
      <c r="L215" s="21"/>
      <c r="M215" s="21"/>
      <c r="N215" s="21"/>
      <c r="O215" s="21"/>
      <c r="P215" s="21"/>
      <c r="Q215" s="21"/>
      <c r="R215" s="21"/>
      <c r="S215" s="94">
        <f t="shared" si="31"/>
        <v>21.4</v>
      </c>
      <c r="T215" s="95">
        <f t="shared" si="32"/>
        <v>524</v>
      </c>
      <c r="U215" s="11">
        <f t="shared" si="33"/>
        <v>0</v>
      </c>
      <c r="V215" s="11">
        <f t="shared" si="34"/>
        <v>0</v>
      </c>
      <c r="W215" s="12">
        <f t="shared" si="35"/>
        <v>485.91032608695656</v>
      </c>
      <c r="X215" s="12">
        <f>V215/[1]Manure!$I$2</f>
        <v>0</v>
      </c>
      <c r="Y215" s="12">
        <f>W215/[1]Manure!$I$2</f>
        <v>346.53726561232133</v>
      </c>
      <c r="Z215" s="12"/>
      <c r="AA215" s="12"/>
      <c r="AB215" s="11"/>
      <c r="AC215" s="11"/>
    </row>
    <row r="216" spans="1:29" ht="15.75" thickBot="1" x14ac:dyDescent="0.3">
      <c r="A216" s="13">
        <v>45562</v>
      </c>
      <c r="B216" s="87">
        <v>0.41666666666666669</v>
      </c>
      <c r="C216" s="6"/>
      <c r="D216" s="6"/>
      <c r="E216" s="6" t="s">
        <v>60</v>
      </c>
      <c r="F216" s="6">
        <v>20</v>
      </c>
      <c r="G216" s="6">
        <v>134195</v>
      </c>
      <c r="H216" s="6">
        <v>19.5</v>
      </c>
      <c r="I216" s="6">
        <v>21</v>
      </c>
      <c r="J216" s="21"/>
      <c r="K216" s="21"/>
      <c r="L216" s="21"/>
      <c r="M216" s="21"/>
      <c r="N216" s="21"/>
      <c r="O216" s="21"/>
      <c r="P216" s="21"/>
      <c r="Q216" s="21"/>
      <c r="R216" s="21"/>
      <c r="S216" s="94">
        <f t="shared" si="31"/>
        <v>19.5</v>
      </c>
      <c r="T216" s="95">
        <f t="shared" si="32"/>
        <v>764</v>
      </c>
      <c r="U216" s="11">
        <f t="shared" si="33"/>
        <v>0</v>
      </c>
      <c r="V216" s="11">
        <f t="shared" si="34"/>
        <v>0</v>
      </c>
      <c r="W216" s="12">
        <f t="shared" si="35"/>
        <v>713.06666666666672</v>
      </c>
      <c r="X216" s="12">
        <f>V216/[1]Manure!$I$2</f>
        <v>0</v>
      </c>
      <c r="Y216" s="12">
        <f>W216/[1]Manure!$I$2</f>
        <v>508.53863274710181</v>
      </c>
      <c r="Z216" s="12"/>
      <c r="AA216" s="12"/>
      <c r="AB216" s="11"/>
      <c r="AC216" s="11"/>
    </row>
    <row r="217" spans="1:29" ht="15.75" thickBot="1" x14ac:dyDescent="0.3">
      <c r="A217" s="13">
        <v>45563</v>
      </c>
      <c r="B217" s="87">
        <v>0.41666666666666669</v>
      </c>
      <c r="C217" s="6"/>
      <c r="D217" s="6"/>
      <c r="E217" s="6" t="s">
        <v>60</v>
      </c>
      <c r="F217" s="6">
        <v>20</v>
      </c>
      <c r="G217" s="6">
        <v>134668</v>
      </c>
      <c r="H217" s="6">
        <v>25.1</v>
      </c>
      <c r="I217" s="6">
        <v>21.9</v>
      </c>
      <c r="J217" s="21"/>
      <c r="K217" s="21"/>
      <c r="L217" s="21"/>
      <c r="M217" s="21"/>
      <c r="N217" s="21"/>
      <c r="O217" s="21"/>
      <c r="P217" s="21"/>
      <c r="Q217" s="21"/>
      <c r="R217" s="21"/>
      <c r="S217" s="94">
        <f t="shared" si="31"/>
        <v>25.1</v>
      </c>
      <c r="T217" s="95">
        <f t="shared" si="32"/>
        <v>473</v>
      </c>
      <c r="U217" s="11">
        <f t="shared" ref="U217:U219" si="36">T217*(P217/100)</f>
        <v>0</v>
      </c>
      <c r="V217" s="11">
        <f t="shared" ref="V217:V219" si="37">U217*(273/(273+S217))</f>
        <v>0</v>
      </c>
      <c r="W217" s="12">
        <f t="shared" ref="W217:W219" si="38">T217*(273/(273+S217))</f>
        <v>433.17343173431732</v>
      </c>
      <c r="X217" s="12">
        <f>V217/[1]Manure!$I$2</f>
        <v>0</v>
      </c>
      <c r="Y217" s="12">
        <f>W217/[1]Manure!$I$2</f>
        <v>308.92682972588784</v>
      </c>
      <c r="Z217" s="12"/>
      <c r="AA217" s="12"/>
      <c r="AB217" s="11"/>
      <c r="AC217" s="11"/>
    </row>
    <row r="218" spans="1:29" ht="15.75" thickBot="1" x14ac:dyDescent="0.3">
      <c r="A218" s="13">
        <v>45565</v>
      </c>
      <c r="B218" s="87">
        <v>0.41666666666666669</v>
      </c>
      <c r="C218" s="6"/>
      <c r="D218" s="6"/>
      <c r="E218" s="6" t="s">
        <v>60</v>
      </c>
      <c r="F218" s="6">
        <v>20</v>
      </c>
      <c r="G218" s="6">
        <v>136842</v>
      </c>
      <c r="H218" s="6">
        <v>25.1</v>
      </c>
      <c r="I218" s="6">
        <v>22</v>
      </c>
      <c r="J218" s="21"/>
      <c r="K218" s="21"/>
      <c r="L218" s="21"/>
      <c r="M218" s="21"/>
      <c r="N218" s="21"/>
      <c r="O218" s="21"/>
      <c r="P218" s="21"/>
      <c r="Q218" s="21"/>
      <c r="R218" s="21"/>
      <c r="S218" s="94">
        <f t="shared" si="31"/>
        <v>25.1</v>
      </c>
      <c r="T218" s="95">
        <f t="shared" si="32"/>
        <v>2174</v>
      </c>
      <c r="U218" s="11">
        <f t="shared" si="36"/>
        <v>0</v>
      </c>
      <c r="V218" s="11">
        <f t="shared" si="37"/>
        <v>0</v>
      </c>
      <c r="W218" s="12">
        <f t="shared" si="38"/>
        <v>1990.9493458570946</v>
      </c>
      <c r="X218" s="12">
        <f>V218/[1]Manure!$I$2</f>
        <v>0</v>
      </c>
      <c r="Y218" s="12">
        <f>W218/[1]Manure!$I$2</f>
        <v>1419.8877966682455</v>
      </c>
      <c r="Z218" s="12"/>
      <c r="AA218" s="12"/>
      <c r="AB218" s="11"/>
      <c r="AC218" s="11"/>
    </row>
    <row r="219" spans="1:29" ht="15.75" thickBot="1" x14ac:dyDescent="0.3">
      <c r="A219" s="13">
        <v>45566</v>
      </c>
      <c r="B219" s="87">
        <v>0.41666666666666669</v>
      </c>
      <c r="C219" s="6"/>
      <c r="D219" s="6"/>
      <c r="E219" s="6" t="s">
        <v>60</v>
      </c>
      <c r="F219" s="6">
        <v>20</v>
      </c>
      <c r="G219" s="6">
        <v>137278</v>
      </c>
      <c r="H219" s="6">
        <v>28.5</v>
      </c>
      <c r="I219" s="6">
        <v>21.5</v>
      </c>
      <c r="J219" s="21"/>
      <c r="K219" s="21"/>
      <c r="L219" s="21"/>
      <c r="M219" s="21"/>
      <c r="N219" s="21"/>
      <c r="O219" s="21"/>
      <c r="P219" s="21"/>
      <c r="Q219" s="21"/>
      <c r="R219" s="21"/>
      <c r="S219" s="94">
        <f t="shared" si="31"/>
        <v>28.5</v>
      </c>
      <c r="T219" s="95">
        <f t="shared" si="32"/>
        <v>436</v>
      </c>
      <c r="U219" s="11">
        <f t="shared" si="36"/>
        <v>0</v>
      </c>
      <c r="V219" s="11">
        <f t="shared" si="37"/>
        <v>0</v>
      </c>
      <c r="W219" s="12">
        <f t="shared" si="38"/>
        <v>394.78606965174129</v>
      </c>
      <c r="X219" s="12">
        <f>V219/[1]Manure!$I$2</f>
        <v>0</v>
      </c>
      <c r="Y219" s="12">
        <f>W219/[1]Manure!$I$2</f>
        <v>281.55006743871348</v>
      </c>
      <c r="Z219" s="12"/>
      <c r="AA219" s="12"/>
      <c r="AB219" s="11"/>
      <c r="AC219" s="11"/>
    </row>
    <row r="220" spans="1:29" ht="15.75" thickBot="1" x14ac:dyDescent="0.3">
      <c r="A220" s="13">
        <v>45567</v>
      </c>
      <c r="B220" s="87">
        <v>0.41666666666666669</v>
      </c>
      <c r="C220" s="6"/>
      <c r="D220" s="6"/>
      <c r="E220" s="6" t="s">
        <v>60</v>
      </c>
      <c r="F220" s="6">
        <v>20</v>
      </c>
      <c r="G220" s="6">
        <v>138248</v>
      </c>
      <c r="H220" s="6">
        <v>26.5</v>
      </c>
      <c r="I220" s="6">
        <v>20.8</v>
      </c>
      <c r="J220" s="21"/>
      <c r="K220" s="21"/>
      <c r="L220" s="21"/>
      <c r="M220" s="21"/>
      <c r="N220" s="21"/>
      <c r="O220" s="21"/>
      <c r="P220" s="21"/>
      <c r="Q220" s="21"/>
      <c r="R220" s="21"/>
      <c r="S220" s="94">
        <f t="shared" si="31"/>
        <v>26.5</v>
      </c>
      <c r="T220" s="95">
        <f t="shared" si="32"/>
        <v>970</v>
      </c>
      <c r="U220" s="11">
        <f t="shared" si="33"/>
        <v>0</v>
      </c>
      <c r="V220" s="11">
        <f t="shared" si="34"/>
        <v>0</v>
      </c>
      <c r="W220" s="12">
        <f t="shared" si="35"/>
        <v>884.17362270450758</v>
      </c>
      <c r="X220" s="12">
        <f>V220/[1]Manure!$I$2</f>
        <v>0</v>
      </c>
      <c r="Y220" s="12">
        <f>W220/[1]Manure!$I$2</f>
        <v>630.56719128814802</v>
      </c>
      <c r="Z220" s="12"/>
      <c r="AA220" s="12"/>
      <c r="AB220" s="11"/>
      <c r="AC220" s="11"/>
    </row>
    <row r="221" spans="1:29" ht="15.75" thickBot="1" x14ac:dyDescent="0.3">
      <c r="A221" s="13">
        <v>45568</v>
      </c>
      <c r="B221" s="87">
        <v>0.41666666666666669</v>
      </c>
      <c r="C221" s="6"/>
      <c r="D221" s="6"/>
      <c r="E221" s="6" t="s">
        <v>60</v>
      </c>
      <c r="F221" s="6">
        <v>20</v>
      </c>
      <c r="G221" s="6">
        <v>138731</v>
      </c>
      <c r="H221" s="6">
        <v>26.9</v>
      </c>
      <c r="I221" s="6">
        <v>21.1</v>
      </c>
      <c r="J221" s="21"/>
      <c r="K221" s="21"/>
      <c r="L221" s="21"/>
      <c r="M221" s="21"/>
      <c r="N221" s="21"/>
      <c r="O221" s="21"/>
      <c r="P221" s="21"/>
      <c r="Q221" s="21"/>
      <c r="R221" s="21"/>
      <c r="S221" s="94">
        <f t="shared" si="31"/>
        <v>26.9</v>
      </c>
      <c r="T221" s="95">
        <f t="shared" si="32"/>
        <v>483</v>
      </c>
      <c r="U221" s="11">
        <f t="shared" si="33"/>
        <v>0</v>
      </c>
      <c r="V221" s="11">
        <f t="shared" si="34"/>
        <v>0</v>
      </c>
      <c r="W221" s="12">
        <f t="shared" si="35"/>
        <v>439.67655885295102</v>
      </c>
      <c r="X221" s="12">
        <f>V221/[1]Manure!$I$2</f>
        <v>0</v>
      </c>
      <c r="Y221" s="12">
        <f>W221/[1]Manure!$I$2</f>
        <v>313.5646729011271</v>
      </c>
      <c r="Z221" s="12"/>
      <c r="AA221" s="12"/>
      <c r="AB221" s="11"/>
      <c r="AC221" s="11"/>
    </row>
    <row r="222" spans="1:29" ht="15.75" thickBot="1" x14ac:dyDescent="0.3">
      <c r="A222" s="13">
        <v>45569</v>
      </c>
      <c r="B222" s="87">
        <v>0.41666666666666669</v>
      </c>
      <c r="C222" s="6"/>
      <c r="D222" s="6"/>
      <c r="E222" s="6" t="s">
        <v>60</v>
      </c>
      <c r="F222" s="6">
        <v>20</v>
      </c>
      <c r="G222" s="6">
        <v>139330</v>
      </c>
      <c r="H222" s="6">
        <v>28.2</v>
      </c>
      <c r="I222" s="6">
        <v>20.8</v>
      </c>
      <c r="J222" s="21"/>
      <c r="K222" s="21"/>
      <c r="L222" s="21"/>
      <c r="M222" s="21"/>
      <c r="N222" s="21"/>
      <c r="O222" s="21"/>
      <c r="P222" s="21"/>
      <c r="Q222" s="21"/>
      <c r="R222" s="21"/>
      <c r="S222" s="94">
        <f t="shared" si="31"/>
        <v>28.2</v>
      </c>
      <c r="T222" s="95">
        <f t="shared" si="32"/>
        <v>599</v>
      </c>
      <c r="U222" s="11">
        <f t="shared" si="33"/>
        <v>0</v>
      </c>
      <c r="V222" s="11">
        <f t="shared" si="34"/>
        <v>0</v>
      </c>
      <c r="W222" s="12">
        <f t="shared" si="35"/>
        <v>542.91832669322719</v>
      </c>
      <c r="X222" s="12">
        <f>V222/[1]Manure!$I$2</f>
        <v>0</v>
      </c>
      <c r="Y222" s="12">
        <f>W222/[1]Manure!$I$2</f>
        <v>387.19373160515812</v>
      </c>
      <c r="Z222" s="12"/>
      <c r="AA222" s="12"/>
      <c r="AB222" s="11"/>
      <c r="AC222" s="11"/>
    </row>
    <row r="223" spans="1:29" ht="15.75" thickBot="1" x14ac:dyDescent="0.3">
      <c r="A223" s="13">
        <v>45570</v>
      </c>
      <c r="B223" s="87">
        <v>0.41666666666666669</v>
      </c>
      <c r="C223" s="6"/>
      <c r="D223" s="6"/>
      <c r="E223" s="6" t="s">
        <v>60</v>
      </c>
      <c r="F223" s="6">
        <v>20</v>
      </c>
      <c r="G223" s="6">
        <v>139502</v>
      </c>
      <c r="H223" s="6">
        <v>23.2</v>
      </c>
      <c r="I223" s="6">
        <v>20.9</v>
      </c>
      <c r="J223" s="21"/>
      <c r="K223" s="21"/>
      <c r="L223" s="21"/>
      <c r="M223" s="21"/>
      <c r="N223" s="21"/>
      <c r="O223" s="21"/>
      <c r="P223" s="21"/>
      <c r="Q223" s="21"/>
      <c r="R223" s="21"/>
      <c r="S223" s="94">
        <f t="shared" si="31"/>
        <v>23.2</v>
      </c>
      <c r="T223" s="95">
        <f t="shared" si="32"/>
        <v>172</v>
      </c>
      <c r="U223" s="11">
        <f t="shared" si="33"/>
        <v>0</v>
      </c>
      <c r="V223" s="11">
        <f t="shared" si="34"/>
        <v>0</v>
      </c>
      <c r="W223" s="12">
        <f t="shared" si="35"/>
        <v>158.52802160702228</v>
      </c>
      <c r="X223" s="12">
        <f>V223/[1]Manure!$I$2</f>
        <v>0</v>
      </c>
      <c r="Y223" s="12">
        <f>W223/[1]Manure!$I$2</f>
        <v>113.05762438314059</v>
      </c>
      <c r="Z223" s="12"/>
      <c r="AA223" s="12"/>
      <c r="AB223" s="11"/>
      <c r="AC223" s="11"/>
    </row>
    <row r="224" spans="1:29" ht="15.75" thickBot="1" x14ac:dyDescent="0.3">
      <c r="A224" s="13">
        <v>45572</v>
      </c>
      <c r="B224" s="87">
        <v>0.41666666666666669</v>
      </c>
      <c r="C224" s="6"/>
      <c r="D224" s="6"/>
      <c r="E224" s="6" t="s">
        <v>60</v>
      </c>
      <c r="F224" s="6">
        <v>20</v>
      </c>
      <c r="G224" s="6">
        <v>139701</v>
      </c>
      <c r="H224" s="6">
        <v>23.5</v>
      </c>
      <c r="I224" s="6">
        <v>20</v>
      </c>
      <c r="J224" s="21"/>
      <c r="K224" s="21"/>
      <c r="L224" s="21"/>
      <c r="M224" s="21"/>
      <c r="N224" s="21"/>
      <c r="O224" s="21"/>
      <c r="P224" s="21"/>
      <c r="Q224" s="21"/>
      <c r="R224" s="21"/>
      <c r="S224" s="94">
        <f t="shared" si="31"/>
        <v>23.5</v>
      </c>
      <c r="T224" s="95">
        <f t="shared" si="32"/>
        <v>199</v>
      </c>
      <c r="U224" s="11">
        <f t="shared" si="33"/>
        <v>0</v>
      </c>
      <c r="V224" s="11">
        <f t="shared" si="34"/>
        <v>0</v>
      </c>
      <c r="W224" s="12">
        <f t="shared" si="35"/>
        <v>183.22765598650926</v>
      </c>
      <c r="X224" s="12">
        <f>V224/[1]Manure!$I$2</f>
        <v>0</v>
      </c>
      <c r="Y224" s="12">
        <f>W224/[1]Manure!$I$2</f>
        <v>130.67269304904039</v>
      </c>
      <c r="Z224" s="12"/>
      <c r="AA224" s="12"/>
      <c r="AB224" s="11"/>
      <c r="AC224" s="11"/>
    </row>
    <row r="225" spans="1:29" ht="15.75" thickBot="1" x14ac:dyDescent="0.3">
      <c r="A225" s="13">
        <v>45573</v>
      </c>
      <c r="B225" s="87">
        <v>0.41666666666666669</v>
      </c>
      <c r="C225" s="6"/>
      <c r="D225" s="6"/>
      <c r="E225" s="6" t="s">
        <v>60</v>
      </c>
      <c r="F225" s="6">
        <v>20</v>
      </c>
      <c r="G225" s="6">
        <v>178569</v>
      </c>
      <c r="H225" s="6">
        <v>26</v>
      </c>
      <c r="I225" s="6">
        <v>21.2</v>
      </c>
      <c r="J225" s="21"/>
      <c r="K225" s="21"/>
      <c r="L225" s="21"/>
      <c r="M225" s="21"/>
      <c r="N225" s="21"/>
      <c r="O225" s="21"/>
      <c r="P225" s="21"/>
      <c r="Q225" s="21"/>
      <c r="R225" s="21"/>
      <c r="S225" s="94">
        <f t="shared" si="31"/>
        <v>26</v>
      </c>
      <c r="T225" s="95">
        <f t="shared" si="32"/>
        <v>38868</v>
      </c>
      <c r="U225" s="11">
        <f t="shared" si="33"/>
        <v>0</v>
      </c>
      <c r="V225" s="11">
        <f t="shared" si="34"/>
        <v>0</v>
      </c>
      <c r="W225" s="12">
        <f t="shared" si="35"/>
        <v>35488.173913043473</v>
      </c>
      <c r="X225" s="12">
        <f>V225/[1]Manure!$I$2</f>
        <v>0</v>
      </c>
      <c r="Y225" s="12">
        <f>W225/[1]Manure!$I$2</f>
        <v>25309.144690207311</v>
      </c>
      <c r="Z225" s="12"/>
      <c r="AA225" s="12"/>
      <c r="AB225" s="11"/>
      <c r="AC225" s="11"/>
    </row>
    <row r="226" spans="1:29" ht="27" thickBot="1" x14ac:dyDescent="0.3">
      <c r="A226" s="13">
        <v>45574</v>
      </c>
      <c r="B226" s="87">
        <v>0.41666666666666669</v>
      </c>
      <c r="C226" s="6"/>
      <c r="D226" s="6"/>
      <c r="E226" s="6" t="s">
        <v>60</v>
      </c>
      <c r="F226" s="6">
        <v>20</v>
      </c>
      <c r="G226" s="6">
        <v>179545</v>
      </c>
      <c r="H226" s="6">
        <v>19.8</v>
      </c>
      <c r="I226" s="6">
        <v>23.9</v>
      </c>
      <c r="J226" s="21"/>
      <c r="K226" s="21"/>
      <c r="L226" s="21"/>
      <c r="M226" s="21"/>
      <c r="N226" s="21"/>
      <c r="O226" s="21"/>
      <c r="P226" s="21"/>
      <c r="Q226" s="21"/>
      <c r="R226" s="21"/>
      <c r="S226" s="94">
        <f t="shared" si="31"/>
        <v>19.8</v>
      </c>
      <c r="T226" s="95">
        <f t="shared" si="32"/>
        <v>976</v>
      </c>
      <c r="U226" s="11">
        <f t="shared" si="33"/>
        <v>0</v>
      </c>
      <c r="V226" s="11">
        <f t="shared" si="34"/>
        <v>0</v>
      </c>
      <c r="W226" s="12">
        <f t="shared" si="35"/>
        <v>910</v>
      </c>
      <c r="X226" s="12">
        <f>V226/[1]Manure!$I$2</f>
        <v>0</v>
      </c>
      <c r="Y226" s="12">
        <f>W226/[1]Manure!$I$2</f>
        <v>648.98582058694274</v>
      </c>
      <c r="Z226" s="12"/>
      <c r="AA226" s="12"/>
      <c r="AB226" s="11" t="s">
        <v>84</v>
      </c>
      <c r="AC226" s="11"/>
    </row>
    <row r="227" spans="1:29" ht="15.75" thickBot="1" x14ac:dyDescent="0.3">
      <c r="A227" s="13">
        <v>45575</v>
      </c>
      <c r="B227" s="87">
        <v>0.41666666666666669</v>
      </c>
      <c r="C227" s="6"/>
      <c r="D227" s="6"/>
      <c r="E227" s="6" t="s">
        <v>60</v>
      </c>
      <c r="F227" s="6">
        <v>20</v>
      </c>
      <c r="G227" s="6">
        <v>180555</v>
      </c>
      <c r="H227" s="6">
        <v>19.100000000000001</v>
      </c>
      <c r="I227" s="6">
        <v>22.7</v>
      </c>
      <c r="J227" s="21"/>
      <c r="K227" s="21"/>
      <c r="L227" s="21"/>
      <c r="M227" s="21"/>
      <c r="N227" s="21"/>
      <c r="O227" s="21"/>
      <c r="P227" s="21"/>
      <c r="Q227" s="21"/>
      <c r="R227" s="21"/>
      <c r="S227" s="94">
        <f t="shared" si="31"/>
        <v>19.100000000000001</v>
      </c>
      <c r="T227" s="95">
        <f t="shared" si="32"/>
        <v>1010</v>
      </c>
      <c r="U227" s="11">
        <f t="shared" si="33"/>
        <v>0</v>
      </c>
      <c r="V227" s="11">
        <f t="shared" si="34"/>
        <v>0</v>
      </c>
      <c r="W227" s="12">
        <f t="shared" si="35"/>
        <v>943.95754878466266</v>
      </c>
      <c r="X227" s="12">
        <f>V227/[1]Manure!$I$2</f>
        <v>0</v>
      </c>
      <c r="Y227" s="12">
        <f>W227/[1]Manure!$I$2</f>
        <v>673.2033674695092</v>
      </c>
      <c r="Z227" s="12"/>
      <c r="AA227" s="12"/>
      <c r="AB227" s="11"/>
      <c r="AC227" s="11"/>
    </row>
    <row r="228" spans="1:29" ht="15.75" thickBot="1" x14ac:dyDescent="0.3">
      <c r="A228" s="13">
        <v>45576</v>
      </c>
      <c r="B228" s="87">
        <v>0.41666666666666669</v>
      </c>
      <c r="C228" s="6"/>
      <c r="D228" s="6"/>
      <c r="E228" s="6" t="s">
        <v>60</v>
      </c>
      <c r="F228" s="6">
        <v>20</v>
      </c>
      <c r="G228" s="6">
        <v>181360</v>
      </c>
      <c r="H228" s="6">
        <v>25</v>
      </c>
      <c r="I228" s="6">
        <v>22.6</v>
      </c>
      <c r="J228" s="21"/>
      <c r="K228" s="21"/>
      <c r="L228" s="21"/>
      <c r="M228" s="21"/>
      <c r="N228" s="21"/>
      <c r="O228" s="21"/>
      <c r="P228" s="21"/>
      <c r="Q228" s="21"/>
      <c r="R228" s="21"/>
      <c r="S228" s="94">
        <f t="shared" si="31"/>
        <v>25</v>
      </c>
      <c r="T228" s="95">
        <f t="shared" si="32"/>
        <v>805</v>
      </c>
      <c r="U228" s="11">
        <f t="shared" si="33"/>
        <v>0</v>
      </c>
      <c r="V228" s="11">
        <f t="shared" si="34"/>
        <v>0</v>
      </c>
      <c r="W228" s="12">
        <f t="shared" si="35"/>
        <v>737.46644295302008</v>
      </c>
      <c r="X228" s="12">
        <f>V228/[1]Manure!$I$2</f>
        <v>0</v>
      </c>
      <c r="Y228" s="12">
        <f>W228/[1]Manure!$I$2</f>
        <v>525.93985124747201</v>
      </c>
      <c r="Z228" s="12"/>
      <c r="AA228" s="12"/>
      <c r="AB228" s="11"/>
      <c r="AC228" s="11"/>
    </row>
    <row r="229" spans="1:29" ht="15.75" thickBot="1" x14ac:dyDescent="0.3">
      <c r="A229" s="13">
        <v>45577</v>
      </c>
      <c r="B229" s="87">
        <v>0.41666666666666669</v>
      </c>
      <c r="C229" s="6"/>
      <c r="D229" s="6"/>
      <c r="E229" s="6" t="s">
        <v>60</v>
      </c>
      <c r="F229" s="6">
        <v>20</v>
      </c>
      <c r="G229" s="6">
        <v>182764</v>
      </c>
      <c r="H229" s="6">
        <v>23.7</v>
      </c>
      <c r="I229" s="6">
        <v>22.3</v>
      </c>
      <c r="J229" s="21"/>
      <c r="K229" s="21"/>
      <c r="L229" s="21"/>
      <c r="M229" s="21"/>
      <c r="N229" s="21"/>
      <c r="O229" s="21"/>
      <c r="P229" s="21"/>
      <c r="Q229" s="21"/>
      <c r="R229" s="21"/>
      <c r="S229" s="94">
        <f t="shared" si="31"/>
        <v>23.7</v>
      </c>
      <c r="T229" s="95">
        <f t="shared" si="32"/>
        <v>1404</v>
      </c>
      <c r="U229" s="11">
        <f t="shared" si="33"/>
        <v>0</v>
      </c>
      <c r="V229" s="11">
        <f t="shared" si="34"/>
        <v>0</v>
      </c>
      <c r="W229" s="12">
        <f t="shared" si="35"/>
        <v>1291.850353892821</v>
      </c>
      <c r="X229" s="12">
        <f>V229/[1]Manure!$I$2</f>
        <v>0</v>
      </c>
      <c r="Y229" s="12">
        <f>W229/[1]Manure!$I$2</f>
        <v>921.31050768864259</v>
      </c>
      <c r="Z229" s="12"/>
      <c r="AA229" s="12"/>
      <c r="AB229" s="11"/>
      <c r="AC229" s="11"/>
    </row>
    <row r="230" spans="1:29" ht="15.75" thickBot="1" x14ac:dyDescent="0.3">
      <c r="A230" s="13">
        <v>45579</v>
      </c>
      <c r="B230" s="87">
        <v>0.41666666666666669</v>
      </c>
      <c r="C230" s="6"/>
      <c r="D230" s="6"/>
      <c r="E230" s="6" t="s">
        <v>60</v>
      </c>
      <c r="F230" s="6">
        <v>20</v>
      </c>
      <c r="G230" s="6">
        <v>184220</v>
      </c>
      <c r="H230" s="6">
        <v>22.2</v>
      </c>
      <c r="I230" s="6">
        <v>22.8</v>
      </c>
      <c r="J230" s="21"/>
      <c r="K230" s="21"/>
      <c r="L230" s="21"/>
      <c r="M230" s="21"/>
      <c r="N230" s="21"/>
      <c r="O230" s="21"/>
      <c r="P230" s="21"/>
      <c r="Q230" s="21"/>
      <c r="R230" s="21"/>
      <c r="S230" s="94">
        <f t="shared" si="31"/>
        <v>22.2</v>
      </c>
      <c r="T230" s="95">
        <f t="shared" si="32"/>
        <v>1456</v>
      </c>
      <c r="U230" s="11">
        <f t="shared" si="33"/>
        <v>0</v>
      </c>
      <c r="V230" s="11">
        <f t="shared" si="34"/>
        <v>0</v>
      </c>
      <c r="W230" s="12">
        <f t="shared" si="35"/>
        <v>1346.5040650406504</v>
      </c>
      <c r="X230" s="12">
        <f>V230/[1]Manure!$I$2</f>
        <v>0</v>
      </c>
      <c r="Y230" s="12">
        <f>W230/[1]Manure!$I$2</f>
        <v>960.28796216929743</v>
      </c>
      <c r="Z230" s="12"/>
      <c r="AA230" s="12"/>
      <c r="AB230" s="11"/>
      <c r="AC230" s="11"/>
    </row>
    <row r="231" spans="1:29" ht="15.75" thickBot="1" x14ac:dyDescent="0.3">
      <c r="A231" s="13">
        <v>45580</v>
      </c>
      <c r="B231" s="87">
        <v>0.41666666666666669</v>
      </c>
      <c r="C231" s="6"/>
      <c r="D231" s="6"/>
      <c r="E231" s="6" t="s">
        <v>60</v>
      </c>
      <c r="F231" s="6">
        <v>20</v>
      </c>
      <c r="G231" s="6">
        <v>185490</v>
      </c>
      <c r="H231" s="6">
        <v>22.4</v>
      </c>
      <c r="I231" s="6">
        <v>21.8</v>
      </c>
      <c r="J231" s="21"/>
      <c r="K231" s="21"/>
      <c r="L231" s="21"/>
      <c r="M231" s="21"/>
      <c r="N231" s="21"/>
      <c r="O231" s="21"/>
      <c r="P231" s="21"/>
      <c r="Q231" s="21"/>
      <c r="R231" s="21"/>
      <c r="S231" s="94">
        <f t="shared" si="31"/>
        <v>22.4</v>
      </c>
      <c r="T231" s="95">
        <f t="shared" si="32"/>
        <v>1270</v>
      </c>
      <c r="U231" s="11">
        <f t="shared" si="33"/>
        <v>0</v>
      </c>
      <c r="V231" s="11">
        <f t="shared" si="34"/>
        <v>0</v>
      </c>
      <c r="W231" s="12">
        <f t="shared" si="35"/>
        <v>1173.6966824644551</v>
      </c>
      <c r="X231" s="12">
        <f>V231/[1]Manure!$I$2</f>
        <v>0</v>
      </c>
      <c r="Y231" s="12">
        <f>W231/[1]Manure!$I$2</f>
        <v>837.0467083399634</v>
      </c>
      <c r="Z231" s="12"/>
      <c r="AA231" s="12"/>
      <c r="AB231" s="11"/>
      <c r="AC231" s="11"/>
    </row>
    <row r="232" spans="1:29" ht="15.75" thickBot="1" x14ac:dyDescent="0.3">
      <c r="A232" s="13">
        <v>45581</v>
      </c>
      <c r="B232" s="87">
        <v>0.41666666666666669</v>
      </c>
      <c r="C232" s="6"/>
      <c r="D232" s="6"/>
      <c r="E232" s="6" t="s">
        <v>60</v>
      </c>
      <c r="F232" s="6">
        <v>20</v>
      </c>
      <c r="G232" s="6">
        <v>186392</v>
      </c>
      <c r="H232" s="6">
        <v>24.3</v>
      </c>
      <c r="I232" s="6">
        <v>22</v>
      </c>
      <c r="J232" s="21"/>
      <c r="K232" s="21"/>
      <c r="L232" s="21"/>
      <c r="M232" s="21"/>
      <c r="N232" s="21"/>
      <c r="O232" s="21"/>
      <c r="P232" s="21"/>
      <c r="Q232" s="21"/>
      <c r="R232" s="21"/>
      <c r="S232" s="94">
        <f t="shared" si="31"/>
        <v>24.3</v>
      </c>
      <c r="T232" s="95">
        <f t="shared" si="32"/>
        <v>902</v>
      </c>
      <c r="U232" s="11">
        <f t="shared" si="33"/>
        <v>0</v>
      </c>
      <c r="V232" s="11">
        <f t="shared" si="34"/>
        <v>0</v>
      </c>
      <c r="W232" s="12">
        <f t="shared" si="35"/>
        <v>828.27447023208879</v>
      </c>
      <c r="X232" s="12">
        <f>V232/[1]Manure!$I$2</f>
        <v>0</v>
      </c>
      <c r="Y232" s="12">
        <f>W232/[1]Manure!$I$2</f>
        <v>590.7015238843818</v>
      </c>
      <c r="Z232" s="12"/>
      <c r="AA232" s="12"/>
      <c r="AB232" s="11"/>
      <c r="AC232" s="11"/>
    </row>
    <row r="233" spans="1:29" ht="15.75" thickBot="1" x14ac:dyDescent="0.3">
      <c r="A233" s="13">
        <v>45582</v>
      </c>
      <c r="B233" s="87">
        <v>0.41666666666666669</v>
      </c>
      <c r="C233" s="6"/>
      <c r="D233" s="6"/>
      <c r="E233" s="6" t="s">
        <v>60</v>
      </c>
      <c r="F233" s="6">
        <v>20</v>
      </c>
      <c r="G233" s="6">
        <v>187221</v>
      </c>
      <c r="H233" s="6">
        <v>25.2</v>
      </c>
      <c r="I233" s="6">
        <v>20.5</v>
      </c>
      <c r="J233" s="21"/>
      <c r="K233" s="21"/>
      <c r="L233" s="21"/>
      <c r="M233" s="21"/>
      <c r="N233" s="21"/>
      <c r="O233" s="21"/>
      <c r="P233" s="21"/>
      <c r="Q233" s="21"/>
      <c r="R233" s="21"/>
      <c r="S233" s="94">
        <f t="shared" si="31"/>
        <v>25.2</v>
      </c>
      <c r="T233" s="95">
        <f t="shared" si="32"/>
        <v>829</v>
      </c>
      <c r="U233" s="11">
        <f t="shared" si="33"/>
        <v>0</v>
      </c>
      <c r="V233" s="11">
        <f t="shared" si="34"/>
        <v>0</v>
      </c>
      <c r="W233" s="12">
        <f t="shared" si="35"/>
        <v>758.94366197183103</v>
      </c>
      <c r="X233" s="12">
        <f>V233/[1]Manure!$I$2</f>
        <v>0</v>
      </c>
      <c r="Y233" s="12">
        <f>W233/[1]Manure!$I$2</f>
        <v>541.25678598247043</v>
      </c>
      <c r="Z233" s="12"/>
      <c r="AA233" s="12"/>
      <c r="AB233" s="11"/>
      <c r="AC233" s="11"/>
    </row>
    <row r="234" spans="1:29" ht="15.75" thickBot="1" x14ac:dyDescent="0.3">
      <c r="A234" s="13">
        <v>45583</v>
      </c>
      <c r="B234" s="87">
        <v>0.41666666666666669</v>
      </c>
      <c r="C234" s="6"/>
      <c r="D234" s="6"/>
      <c r="E234" s="6" t="s">
        <v>60</v>
      </c>
      <c r="F234" s="6">
        <v>20</v>
      </c>
      <c r="G234" s="6">
        <v>187869</v>
      </c>
      <c r="H234" s="6">
        <v>26.9</v>
      </c>
      <c r="I234" s="6">
        <v>21.2</v>
      </c>
      <c r="J234" s="21"/>
      <c r="K234" s="21"/>
      <c r="L234" s="21"/>
      <c r="M234" s="21"/>
      <c r="N234" s="21"/>
      <c r="O234" s="21"/>
      <c r="P234" s="21"/>
      <c r="Q234" s="21"/>
      <c r="R234" s="21"/>
      <c r="S234" s="94">
        <f t="shared" si="31"/>
        <v>26.9</v>
      </c>
      <c r="T234" s="95">
        <f t="shared" si="32"/>
        <v>648</v>
      </c>
      <c r="U234" s="11">
        <f t="shared" si="33"/>
        <v>0</v>
      </c>
      <c r="V234" s="11">
        <f t="shared" si="34"/>
        <v>0</v>
      </c>
      <c r="W234" s="12">
        <f t="shared" si="35"/>
        <v>589.87662554184726</v>
      </c>
      <c r="X234" s="12">
        <f>V234/[1]Manure!$I$2</f>
        <v>0</v>
      </c>
      <c r="Y234" s="12">
        <f>W234/[1]Manure!$I$2</f>
        <v>420.68303942014558</v>
      </c>
      <c r="Z234" s="12"/>
      <c r="AA234" s="12"/>
      <c r="AB234" s="11"/>
      <c r="AC234" s="11"/>
    </row>
    <row r="235" spans="1:29" ht="15.75" thickBot="1" x14ac:dyDescent="0.3">
      <c r="A235" s="13">
        <v>45584</v>
      </c>
      <c r="B235" s="87">
        <v>0.41666666666666669</v>
      </c>
      <c r="C235" s="6"/>
      <c r="D235" s="6"/>
      <c r="E235" s="6" t="s">
        <v>60</v>
      </c>
      <c r="F235" s="6">
        <v>20</v>
      </c>
      <c r="G235" s="6">
        <v>188510</v>
      </c>
      <c r="H235" s="6">
        <v>24.6</v>
      </c>
      <c r="I235" s="6">
        <v>20.9</v>
      </c>
      <c r="J235" s="21"/>
      <c r="K235" s="21"/>
      <c r="L235" s="21"/>
      <c r="M235" s="21"/>
      <c r="N235" s="21"/>
      <c r="O235" s="21"/>
      <c r="P235" s="21"/>
      <c r="Q235" s="21"/>
      <c r="R235" s="21"/>
      <c r="S235" s="94">
        <f t="shared" si="31"/>
        <v>24.6</v>
      </c>
      <c r="T235" s="95">
        <f t="shared" si="32"/>
        <v>641</v>
      </c>
      <c r="U235" s="11">
        <f t="shared" si="33"/>
        <v>0</v>
      </c>
      <c r="V235" s="11">
        <f t="shared" si="34"/>
        <v>0</v>
      </c>
      <c r="W235" s="12">
        <f t="shared" si="35"/>
        <v>588.01411290322574</v>
      </c>
      <c r="X235" s="12">
        <f>V235/[1]Manure!$I$2</f>
        <v>0</v>
      </c>
      <c r="Y235" s="12">
        <f>W235/[1]Manure!$I$2</f>
        <v>419.35474898813533</v>
      </c>
      <c r="Z235" s="12"/>
      <c r="AA235" s="12"/>
      <c r="AB235" s="11"/>
      <c r="AC235" s="11"/>
    </row>
    <row r="236" spans="1:29" ht="15.75" thickBot="1" x14ac:dyDescent="0.3">
      <c r="A236" s="13">
        <v>45586</v>
      </c>
      <c r="B236" s="87">
        <v>0.41666666666666669</v>
      </c>
      <c r="C236" s="6"/>
      <c r="D236" s="6"/>
      <c r="E236" s="6" t="s">
        <v>60</v>
      </c>
      <c r="F236" s="6">
        <v>20</v>
      </c>
      <c r="G236" s="6">
        <v>190119</v>
      </c>
      <c r="H236" s="6">
        <v>23</v>
      </c>
      <c r="I236" s="6">
        <v>21</v>
      </c>
      <c r="J236" s="21"/>
      <c r="K236" s="21"/>
      <c r="L236" s="21"/>
      <c r="M236" s="21"/>
      <c r="N236" s="21"/>
      <c r="O236" s="21"/>
      <c r="P236" s="21"/>
      <c r="Q236" s="21"/>
      <c r="R236" s="21"/>
      <c r="S236" s="94">
        <f t="shared" si="31"/>
        <v>23</v>
      </c>
      <c r="T236" s="95">
        <f t="shared" si="32"/>
        <v>1609</v>
      </c>
      <c r="U236" s="11">
        <f t="shared" si="33"/>
        <v>0</v>
      </c>
      <c r="V236" s="11">
        <f t="shared" si="34"/>
        <v>0</v>
      </c>
      <c r="W236" s="12">
        <f t="shared" si="35"/>
        <v>1483.9763513513512</v>
      </c>
      <c r="X236" s="12">
        <f>V236/[1]Manure!$I$2</f>
        <v>0</v>
      </c>
      <c r="Y236" s="12">
        <f>W236/[1]Manure!$I$2</f>
        <v>1058.3292418828285</v>
      </c>
      <c r="Z236" s="12"/>
      <c r="AA236" s="12"/>
      <c r="AB236" s="11"/>
      <c r="AC236" s="11"/>
    </row>
    <row r="237" spans="1:29" ht="15.75" thickBot="1" x14ac:dyDescent="0.3">
      <c r="A237" s="13">
        <v>45587</v>
      </c>
      <c r="B237" s="87">
        <v>0.41666666666666669</v>
      </c>
      <c r="C237" s="6"/>
      <c r="D237" s="6"/>
      <c r="E237" s="6" t="s">
        <v>60</v>
      </c>
      <c r="F237" s="6">
        <v>20</v>
      </c>
      <c r="G237" s="6">
        <v>190931</v>
      </c>
      <c r="H237" s="6">
        <v>21.5</v>
      </c>
      <c r="I237" s="6">
        <v>20.3</v>
      </c>
      <c r="J237" s="21"/>
      <c r="K237" s="21"/>
      <c r="L237" s="21"/>
      <c r="M237" s="21"/>
      <c r="N237" s="21"/>
      <c r="O237" s="21"/>
      <c r="P237" s="21"/>
      <c r="Q237" s="21"/>
      <c r="R237" s="21"/>
      <c r="S237" s="94">
        <f t="shared" si="31"/>
        <v>21.5</v>
      </c>
      <c r="T237" s="95">
        <f t="shared" si="32"/>
        <v>812</v>
      </c>
      <c r="U237" s="11">
        <f t="shared" si="33"/>
        <v>0</v>
      </c>
      <c r="V237" s="11">
        <f t="shared" si="34"/>
        <v>0</v>
      </c>
      <c r="W237" s="12">
        <f t="shared" si="35"/>
        <v>752.71986417657047</v>
      </c>
      <c r="X237" s="12">
        <f>V237/[1]Manure!$I$2</f>
        <v>0</v>
      </c>
      <c r="Y237" s="12">
        <f>W237/[1]Manure!$I$2</f>
        <v>536.81815244475126</v>
      </c>
      <c r="Z237" s="12"/>
      <c r="AA237" s="12"/>
      <c r="AB237" s="11"/>
      <c r="AC237" s="11"/>
    </row>
    <row r="238" spans="1:29" ht="15.75" thickBot="1" x14ac:dyDescent="0.3">
      <c r="A238" s="13">
        <v>45588</v>
      </c>
      <c r="B238" s="87">
        <v>0.41666666666666669</v>
      </c>
      <c r="C238" s="6"/>
      <c r="D238" s="6"/>
      <c r="E238" s="6" t="s">
        <v>60</v>
      </c>
      <c r="F238" s="6">
        <v>20</v>
      </c>
      <c r="G238" s="6">
        <v>191244</v>
      </c>
      <c r="H238" s="6">
        <v>25</v>
      </c>
      <c r="I238" s="6">
        <v>19.600000000000001</v>
      </c>
      <c r="J238" s="21"/>
      <c r="K238" s="21"/>
      <c r="L238" s="21"/>
      <c r="M238" s="21"/>
      <c r="N238" s="21"/>
      <c r="O238" s="21"/>
      <c r="P238" s="21"/>
      <c r="Q238" s="21"/>
      <c r="R238" s="21"/>
      <c r="S238" s="94">
        <f t="shared" si="31"/>
        <v>25</v>
      </c>
      <c r="T238" s="95">
        <f t="shared" si="32"/>
        <v>313</v>
      </c>
      <c r="U238" s="11">
        <f t="shared" si="33"/>
        <v>0</v>
      </c>
      <c r="V238" s="11">
        <f t="shared" si="34"/>
        <v>0</v>
      </c>
      <c r="W238" s="12">
        <f t="shared" si="35"/>
        <v>286.74161073825502</v>
      </c>
      <c r="X238" s="12">
        <f>V238/[1]Manure!$I$2</f>
        <v>0</v>
      </c>
      <c r="Y238" s="12">
        <f>W238/[1]Manure!$I$2</f>
        <v>204.49586762789906</v>
      </c>
      <c r="Z238" s="12"/>
      <c r="AA238" s="12"/>
      <c r="AB238" s="11"/>
      <c r="AC238" s="11"/>
    </row>
    <row r="239" spans="1:29" ht="15.75" thickBot="1" x14ac:dyDescent="0.3">
      <c r="A239" s="13">
        <v>45589</v>
      </c>
      <c r="B239" s="87">
        <v>0.41666666666666669</v>
      </c>
      <c r="C239" s="6"/>
      <c r="D239" s="6"/>
      <c r="E239" s="6" t="s">
        <v>60</v>
      </c>
      <c r="F239" s="6">
        <v>20</v>
      </c>
      <c r="G239" s="6">
        <v>192462</v>
      </c>
      <c r="H239" s="6">
        <v>24.7</v>
      </c>
      <c r="I239" s="6">
        <v>20.9</v>
      </c>
      <c r="J239" s="21"/>
      <c r="K239" s="21"/>
      <c r="L239" s="21"/>
      <c r="M239" s="21"/>
      <c r="N239" s="21"/>
      <c r="O239" s="21"/>
      <c r="P239" s="21"/>
      <c r="Q239" s="21"/>
      <c r="R239" s="21"/>
      <c r="S239" s="94">
        <f t="shared" si="31"/>
        <v>24.7</v>
      </c>
      <c r="T239" s="95">
        <f t="shared" si="32"/>
        <v>1218</v>
      </c>
      <c r="U239" s="11">
        <f t="shared" si="33"/>
        <v>0</v>
      </c>
      <c r="V239" s="11">
        <f t="shared" si="34"/>
        <v>0</v>
      </c>
      <c r="W239" s="12">
        <f t="shared" si="35"/>
        <v>1116.9432314410481</v>
      </c>
      <c r="X239" s="12">
        <f>V239/[1]Manure!$I$2</f>
        <v>0</v>
      </c>
      <c r="Y239" s="12">
        <f>W239/[1]Manure!$I$2</f>
        <v>796.57177978659342</v>
      </c>
      <c r="Z239" s="12"/>
      <c r="AA239" s="12"/>
      <c r="AB239" s="11"/>
      <c r="AC239" s="11"/>
    </row>
    <row r="240" spans="1:29" ht="15.75" thickBot="1" x14ac:dyDescent="0.3">
      <c r="A240" s="13">
        <v>45590</v>
      </c>
      <c r="B240" s="87">
        <v>0.41666666666666669</v>
      </c>
      <c r="C240" s="6"/>
      <c r="D240" s="6"/>
      <c r="E240" s="6" t="s">
        <v>60</v>
      </c>
      <c r="F240" s="6">
        <v>20</v>
      </c>
      <c r="G240" s="6">
        <v>193420</v>
      </c>
      <c r="H240" s="6">
        <v>29.9</v>
      </c>
      <c r="I240" s="6">
        <v>22.1</v>
      </c>
      <c r="J240" s="21"/>
      <c r="K240" s="21"/>
      <c r="L240" s="21"/>
      <c r="M240" s="21"/>
      <c r="N240" s="21"/>
      <c r="O240" s="21"/>
      <c r="P240" s="21"/>
      <c r="Q240" s="21"/>
      <c r="R240" s="21"/>
      <c r="S240" s="94">
        <f t="shared" si="31"/>
        <v>29.9</v>
      </c>
      <c r="T240" s="95">
        <f t="shared" si="32"/>
        <v>958</v>
      </c>
      <c r="U240" s="11">
        <f t="shared" si="33"/>
        <v>0</v>
      </c>
      <c r="V240" s="11">
        <f t="shared" si="34"/>
        <v>0</v>
      </c>
      <c r="W240" s="12">
        <f t="shared" si="35"/>
        <v>863.43347639484989</v>
      </c>
      <c r="X240" s="12">
        <f>V240/[1]Manure!$I$2</f>
        <v>0</v>
      </c>
      <c r="Y240" s="12">
        <f>W240/[1]Manure!$I$2</f>
        <v>615.77591560477833</v>
      </c>
      <c r="Z240" s="12"/>
      <c r="AA240" s="12"/>
      <c r="AB240" s="11"/>
      <c r="AC240" s="11"/>
    </row>
    <row r="241" spans="1:29" ht="15.75" thickBot="1" x14ac:dyDescent="0.3">
      <c r="A241" s="13">
        <v>45591</v>
      </c>
      <c r="B241" s="87">
        <v>0.41666666666666669</v>
      </c>
      <c r="C241" s="6"/>
      <c r="D241" s="6"/>
      <c r="E241" s="6" t="s">
        <v>60</v>
      </c>
      <c r="F241" s="6">
        <v>20</v>
      </c>
      <c r="G241" s="6">
        <v>193985</v>
      </c>
      <c r="H241" s="6">
        <v>28.5</v>
      </c>
      <c r="I241" s="6">
        <v>21.5</v>
      </c>
      <c r="J241" s="21"/>
      <c r="K241" s="21"/>
      <c r="L241" s="21"/>
      <c r="M241" s="21"/>
      <c r="N241" s="21"/>
      <c r="O241" s="21"/>
      <c r="P241" s="21"/>
      <c r="Q241" s="21"/>
      <c r="R241" s="21"/>
      <c r="S241" s="94">
        <f t="shared" si="31"/>
        <v>28.5</v>
      </c>
      <c r="T241" s="95">
        <f t="shared" si="32"/>
        <v>565</v>
      </c>
      <c r="U241" s="11">
        <f t="shared" si="33"/>
        <v>0</v>
      </c>
      <c r="V241" s="11">
        <f t="shared" si="34"/>
        <v>0</v>
      </c>
      <c r="W241" s="12">
        <f t="shared" si="35"/>
        <v>511.592039800995</v>
      </c>
      <c r="X241" s="12">
        <f>V241/[1]Manure!$I$2</f>
        <v>0</v>
      </c>
      <c r="Y241" s="12">
        <f>W241/[1]Manure!$I$2</f>
        <v>364.85272500658965</v>
      </c>
      <c r="Z241" s="12"/>
      <c r="AA241" s="12"/>
      <c r="AB241" s="11"/>
      <c r="AC241" s="11"/>
    </row>
    <row r="242" spans="1:29" ht="15.75" thickBot="1" x14ac:dyDescent="0.3">
      <c r="A242" s="13">
        <v>45593</v>
      </c>
      <c r="B242" s="87">
        <v>0.41666666666666669</v>
      </c>
      <c r="C242" s="6"/>
      <c r="D242" s="6"/>
      <c r="E242" s="6" t="s">
        <v>60</v>
      </c>
      <c r="F242" s="6">
        <v>20</v>
      </c>
      <c r="G242" s="6">
        <v>196985</v>
      </c>
      <c r="H242" s="6">
        <v>26.7</v>
      </c>
      <c r="I242" s="6">
        <v>22</v>
      </c>
      <c r="J242" s="21"/>
      <c r="K242" s="21"/>
      <c r="L242" s="21"/>
      <c r="M242" s="21"/>
      <c r="N242" s="21"/>
      <c r="O242" s="21"/>
      <c r="P242" s="21"/>
      <c r="Q242" s="21"/>
      <c r="R242" s="21"/>
      <c r="S242" s="94">
        <f t="shared" si="31"/>
        <v>26.7</v>
      </c>
      <c r="T242" s="95">
        <f t="shared" si="32"/>
        <v>3000</v>
      </c>
      <c r="U242" s="11">
        <f t="shared" si="33"/>
        <v>0</v>
      </c>
      <c r="V242" s="11">
        <f t="shared" si="34"/>
        <v>0</v>
      </c>
      <c r="W242" s="12">
        <f t="shared" si="35"/>
        <v>2732.732732732733</v>
      </c>
      <c r="X242" s="12">
        <f>V242/[1]Manure!$I$2</f>
        <v>0</v>
      </c>
      <c r="Y242" s="12">
        <f>W242/[1]Manure!$I$2</f>
        <v>1948.9063681289574</v>
      </c>
      <c r="Z242" s="12"/>
      <c r="AA242" s="12"/>
      <c r="AB242" s="11"/>
      <c r="AC242" s="11"/>
    </row>
    <row r="243" spans="1:29" ht="15.75" thickBot="1" x14ac:dyDescent="0.3">
      <c r="A243" s="13">
        <v>45594</v>
      </c>
      <c r="B243" s="87">
        <v>0.41666666666666669</v>
      </c>
      <c r="C243" s="6"/>
      <c r="D243" s="6"/>
      <c r="E243" s="6" t="s">
        <v>60</v>
      </c>
      <c r="F243" s="6">
        <v>20</v>
      </c>
      <c r="G243" s="6">
        <v>197414</v>
      </c>
      <c r="H243" s="6">
        <v>26.2</v>
      </c>
      <c r="I243" s="6">
        <v>21.7</v>
      </c>
      <c r="J243" s="21"/>
      <c r="K243" s="21"/>
      <c r="L243" s="21"/>
      <c r="M243" s="21"/>
      <c r="N243" s="21"/>
      <c r="O243" s="21"/>
      <c r="P243" s="21"/>
      <c r="Q243" s="21"/>
      <c r="R243" s="21"/>
      <c r="S243" s="94">
        <f t="shared" si="31"/>
        <v>26.2</v>
      </c>
      <c r="T243" s="95">
        <f t="shared" si="32"/>
        <v>429</v>
      </c>
      <c r="U243" s="11">
        <f t="shared" si="33"/>
        <v>0</v>
      </c>
      <c r="V243" s="11">
        <f t="shared" si="34"/>
        <v>0</v>
      </c>
      <c r="W243" s="12">
        <f t="shared" si="35"/>
        <v>391.43382352941177</v>
      </c>
      <c r="X243" s="12">
        <f>V243/[1]Manure!$I$2</f>
        <v>0</v>
      </c>
      <c r="Y243" s="12">
        <f>W243/[1]Manure!$I$2</f>
        <v>279.15934194364814</v>
      </c>
      <c r="Z243" s="12"/>
      <c r="AA243" s="12"/>
      <c r="AB243" s="11"/>
      <c r="AC243" s="11"/>
    </row>
    <row r="244" spans="1:29" ht="15.75" thickBot="1" x14ac:dyDescent="0.3">
      <c r="A244" s="13">
        <v>45595</v>
      </c>
      <c r="B244" s="87">
        <v>0.41666666666666669</v>
      </c>
      <c r="C244" s="6"/>
      <c r="D244" s="6"/>
      <c r="E244" s="6" t="s">
        <v>60</v>
      </c>
      <c r="F244" s="6">
        <v>20</v>
      </c>
      <c r="G244" s="6">
        <v>198657</v>
      </c>
      <c r="H244" s="6">
        <v>25.2</v>
      </c>
      <c r="I244" s="6">
        <v>22.3</v>
      </c>
      <c r="J244" s="21"/>
      <c r="K244" s="21"/>
      <c r="L244" s="21"/>
      <c r="M244" s="21"/>
      <c r="N244" s="21"/>
      <c r="O244" s="21"/>
      <c r="P244" s="21"/>
      <c r="Q244" s="21"/>
      <c r="R244" s="21"/>
      <c r="S244" s="94">
        <f t="shared" si="31"/>
        <v>25.2</v>
      </c>
      <c r="T244" s="95">
        <f t="shared" si="32"/>
        <v>1243</v>
      </c>
      <c r="U244" s="11">
        <f t="shared" si="33"/>
        <v>0</v>
      </c>
      <c r="V244" s="11">
        <f t="shared" si="34"/>
        <v>0</v>
      </c>
      <c r="W244" s="12">
        <f t="shared" si="35"/>
        <v>1137.9577464788733</v>
      </c>
      <c r="X244" s="12">
        <f>V244/[1]Manure!$I$2</f>
        <v>0</v>
      </c>
      <c r="Y244" s="12">
        <f>W244/[1]Manure!$I$2</f>
        <v>811.55872735369201</v>
      </c>
      <c r="Z244" s="12"/>
      <c r="AA244" s="12"/>
      <c r="AB244" s="11"/>
      <c r="AC244" s="11"/>
    </row>
    <row r="245" spans="1:29" ht="15.75" thickBot="1" x14ac:dyDescent="0.3">
      <c r="A245" s="13">
        <v>45596</v>
      </c>
      <c r="B245" s="87">
        <v>0.41666666666666669</v>
      </c>
      <c r="C245" s="6"/>
      <c r="D245" s="6"/>
      <c r="E245" s="6" t="s">
        <v>60</v>
      </c>
      <c r="F245" s="6">
        <v>20</v>
      </c>
      <c r="G245" s="6">
        <v>199498</v>
      </c>
      <c r="H245" s="6">
        <v>29.8</v>
      </c>
      <c r="I245" s="6">
        <v>23</v>
      </c>
      <c r="J245" s="21"/>
      <c r="K245" s="21"/>
      <c r="L245" s="21"/>
      <c r="M245" s="21"/>
      <c r="N245" s="21"/>
      <c r="O245" s="21"/>
      <c r="P245" s="21"/>
      <c r="Q245" s="21"/>
      <c r="R245" s="21"/>
      <c r="S245" s="94">
        <f t="shared" si="31"/>
        <v>29.8</v>
      </c>
      <c r="T245" s="95">
        <f t="shared" si="32"/>
        <v>841</v>
      </c>
      <c r="U245" s="11">
        <f t="shared" si="33"/>
        <v>0</v>
      </c>
      <c r="V245" s="11">
        <f t="shared" si="34"/>
        <v>0</v>
      </c>
      <c r="W245" s="12">
        <f t="shared" si="35"/>
        <v>758.23315719947152</v>
      </c>
      <c r="X245" s="12">
        <f>V245/[1]Manure!$I$2</f>
        <v>0</v>
      </c>
      <c r="Y245" s="12">
        <f>W245/[1]Manure!$I$2</f>
        <v>540.75007441904108</v>
      </c>
      <c r="Z245" s="12"/>
      <c r="AA245" s="12"/>
      <c r="AB245" s="11"/>
      <c r="AC245" s="11"/>
    </row>
    <row r="246" spans="1:29" ht="15.75" thickBot="1" x14ac:dyDescent="0.3">
      <c r="A246" s="13">
        <v>45597</v>
      </c>
      <c r="B246" s="87">
        <v>0.41666666666666669</v>
      </c>
      <c r="C246" s="6"/>
      <c r="D246" s="6"/>
      <c r="E246" s="6" t="s">
        <v>60</v>
      </c>
      <c r="F246" s="6">
        <v>20</v>
      </c>
      <c r="G246" s="6">
        <v>199975</v>
      </c>
      <c r="H246" s="6">
        <v>31.9</v>
      </c>
      <c r="I246" s="6">
        <v>22.5</v>
      </c>
      <c r="J246" s="21"/>
      <c r="K246" s="21"/>
      <c r="L246" s="21"/>
      <c r="M246" s="21"/>
      <c r="N246" s="21"/>
      <c r="O246" s="21"/>
      <c r="P246" s="21"/>
      <c r="Q246" s="21"/>
      <c r="R246" s="21"/>
      <c r="S246" s="94">
        <f t="shared" si="31"/>
        <v>31.9</v>
      </c>
      <c r="T246" s="95">
        <f t="shared" si="32"/>
        <v>477</v>
      </c>
      <c r="U246" s="11">
        <f t="shared" si="33"/>
        <v>0</v>
      </c>
      <c r="V246" s="11">
        <f t="shared" si="34"/>
        <v>0</v>
      </c>
      <c r="W246" s="12">
        <f t="shared" si="35"/>
        <v>427.09412922269604</v>
      </c>
      <c r="X246" s="12">
        <f>V246/[1]Manure!$I$2</f>
        <v>0</v>
      </c>
      <c r="Y246" s="12">
        <f>W246/[1]Manure!$I$2</f>
        <v>304.59124606753534</v>
      </c>
      <c r="Z246" s="12"/>
      <c r="AA246" s="12"/>
      <c r="AB246" s="11"/>
      <c r="AC246" s="11"/>
    </row>
    <row r="247" spans="1:29" ht="15.75" thickBot="1" x14ac:dyDescent="0.3">
      <c r="A247" s="13">
        <v>45598</v>
      </c>
      <c r="B247" s="87">
        <v>0.41666666666666669</v>
      </c>
      <c r="C247" s="6"/>
      <c r="D247" s="6"/>
      <c r="E247" s="6" t="s">
        <v>60</v>
      </c>
      <c r="F247" s="6">
        <v>20</v>
      </c>
      <c r="G247" s="6">
        <v>200813</v>
      </c>
      <c r="H247" s="6">
        <v>27.3</v>
      </c>
      <c r="I247" s="6">
        <v>21.7</v>
      </c>
      <c r="J247" s="21"/>
      <c r="K247" s="21"/>
      <c r="L247" s="21"/>
      <c r="M247" s="21"/>
      <c r="N247" s="21"/>
      <c r="O247" s="21"/>
      <c r="P247" s="21"/>
      <c r="Q247" s="21"/>
      <c r="R247" s="21"/>
      <c r="S247" s="94">
        <f t="shared" si="31"/>
        <v>27.3</v>
      </c>
      <c r="T247" s="95">
        <f t="shared" si="32"/>
        <v>838</v>
      </c>
      <c r="U247" s="11">
        <f t="shared" si="33"/>
        <v>0</v>
      </c>
      <c r="V247" s="11">
        <f t="shared" si="34"/>
        <v>0</v>
      </c>
      <c r="W247" s="12">
        <f t="shared" si="35"/>
        <v>761.81818181818176</v>
      </c>
      <c r="X247" s="12">
        <f>V247/[1]Manure!$I$2</f>
        <v>0</v>
      </c>
      <c r="Y247" s="12">
        <f>W247/[1]Manure!$I$2</f>
        <v>543.30681084101695</v>
      </c>
      <c r="Z247" s="12"/>
      <c r="AA247" s="12"/>
      <c r="AB247" s="11"/>
      <c r="AC247" s="11"/>
    </row>
    <row r="248" spans="1:29" ht="15.75" thickBot="1" x14ac:dyDescent="0.3">
      <c r="A248" s="13">
        <v>45601</v>
      </c>
      <c r="B248" s="87">
        <v>0.41666666666666669</v>
      </c>
      <c r="C248" s="6"/>
      <c r="D248" s="6"/>
      <c r="E248" s="6" t="s">
        <v>60</v>
      </c>
      <c r="F248" s="6">
        <v>20</v>
      </c>
      <c r="G248" s="6">
        <v>203223</v>
      </c>
      <c r="H248" s="6">
        <v>25.5</v>
      </c>
      <c r="I248" s="6">
        <v>20.9</v>
      </c>
      <c r="J248" s="21"/>
      <c r="K248" s="21"/>
      <c r="L248" s="21"/>
      <c r="M248" s="21"/>
      <c r="N248" s="21"/>
      <c r="O248" s="21"/>
      <c r="P248" s="21"/>
      <c r="Q248" s="21"/>
      <c r="R248" s="21"/>
      <c r="S248" s="94">
        <f t="shared" si="31"/>
        <v>25.5</v>
      </c>
      <c r="T248" s="95">
        <f t="shared" si="32"/>
        <v>2410</v>
      </c>
      <c r="U248" s="11">
        <f t="shared" si="33"/>
        <v>0</v>
      </c>
      <c r="V248" s="11">
        <f t="shared" si="34"/>
        <v>0</v>
      </c>
      <c r="W248" s="12">
        <f t="shared" si="35"/>
        <v>2204.1206030150752</v>
      </c>
      <c r="X248" s="12">
        <f>V248/[1]Manure!$I$2</f>
        <v>0</v>
      </c>
      <c r="Y248" s="12">
        <f>W248/[1]Manure!$I$2</f>
        <v>1571.9154046377205</v>
      </c>
      <c r="Z248" s="12"/>
      <c r="AA248" s="12"/>
      <c r="AB248" s="11"/>
      <c r="AC248" s="11"/>
    </row>
    <row r="249" spans="1:29" ht="15.75" thickBot="1" x14ac:dyDescent="0.3">
      <c r="A249" s="13">
        <v>45602</v>
      </c>
      <c r="B249" s="87">
        <v>0.41666666666666669</v>
      </c>
      <c r="C249" s="6"/>
      <c r="D249" s="6"/>
      <c r="E249" s="6" t="s">
        <v>60</v>
      </c>
      <c r="F249" s="6">
        <v>20</v>
      </c>
      <c r="G249" s="6">
        <v>203998</v>
      </c>
      <c r="H249" s="6">
        <v>25.4</v>
      </c>
      <c r="I249" s="6">
        <v>21.2</v>
      </c>
      <c r="J249" s="21"/>
      <c r="K249" s="21"/>
      <c r="L249" s="21"/>
      <c r="M249" s="21"/>
      <c r="N249" s="21"/>
      <c r="O249" s="21"/>
      <c r="P249" s="21"/>
      <c r="Q249" s="21"/>
      <c r="R249" s="21"/>
      <c r="S249" s="94">
        <f t="shared" si="31"/>
        <v>25.4</v>
      </c>
      <c r="T249" s="95">
        <f t="shared" si="32"/>
        <v>775</v>
      </c>
      <c r="U249" s="11">
        <f t="shared" si="33"/>
        <v>0</v>
      </c>
      <c r="V249" s="11">
        <f t="shared" si="34"/>
        <v>0</v>
      </c>
      <c r="W249" s="12">
        <f t="shared" si="35"/>
        <v>709.03150134048269</v>
      </c>
      <c r="X249" s="12">
        <f>V249/[1]Manure!$I$2</f>
        <v>0</v>
      </c>
      <c r="Y249" s="12">
        <f>W249/[1]Manure!$I$2</f>
        <v>505.66086892246722</v>
      </c>
      <c r="Z249" s="12"/>
      <c r="AA249" s="12"/>
      <c r="AB249" s="11"/>
      <c r="AC249" s="11"/>
    </row>
    <row r="250" spans="1:29" ht="15.75" thickBot="1" x14ac:dyDescent="0.3">
      <c r="A250" s="13">
        <v>45603</v>
      </c>
      <c r="B250" s="87">
        <v>0.41666666666666669</v>
      </c>
      <c r="C250" s="6"/>
      <c r="D250" s="6"/>
      <c r="E250" s="6" t="s">
        <v>60</v>
      </c>
      <c r="F250" s="6">
        <v>20</v>
      </c>
      <c r="G250" s="6">
        <v>204851</v>
      </c>
      <c r="H250" s="6">
        <v>23.5</v>
      </c>
      <c r="I250" s="6">
        <v>21.3</v>
      </c>
      <c r="J250" s="21"/>
      <c r="K250" s="21"/>
      <c r="L250" s="21"/>
      <c r="M250" s="21"/>
      <c r="N250" s="21"/>
      <c r="O250" s="21"/>
      <c r="P250" s="21"/>
      <c r="Q250" s="21"/>
      <c r="R250" s="21"/>
      <c r="S250" s="94">
        <f t="shared" si="31"/>
        <v>23.5</v>
      </c>
      <c r="T250" s="95">
        <f t="shared" si="32"/>
        <v>853</v>
      </c>
      <c r="U250" s="11">
        <f t="shared" si="33"/>
        <v>0</v>
      </c>
      <c r="V250" s="11">
        <f t="shared" si="34"/>
        <v>0</v>
      </c>
      <c r="W250" s="12">
        <f t="shared" si="35"/>
        <v>785.39291736930852</v>
      </c>
      <c r="X250" s="12">
        <f>V250/[1]Manure!$I$2</f>
        <v>0</v>
      </c>
      <c r="Y250" s="12">
        <f>W250/[1]Manure!$I$2</f>
        <v>560.11963402427864</v>
      </c>
      <c r="Z250" s="12"/>
      <c r="AA250" s="12"/>
      <c r="AB250" s="11"/>
      <c r="AC250" s="11"/>
    </row>
    <row r="251" spans="1:29" ht="15.75" thickBot="1" x14ac:dyDescent="0.3">
      <c r="A251" s="13">
        <v>45604</v>
      </c>
      <c r="B251" s="87">
        <v>0.41666666666666669</v>
      </c>
      <c r="C251" s="6"/>
      <c r="D251" s="6"/>
      <c r="E251" s="6" t="s">
        <v>60</v>
      </c>
      <c r="F251" s="6">
        <v>20</v>
      </c>
      <c r="G251" s="6">
        <v>205143</v>
      </c>
      <c r="H251" s="6">
        <v>24.8</v>
      </c>
      <c r="I251" s="6">
        <v>20.399999999999999</v>
      </c>
      <c r="J251" s="21"/>
      <c r="K251" s="21"/>
      <c r="L251" s="21"/>
      <c r="M251" s="21"/>
      <c r="N251" s="21"/>
      <c r="O251" s="21"/>
      <c r="P251" s="21"/>
      <c r="Q251" s="21"/>
      <c r="R251" s="21"/>
      <c r="S251" s="94">
        <f t="shared" si="31"/>
        <v>24.8</v>
      </c>
      <c r="T251" s="95">
        <f t="shared" si="32"/>
        <v>292</v>
      </c>
      <c r="U251" s="11">
        <f t="shared" si="33"/>
        <v>0</v>
      </c>
      <c r="V251" s="11">
        <f t="shared" si="34"/>
        <v>0</v>
      </c>
      <c r="W251" s="12">
        <f t="shared" si="35"/>
        <v>267.68300873069177</v>
      </c>
      <c r="X251" s="12">
        <f>V251/[1]Manure!$I$2</f>
        <v>0</v>
      </c>
      <c r="Y251" s="12">
        <f>W251/[1]Manure!$I$2</f>
        <v>190.90382096513159</v>
      </c>
      <c r="Z251" s="12"/>
      <c r="AA251" s="12"/>
      <c r="AB251" s="11"/>
      <c r="AC251" s="11"/>
    </row>
    <row r="252" spans="1:29" ht="15.75" thickBot="1" x14ac:dyDescent="0.3">
      <c r="A252" s="13">
        <v>45607</v>
      </c>
      <c r="B252" s="87">
        <v>0.41666666666666669</v>
      </c>
      <c r="C252" s="6"/>
      <c r="D252" s="6"/>
      <c r="E252" s="6" t="s">
        <v>60</v>
      </c>
      <c r="F252" s="6">
        <v>20</v>
      </c>
      <c r="G252" s="6">
        <v>207655</v>
      </c>
      <c r="H252" s="6">
        <v>24.6</v>
      </c>
      <c r="I252" s="6">
        <v>20.100000000000001</v>
      </c>
      <c r="J252" s="21"/>
      <c r="K252" s="21"/>
      <c r="L252" s="21"/>
      <c r="M252" s="21"/>
      <c r="N252" s="21"/>
      <c r="O252" s="21"/>
      <c r="P252" s="21"/>
      <c r="Q252" s="21"/>
      <c r="R252" s="21"/>
      <c r="S252" s="94">
        <f t="shared" si="31"/>
        <v>24.6</v>
      </c>
      <c r="T252" s="95">
        <f t="shared" si="32"/>
        <v>2512</v>
      </c>
      <c r="U252" s="11">
        <f t="shared" si="33"/>
        <v>0</v>
      </c>
      <c r="V252" s="11">
        <f t="shared" si="34"/>
        <v>0</v>
      </c>
      <c r="W252" s="12">
        <f t="shared" si="35"/>
        <v>2304.3548387096771</v>
      </c>
      <c r="X252" s="12">
        <f>V252/[1]Manure!$I$2</f>
        <v>0</v>
      </c>
      <c r="Y252" s="12">
        <f>W252/[1]Manure!$I$2</f>
        <v>1643.3995779379031</v>
      </c>
      <c r="Z252" s="12"/>
      <c r="AA252" s="12"/>
      <c r="AB252" s="11"/>
      <c r="AC252" s="11"/>
    </row>
    <row r="253" spans="1:29" ht="15.75" thickBot="1" x14ac:dyDescent="0.3">
      <c r="A253" s="13">
        <v>45608</v>
      </c>
      <c r="B253" s="87">
        <v>0.41666666666666669</v>
      </c>
      <c r="C253" s="6"/>
      <c r="D253" s="6"/>
      <c r="E253" s="6" t="s">
        <v>60</v>
      </c>
      <c r="F253" s="6">
        <v>20</v>
      </c>
      <c r="G253" s="6">
        <v>208163</v>
      </c>
      <c r="H253" s="6">
        <v>18.899999999999999</v>
      </c>
      <c r="I253" s="6">
        <v>20.3</v>
      </c>
      <c r="J253" s="21"/>
      <c r="K253" s="21"/>
      <c r="L253" s="21"/>
      <c r="M253" s="21"/>
      <c r="N253" s="21"/>
      <c r="O253" s="21"/>
      <c r="P253" s="21"/>
      <c r="Q253" s="21"/>
      <c r="R253" s="21"/>
      <c r="S253" s="94">
        <f t="shared" si="31"/>
        <v>18.899999999999999</v>
      </c>
      <c r="T253" s="95">
        <f t="shared" si="32"/>
        <v>508</v>
      </c>
      <c r="U253" s="11">
        <f t="shared" si="33"/>
        <v>0</v>
      </c>
      <c r="V253" s="11">
        <f t="shared" si="34"/>
        <v>0</v>
      </c>
      <c r="W253" s="12">
        <f t="shared" si="35"/>
        <v>475.10791366906477</v>
      </c>
      <c r="X253" s="12">
        <f>V253/[1]Manure!$I$2</f>
        <v>0</v>
      </c>
      <c r="Y253" s="12">
        <f>W253/[1]Manure!$I$2</f>
        <v>338.83329584600915</v>
      </c>
      <c r="Z253" s="12"/>
      <c r="AA253" s="12"/>
      <c r="AB253" s="11"/>
      <c r="AC253" s="11"/>
    </row>
    <row r="254" spans="1:29" ht="15.75" thickBot="1" x14ac:dyDescent="0.3">
      <c r="A254" s="13">
        <v>45609</v>
      </c>
      <c r="B254" s="87">
        <v>0.41666666666666669</v>
      </c>
      <c r="C254" s="6"/>
      <c r="D254" s="6"/>
      <c r="E254" s="6" t="s">
        <v>60</v>
      </c>
      <c r="F254" s="6">
        <v>20</v>
      </c>
      <c r="G254" s="6">
        <v>209143</v>
      </c>
      <c r="H254" s="6">
        <v>18.899999999999999</v>
      </c>
      <c r="I254" s="6">
        <v>21.3</v>
      </c>
      <c r="J254" s="21"/>
      <c r="K254" s="21"/>
      <c r="L254" s="21"/>
      <c r="M254" s="21"/>
      <c r="N254" s="21"/>
      <c r="O254" s="21"/>
      <c r="P254" s="21"/>
      <c r="Q254" s="21"/>
      <c r="R254" s="21"/>
      <c r="S254" s="94">
        <f t="shared" si="31"/>
        <v>18.899999999999999</v>
      </c>
      <c r="T254" s="95">
        <f t="shared" si="32"/>
        <v>980</v>
      </c>
      <c r="U254" s="11">
        <f t="shared" si="33"/>
        <v>0</v>
      </c>
      <c r="V254" s="11">
        <f t="shared" si="34"/>
        <v>0</v>
      </c>
      <c r="W254" s="12">
        <f t="shared" si="35"/>
        <v>916.54676258992811</v>
      </c>
      <c r="X254" s="12">
        <f>V254/[1]Manure!$I$2</f>
        <v>0</v>
      </c>
      <c r="Y254" s="12">
        <f>W254/[1]Manure!$I$2</f>
        <v>653.65478332497833</v>
      </c>
      <c r="Z254" s="12"/>
      <c r="AA254" s="12"/>
      <c r="AB254" s="11"/>
      <c r="AC254" s="11"/>
    </row>
    <row r="255" spans="1:29" ht="15.75" thickBot="1" x14ac:dyDescent="0.3">
      <c r="A255" s="13">
        <v>45610</v>
      </c>
      <c r="B255" s="87">
        <v>0.41666666666666669</v>
      </c>
      <c r="C255" s="6"/>
      <c r="D255" s="6"/>
      <c r="E255" s="6" t="s">
        <v>60</v>
      </c>
      <c r="F255" s="6">
        <v>20</v>
      </c>
      <c r="G255" s="6">
        <v>209580</v>
      </c>
      <c r="H255" s="6">
        <v>26.9</v>
      </c>
      <c r="I255" s="6">
        <v>20.5</v>
      </c>
      <c r="J255" s="21"/>
      <c r="K255" s="21"/>
      <c r="L255" s="21"/>
      <c r="M255" s="21"/>
      <c r="N255" s="21"/>
      <c r="O255" s="21"/>
      <c r="P255" s="21"/>
      <c r="Q255" s="21"/>
      <c r="R255" s="21"/>
      <c r="S255" s="94">
        <f t="shared" si="31"/>
        <v>26.9</v>
      </c>
      <c r="T255" s="95">
        <f t="shared" si="32"/>
        <v>437</v>
      </c>
      <c r="U255" s="11">
        <f t="shared" ref="U255:U262" si="39">T255*(P255/100)</f>
        <v>0</v>
      </c>
      <c r="V255" s="11">
        <f t="shared" ref="V255:V262" si="40">U255*(273/(273+S255))</f>
        <v>0</v>
      </c>
      <c r="W255" s="12">
        <f t="shared" ref="W255:W262" si="41">T255*(273/(273+S255))</f>
        <v>397.80260086695569</v>
      </c>
      <c r="X255" s="12">
        <f>V255/[1]Manure!$I$2</f>
        <v>0</v>
      </c>
      <c r="Y255" s="12">
        <f>W255/[1]Manure!$I$2</f>
        <v>283.70137072006736</v>
      </c>
      <c r="Z255" s="12"/>
      <c r="AA255" s="12"/>
      <c r="AB255" s="11"/>
      <c r="AC255" s="11"/>
    </row>
    <row r="256" spans="1:29" ht="15.75" thickBot="1" x14ac:dyDescent="0.3">
      <c r="A256" s="13">
        <v>45611</v>
      </c>
      <c r="B256" s="87">
        <v>0.41666666666666669</v>
      </c>
      <c r="C256" s="6"/>
      <c r="D256" s="6"/>
      <c r="E256" s="6" t="s">
        <v>60</v>
      </c>
      <c r="F256" s="6">
        <v>20</v>
      </c>
      <c r="G256" s="6">
        <v>210514</v>
      </c>
      <c r="H256" s="6">
        <v>22.4</v>
      </c>
      <c r="I256" s="6">
        <v>20.8</v>
      </c>
      <c r="J256" s="21"/>
      <c r="K256" s="21"/>
      <c r="L256" s="21"/>
      <c r="M256" s="21"/>
      <c r="N256" s="21"/>
      <c r="O256" s="21"/>
      <c r="P256" s="21"/>
      <c r="Q256" s="21"/>
      <c r="R256" s="21"/>
      <c r="S256" s="94">
        <f t="shared" si="31"/>
        <v>22.4</v>
      </c>
      <c r="T256" s="95">
        <f t="shared" si="32"/>
        <v>934</v>
      </c>
      <c r="U256" s="11">
        <f t="shared" si="39"/>
        <v>0</v>
      </c>
      <c r="V256" s="11">
        <f t="shared" si="40"/>
        <v>0</v>
      </c>
      <c r="W256" s="12">
        <f t="shared" si="41"/>
        <v>863.17535545023702</v>
      </c>
      <c r="X256" s="12">
        <f>V256/[1]Manure!$I$2</f>
        <v>0</v>
      </c>
      <c r="Y256" s="12">
        <f>W256/[1]Manure!$I$2</f>
        <v>615.591831172855</v>
      </c>
      <c r="Z256" s="12"/>
      <c r="AA256" s="12"/>
      <c r="AB256" s="11"/>
      <c r="AC256" s="11"/>
    </row>
    <row r="257" spans="1:29" ht="15.75" thickBot="1" x14ac:dyDescent="0.3">
      <c r="A257" s="13">
        <v>45612</v>
      </c>
      <c r="B257" s="87">
        <v>0.41666666666666669</v>
      </c>
      <c r="C257" s="6"/>
      <c r="D257" s="6"/>
      <c r="E257" s="6" t="s">
        <v>60</v>
      </c>
      <c r="F257" s="6">
        <v>20</v>
      </c>
      <c r="G257" s="6">
        <v>211209</v>
      </c>
      <c r="H257" s="6">
        <v>23.4</v>
      </c>
      <c r="I257" s="6">
        <v>21</v>
      </c>
      <c r="J257" s="21"/>
      <c r="K257" s="21"/>
      <c r="L257" s="21"/>
      <c r="M257" s="21"/>
      <c r="N257" s="21"/>
      <c r="O257" s="21"/>
      <c r="P257" s="21"/>
      <c r="Q257" s="21"/>
      <c r="R257" s="21"/>
      <c r="S257" s="94">
        <f t="shared" si="31"/>
        <v>23.4</v>
      </c>
      <c r="T257" s="95">
        <f t="shared" si="32"/>
        <v>695</v>
      </c>
      <c r="U257" s="11">
        <f t="shared" si="39"/>
        <v>0</v>
      </c>
      <c r="V257" s="11">
        <f t="shared" si="40"/>
        <v>0</v>
      </c>
      <c r="W257" s="12">
        <f t="shared" si="41"/>
        <v>640.13157894736844</v>
      </c>
      <c r="X257" s="12">
        <f>V257/[1]Manure!$I$2</f>
        <v>0</v>
      </c>
      <c r="Y257" s="12">
        <f>W257/[1]Manure!$I$2</f>
        <v>456.52342642502549</v>
      </c>
      <c r="Z257" s="12"/>
      <c r="AA257" s="12"/>
      <c r="AB257" s="11"/>
      <c r="AC257" s="11"/>
    </row>
    <row r="258" spans="1:29" ht="15.75" thickBot="1" x14ac:dyDescent="0.3">
      <c r="A258" s="13">
        <v>45614</v>
      </c>
      <c r="B258" s="87">
        <v>0.41666666666666669</v>
      </c>
      <c r="C258" s="6"/>
      <c r="D258" s="6"/>
      <c r="E258" s="6" t="s">
        <v>60</v>
      </c>
      <c r="F258" s="6">
        <v>20</v>
      </c>
      <c r="G258" s="6">
        <v>212241</v>
      </c>
      <c r="H258" s="6">
        <v>18.7</v>
      </c>
      <c r="I258" s="6">
        <v>19.2</v>
      </c>
      <c r="J258" s="21"/>
      <c r="K258" s="21"/>
      <c r="L258" s="21"/>
      <c r="M258" s="21"/>
      <c r="N258" s="21"/>
      <c r="O258" s="21"/>
      <c r="P258" s="21"/>
      <c r="Q258" s="21"/>
      <c r="R258" s="21"/>
      <c r="S258" s="94">
        <f t="shared" si="31"/>
        <v>18.7</v>
      </c>
      <c r="T258" s="95">
        <f t="shared" si="32"/>
        <v>1032</v>
      </c>
      <c r="U258" s="11">
        <f t="shared" si="39"/>
        <v>0</v>
      </c>
      <c r="V258" s="11">
        <f t="shared" si="40"/>
        <v>0</v>
      </c>
      <c r="W258" s="12">
        <f t="shared" si="41"/>
        <v>965.84161810078854</v>
      </c>
      <c r="X258" s="12">
        <f>V258/[1]Manure!$I$2</f>
        <v>0</v>
      </c>
      <c r="Y258" s="12">
        <f>W258/[1]Manure!$I$2</f>
        <v>688.81045613204481</v>
      </c>
      <c r="Z258" s="12"/>
      <c r="AA258" s="12"/>
      <c r="AB258" s="11"/>
      <c r="AC258" s="11"/>
    </row>
    <row r="259" spans="1:29" ht="15.75" thickBot="1" x14ac:dyDescent="0.3">
      <c r="A259" s="13">
        <v>45615</v>
      </c>
      <c r="B259" s="87">
        <v>0.41666666666666669</v>
      </c>
      <c r="C259" s="6"/>
      <c r="D259" s="6"/>
      <c r="E259" s="6" t="s">
        <v>60</v>
      </c>
      <c r="F259" s="6">
        <v>20</v>
      </c>
      <c r="G259" s="6">
        <v>213273</v>
      </c>
      <c r="H259" s="6">
        <v>16.899999999999999</v>
      </c>
      <c r="I259" s="6">
        <v>18.2</v>
      </c>
      <c r="J259" s="21"/>
      <c r="K259" s="21"/>
      <c r="L259" s="21"/>
      <c r="M259" s="21"/>
      <c r="N259" s="21"/>
      <c r="O259" s="21"/>
      <c r="P259" s="21"/>
      <c r="Q259" s="21"/>
      <c r="R259" s="21"/>
      <c r="S259" s="94">
        <f t="shared" si="31"/>
        <v>16.899999999999999</v>
      </c>
      <c r="T259" s="95">
        <f t="shared" si="32"/>
        <v>1032</v>
      </c>
      <c r="U259" s="11">
        <f t="shared" si="39"/>
        <v>0</v>
      </c>
      <c r="V259" s="11">
        <f t="shared" si="40"/>
        <v>0</v>
      </c>
      <c r="W259" s="12">
        <f t="shared" si="41"/>
        <v>971.83856502242156</v>
      </c>
      <c r="X259" s="12">
        <f>V259/[1]Manure!$I$2</f>
        <v>0</v>
      </c>
      <c r="Y259" s="12">
        <f>W259/[1]Manure!$I$2</f>
        <v>693.08730615287163</v>
      </c>
      <c r="Z259" s="12"/>
      <c r="AA259" s="12"/>
      <c r="AB259" s="11"/>
      <c r="AC259" s="11"/>
    </row>
    <row r="260" spans="1:29" ht="15.75" thickBot="1" x14ac:dyDescent="0.3">
      <c r="A260" s="13">
        <v>45616</v>
      </c>
      <c r="B260" s="87">
        <v>0.41666666666666669</v>
      </c>
      <c r="C260" s="6"/>
      <c r="D260" s="6"/>
      <c r="E260" s="6" t="s">
        <v>60</v>
      </c>
      <c r="F260" s="6">
        <v>20</v>
      </c>
      <c r="G260" s="6">
        <v>214091</v>
      </c>
      <c r="H260" s="6">
        <v>27.4</v>
      </c>
      <c r="I260" s="6">
        <v>20.9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94">
        <f t="shared" ref="S260:S308" si="42">H260</f>
        <v>27.4</v>
      </c>
      <c r="T260" s="95">
        <f t="shared" ref="T260:T307" si="43">G260-G259</f>
        <v>818</v>
      </c>
      <c r="U260" s="11">
        <f t="shared" si="39"/>
        <v>0</v>
      </c>
      <c r="V260" s="11">
        <f t="shared" si="40"/>
        <v>0</v>
      </c>
      <c r="W260" s="12">
        <f t="shared" si="41"/>
        <v>743.38881491344887</v>
      </c>
      <c r="X260" s="12">
        <f>V260/[1]Manure!$I$2</f>
        <v>0</v>
      </c>
      <c r="Y260" s="12">
        <f>W260/[1]Manure!$I$2</f>
        <v>530.16351655138408</v>
      </c>
      <c r="Z260" s="12"/>
      <c r="AA260" s="12"/>
      <c r="AB260" s="11"/>
      <c r="AC260" s="11"/>
    </row>
    <row r="261" spans="1:29" ht="15.75" thickBot="1" x14ac:dyDescent="0.3">
      <c r="A261" s="13">
        <v>45617</v>
      </c>
      <c r="B261" s="87">
        <v>0.41666666666666669</v>
      </c>
      <c r="C261" s="6"/>
      <c r="D261" s="6"/>
      <c r="E261" s="6" t="s">
        <v>60</v>
      </c>
      <c r="F261" s="6">
        <v>20</v>
      </c>
      <c r="G261" s="6">
        <v>214748</v>
      </c>
      <c r="H261" s="6">
        <v>29.4</v>
      </c>
      <c r="I261" s="6">
        <v>21.1</v>
      </c>
      <c r="J261" s="21"/>
      <c r="K261" s="21"/>
      <c r="L261" s="21"/>
      <c r="M261" s="21"/>
      <c r="N261" s="21"/>
      <c r="O261" s="21"/>
      <c r="P261" s="21"/>
      <c r="Q261" s="21"/>
      <c r="R261" s="21"/>
      <c r="S261" s="94">
        <f t="shared" si="42"/>
        <v>29.4</v>
      </c>
      <c r="T261" s="95">
        <f t="shared" si="43"/>
        <v>657</v>
      </c>
      <c r="U261" s="11">
        <f t="shared" si="39"/>
        <v>0</v>
      </c>
      <c r="V261" s="11">
        <f t="shared" si="40"/>
        <v>0</v>
      </c>
      <c r="W261" s="12">
        <f t="shared" si="41"/>
        <v>593.12500000000011</v>
      </c>
      <c r="X261" s="12">
        <f>V261/[1]Manure!$I$2</f>
        <v>0</v>
      </c>
      <c r="Y261" s="12">
        <f>W261/[1]Manure!$I$2</f>
        <v>422.99968663256095</v>
      </c>
      <c r="Z261" s="12"/>
      <c r="AA261" s="12"/>
      <c r="AB261" s="11"/>
      <c r="AC261" s="11"/>
    </row>
    <row r="262" spans="1:29" ht="15.75" thickBot="1" x14ac:dyDescent="0.3">
      <c r="A262" s="13">
        <v>45618</v>
      </c>
      <c r="B262" s="87">
        <v>0.41666666666666669</v>
      </c>
      <c r="C262" s="6"/>
      <c r="D262" s="6"/>
      <c r="E262" s="6" t="s">
        <v>60</v>
      </c>
      <c r="F262" s="6">
        <v>20</v>
      </c>
      <c r="G262" s="6">
        <v>215566</v>
      </c>
      <c r="H262" s="6">
        <v>22.5</v>
      </c>
      <c r="I262" s="6">
        <v>20.399999999999999</v>
      </c>
      <c r="J262" s="21"/>
      <c r="K262" s="21"/>
      <c r="L262" s="21"/>
      <c r="M262" s="21"/>
      <c r="N262" s="21"/>
      <c r="O262" s="21"/>
      <c r="P262" s="21"/>
      <c r="Q262" s="21"/>
      <c r="R262" s="21"/>
      <c r="S262" s="94">
        <f t="shared" si="42"/>
        <v>22.5</v>
      </c>
      <c r="T262" s="95">
        <f t="shared" si="43"/>
        <v>818</v>
      </c>
      <c r="U262" s="11">
        <f t="shared" si="39"/>
        <v>0</v>
      </c>
      <c r="V262" s="11">
        <f t="shared" si="40"/>
        <v>0</v>
      </c>
      <c r="W262" s="12">
        <f t="shared" si="41"/>
        <v>755.71573604060916</v>
      </c>
      <c r="X262" s="12">
        <f>V262/[1]Manure!$I$2</f>
        <v>0</v>
      </c>
      <c r="Y262" s="12">
        <f>W262/[1]Manure!$I$2</f>
        <v>538.95472207118701</v>
      </c>
      <c r="Z262" s="12"/>
      <c r="AA262" s="12"/>
      <c r="AB262" s="11"/>
      <c r="AC262" s="11"/>
    </row>
    <row r="263" spans="1:29" ht="15.75" thickBot="1" x14ac:dyDescent="0.3">
      <c r="A263" s="13">
        <v>45619</v>
      </c>
      <c r="B263" s="87">
        <v>0.41666666666666669</v>
      </c>
      <c r="C263" s="6"/>
      <c r="D263" s="6"/>
      <c r="E263" s="6" t="s">
        <v>60</v>
      </c>
      <c r="F263" s="6">
        <v>20</v>
      </c>
      <c r="G263" s="6">
        <v>216555</v>
      </c>
      <c r="H263" s="6">
        <v>24.5</v>
      </c>
      <c r="I263" s="6">
        <v>21.2</v>
      </c>
      <c r="J263" s="21"/>
      <c r="K263" s="21"/>
      <c r="L263" s="21"/>
      <c r="M263" s="21"/>
      <c r="N263" s="21"/>
      <c r="O263" s="21"/>
      <c r="P263" s="21"/>
      <c r="Q263" s="21"/>
      <c r="R263" s="21"/>
      <c r="S263" s="94">
        <f t="shared" si="42"/>
        <v>24.5</v>
      </c>
      <c r="T263" s="95">
        <f t="shared" si="43"/>
        <v>989</v>
      </c>
      <c r="U263" s="11">
        <f t="shared" ref="U263:U327" si="44">T263*(P263/100)</f>
        <v>0</v>
      </c>
      <c r="V263" s="11">
        <f t="shared" ref="V263:V327" si="45">U263*(273/(273+S263))</f>
        <v>0</v>
      </c>
      <c r="W263" s="12">
        <f t="shared" ref="W263:W327" si="46">T263*(273/(273+S263))</f>
        <v>907.55294117647054</v>
      </c>
      <c r="X263" s="12">
        <f>V263/[1]Manure!$I$2</f>
        <v>0</v>
      </c>
      <c r="Y263" s="12">
        <f>W263/[1]Manure!$I$2</f>
        <v>647.24064863242324</v>
      </c>
      <c r="Z263" s="12"/>
      <c r="AA263" s="12"/>
    </row>
    <row r="264" spans="1:29" ht="15.75" thickBot="1" x14ac:dyDescent="0.3">
      <c r="A264" s="13">
        <v>45621</v>
      </c>
      <c r="B264" s="87">
        <v>0.41666666666666669</v>
      </c>
      <c r="C264" s="6"/>
      <c r="D264" s="6"/>
      <c r="E264" s="6" t="s">
        <v>60</v>
      </c>
      <c r="F264" s="6">
        <v>20</v>
      </c>
      <c r="G264" s="6">
        <v>218163</v>
      </c>
      <c r="H264" s="6">
        <v>23.3</v>
      </c>
      <c r="I264" s="6">
        <v>21.7</v>
      </c>
      <c r="J264" s="21"/>
      <c r="K264" s="21"/>
      <c r="L264" s="21"/>
      <c r="M264" s="21"/>
      <c r="N264" s="21"/>
      <c r="O264" s="21"/>
      <c r="P264" s="21"/>
      <c r="Q264" s="21"/>
      <c r="R264" s="21"/>
      <c r="S264" s="94">
        <f t="shared" si="42"/>
        <v>23.3</v>
      </c>
      <c r="T264" s="95">
        <f t="shared" si="43"/>
        <v>1608</v>
      </c>
      <c r="U264" s="11">
        <f t="shared" si="44"/>
        <v>0</v>
      </c>
      <c r="V264" s="11">
        <f t="shared" si="45"/>
        <v>0</v>
      </c>
      <c r="W264" s="12">
        <f t="shared" si="46"/>
        <v>1481.5524805939924</v>
      </c>
      <c r="X264" s="12">
        <f>V264/[1]Manure!$I$2</f>
        <v>0</v>
      </c>
      <c r="Y264" s="12">
        <f>W264/[1]Manure!$I$2</f>
        <v>1056.6006069900141</v>
      </c>
      <c r="Z264" s="12"/>
      <c r="AA264" s="12"/>
    </row>
    <row r="265" spans="1:29" ht="15.75" thickBot="1" x14ac:dyDescent="0.3">
      <c r="A265" s="13">
        <v>45622</v>
      </c>
      <c r="B265" s="87">
        <v>0.41666666666666669</v>
      </c>
      <c r="C265" s="6"/>
      <c r="D265" s="6"/>
      <c r="E265" s="6" t="s">
        <v>60</v>
      </c>
      <c r="F265" s="6">
        <v>20</v>
      </c>
      <c r="G265" s="6">
        <v>219101</v>
      </c>
      <c r="H265" s="6">
        <v>25.5</v>
      </c>
      <c r="I265" s="6">
        <v>20.9</v>
      </c>
      <c r="J265" s="21"/>
      <c r="K265" s="21"/>
      <c r="L265" s="21"/>
      <c r="M265" s="21"/>
      <c r="N265" s="21"/>
      <c r="O265" s="21"/>
      <c r="P265" s="21"/>
      <c r="Q265" s="21"/>
      <c r="R265" s="21"/>
      <c r="S265" s="94">
        <f t="shared" si="42"/>
        <v>25.5</v>
      </c>
      <c r="T265" s="95">
        <f t="shared" si="43"/>
        <v>938</v>
      </c>
      <c r="U265" s="11">
        <f t="shared" si="44"/>
        <v>0</v>
      </c>
      <c r="V265" s="11">
        <f t="shared" si="45"/>
        <v>0</v>
      </c>
      <c r="W265" s="12">
        <f t="shared" si="46"/>
        <v>857.86934673366829</v>
      </c>
      <c r="X265" s="12">
        <f>V265/[1]Manure!$I$2</f>
        <v>0</v>
      </c>
      <c r="Y265" s="12">
        <f>W265/[1]Manure!$I$2</f>
        <v>611.80773840256506</v>
      </c>
      <c r="Z265" s="12"/>
      <c r="AA265" s="12"/>
    </row>
    <row r="266" spans="1:29" ht="15.75" thickBot="1" x14ac:dyDescent="0.3">
      <c r="A266" s="13">
        <v>45623</v>
      </c>
      <c r="B266" s="87">
        <v>0.41666666666666669</v>
      </c>
      <c r="C266" s="6"/>
      <c r="D266" s="6"/>
      <c r="E266" s="6" t="s">
        <v>60</v>
      </c>
      <c r="F266" s="6">
        <v>20</v>
      </c>
      <c r="G266" s="6">
        <v>220002</v>
      </c>
      <c r="H266" s="6">
        <v>22.6</v>
      </c>
      <c r="I266" s="6">
        <v>19.8</v>
      </c>
      <c r="J266" s="21"/>
      <c r="K266" s="21"/>
      <c r="L266" s="21"/>
      <c r="M266" s="21"/>
      <c r="N266" s="21"/>
      <c r="O266" s="21"/>
      <c r="P266" s="21"/>
      <c r="Q266" s="21"/>
      <c r="R266" s="21"/>
      <c r="S266" s="94">
        <f t="shared" si="42"/>
        <v>22.6</v>
      </c>
      <c r="T266" s="95">
        <f t="shared" si="43"/>
        <v>901</v>
      </c>
      <c r="U266" s="11">
        <f t="shared" si="44"/>
        <v>0</v>
      </c>
      <c r="V266" s="11">
        <f t="shared" si="45"/>
        <v>0</v>
      </c>
      <c r="W266" s="12">
        <f t="shared" si="46"/>
        <v>832.11434370771315</v>
      </c>
      <c r="X266" s="12">
        <f>V266/[1]Manure!$I$2</f>
        <v>0</v>
      </c>
      <c r="Y266" s="12">
        <f>W266/[1]Manure!$I$2</f>
        <v>593.44001117946766</v>
      </c>
      <c r="Z266" s="12"/>
      <c r="AA266" s="12"/>
    </row>
    <row r="267" spans="1:29" ht="15.75" thickBot="1" x14ac:dyDescent="0.3">
      <c r="A267" s="13">
        <v>45624</v>
      </c>
      <c r="B267" s="87">
        <v>0.41666666666666669</v>
      </c>
      <c r="C267" s="6"/>
      <c r="D267" s="6"/>
      <c r="E267" s="6" t="s">
        <v>60</v>
      </c>
      <c r="F267" s="6">
        <v>20</v>
      </c>
      <c r="G267" s="6">
        <v>220808</v>
      </c>
      <c r="H267" s="6">
        <v>25</v>
      </c>
      <c r="I267" s="6">
        <v>20.2</v>
      </c>
      <c r="J267" s="21"/>
      <c r="K267" s="21"/>
      <c r="L267" s="21"/>
      <c r="M267" s="21"/>
      <c r="N267" s="21"/>
      <c r="O267" s="21"/>
      <c r="P267" s="21"/>
      <c r="Q267" s="21"/>
      <c r="R267" s="21"/>
      <c r="S267" s="94">
        <f t="shared" si="42"/>
        <v>25</v>
      </c>
      <c r="T267" s="95">
        <f t="shared" si="43"/>
        <v>806</v>
      </c>
      <c r="U267" s="11">
        <f t="shared" si="44"/>
        <v>0</v>
      </c>
      <c r="V267" s="11">
        <f t="shared" si="45"/>
        <v>0</v>
      </c>
      <c r="W267" s="12">
        <f t="shared" si="46"/>
        <v>738.38255033557039</v>
      </c>
      <c r="X267" s="12">
        <f>V267/[1]Manure!$I$2</f>
        <v>0</v>
      </c>
      <c r="Y267" s="12">
        <f>W267/[1]Manure!$I$2</f>
        <v>526.59319267759304</v>
      </c>
      <c r="Z267" s="12"/>
      <c r="AA267" s="12"/>
    </row>
    <row r="268" spans="1:29" ht="15.75" thickBot="1" x14ac:dyDescent="0.3">
      <c r="A268" s="13">
        <v>45625</v>
      </c>
      <c r="B268" s="87">
        <v>0.41666666666666669</v>
      </c>
      <c r="C268" s="6"/>
      <c r="D268" s="6"/>
      <c r="E268" s="6" t="s">
        <v>60</v>
      </c>
      <c r="F268" s="6">
        <v>20</v>
      </c>
      <c r="G268" s="6">
        <v>221698</v>
      </c>
      <c r="H268" s="6">
        <v>20.399999999999999</v>
      </c>
      <c r="I268" s="6">
        <v>19.7</v>
      </c>
      <c r="J268" s="21"/>
      <c r="K268" s="21"/>
      <c r="L268" s="21"/>
      <c r="M268" s="21"/>
      <c r="N268" s="21"/>
      <c r="O268" s="21"/>
      <c r="P268" s="21"/>
      <c r="Q268" s="21"/>
      <c r="R268" s="21"/>
      <c r="S268" s="94">
        <f t="shared" si="42"/>
        <v>20.399999999999999</v>
      </c>
      <c r="T268" s="95">
        <f t="shared" si="43"/>
        <v>890</v>
      </c>
      <c r="U268" s="11">
        <f t="shared" si="44"/>
        <v>0</v>
      </c>
      <c r="V268" s="11">
        <f t="shared" si="45"/>
        <v>0</v>
      </c>
      <c r="W268" s="12">
        <f t="shared" si="46"/>
        <v>828.11860940695306</v>
      </c>
      <c r="X268" s="12">
        <f>V268/[1]Manure!$I$2</f>
        <v>0</v>
      </c>
      <c r="Y268" s="12">
        <f>W268/[1]Manure!$I$2</f>
        <v>590.59036842779051</v>
      </c>
      <c r="Z268" s="12"/>
      <c r="AA268" s="12"/>
    </row>
    <row r="269" spans="1:29" ht="15.75" thickBot="1" x14ac:dyDescent="0.3">
      <c r="A269" s="13">
        <v>45626</v>
      </c>
      <c r="B269" s="87">
        <v>0.41666666666666669</v>
      </c>
      <c r="C269" s="6"/>
      <c r="D269" s="6"/>
      <c r="E269" s="6" t="s">
        <v>60</v>
      </c>
      <c r="F269" s="6">
        <v>20</v>
      </c>
      <c r="G269" s="6">
        <v>222591</v>
      </c>
      <c r="H269" s="6">
        <v>24.5</v>
      </c>
      <c r="I269" s="6">
        <v>21.1</v>
      </c>
      <c r="J269" s="21"/>
      <c r="K269" s="21"/>
      <c r="L269" s="21"/>
      <c r="M269" s="21"/>
      <c r="N269" s="21"/>
      <c r="O269" s="21"/>
      <c r="P269" s="21"/>
      <c r="Q269" s="21"/>
      <c r="R269" s="21"/>
      <c r="S269" s="94">
        <f t="shared" si="42"/>
        <v>24.5</v>
      </c>
      <c r="T269" s="95">
        <f t="shared" si="43"/>
        <v>893</v>
      </c>
      <c r="U269" s="11">
        <f t="shared" si="44"/>
        <v>0</v>
      </c>
      <c r="V269" s="11">
        <f t="shared" si="45"/>
        <v>0</v>
      </c>
      <c r="W269" s="12">
        <f t="shared" si="46"/>
        <v>819.45882352941169</v>
      </c>
      <c r="X269" s="12">
        <f>V269/[1]Manure!$I$2</f>
        <v>0</v>
      </c>
      <c r="Y269" s="12">
        <f>W269/[1]Manure!$I$2</f>
        <v>584.41445826972085</v>
      </c>
      <c r="Z269" s="12"/>
      <c r="AA269" s="12"/>
    </row>
    <row r="270" spans="1:29" ht="15.75" thickBot="1" x14ac:dyDescent="0.3">
      <c r="A270" s="13">
        <v>45628</v>
      </c>
      <c r="B270" s="87">
        <v>0.41666666666666669</v>
      </c>
      <c r="C270" s="6"/>
      <c r="D270" s="6"/>
      <c r="E270" s="6" t="s">
        <v>60</v>
      </c>
      <c r="F270" s="6">
        <v>20</v>
      </c>
      <c r="G270" s="6">
        <v>224404</v>
      </c>
      <c r="H270" s="6">
        <v>28.2</v>
      </c>
      <c r="I270" s="6">
        <v>20.8</v>
      </c>
      <c r="J270" s="21"/>
      <c r="K270" s="21"/>
      <c r="L270" s="21"/>
      <c r="M270" s="21"/>
      <c r="N270" s="21"/>
      <c r="O270" s="21"/>
      <c r="P270" s="21"/>
      <c r="Q270" s="21"/>
      <c r="R270" s="21"/>
      <c r="S270" s="94">
        <f t="shared" si="42"/>
        <v>28.2</v>
      </c>
      <c r="T270" s="95">
        <f t="shared" si="43"/>
        <v>1813</v>
      </c>
      <c r="U270" s="11">
        <f t="shared" si="44"/>
        <v>0</v>
      </c>
      <c r="V270" s="11">
        <f t="shared" si="45"/>
        <v>0</v>
      </c>
      <c r="W270" s="12">
        <f t="shared" si="46"/>
        <v>1643.256972111554</v>
      </c>
      <c r="X270" s="12">
        <f>V270/[1]Manure!$I$2</f>
        <v>0</v>
      </c>
      <c r="Y270" s="12">
        <f>W270/[1]Manure!$I$2</f>
        <v>1171.923598330804</v>
      </c>
      <c r="Z270" s="12"/>
      <c r="AA270" s="12"/>
    </row>
    <row r="271" spans="1:29" ht="15.75" thickBot="1" x14ac:dyDescent="0.3">
      <c r="A271" s="13">
        <v>45629</v>
      </c>
      <c r="B271" s="87">
        <v>0.41666666666666669</v>
      </c>
      <c r="C271" s="6"/>
      <c r="D271" s="6"/>
      <c r="E271" s="6" t="s">
        <v>60</v>
      </c>
      <c r="F271" s="6">
        <v>20</v>
      </c>
      <c r="G271" s="6">
        <v>225418</v>
      </c>
      <c r="H271" s="6">
        <v>26.8</v>
      </c>
      <c r="I271" s="6">
        <v>21.3</v>
      </c>
      <c r="J271" s="21"/>
      <c r="K271" s="21"/>
      <c r="L271" s="21"/>
      <c r="M271" s="21"/>
      <c r="N271" s="21"/>
      <c r="O271" s="21"/>
      <c r="P271" s="21"/>
      <c r="Q271" s="21"/>
      <c r="R271" s="21"/>
      <c r="S271" s="94">
        <f t="shared" si="42"/>
        <v>26.8</v>
      </c>
      <c r="T271" s="95">
        <f t="shared" si="43"/>
        <v>1014</v>
      </c>
      <c r="U271" s="11">
        <f t="shared" si="44"/>
        <v>0</v>
      </c>
      <c r="V271" s="11">
        <f t="shared" si="45"/>
        <v>0</v>
      </c>
      <c r="W271" s="12">
        <f t="shared" si="46"/>
        <v>923.35557038025343</v>
      </c>
      <c r="X271" s="12">
        <f>V271/[1]Manure!$I$2</f>
        <v>0</v>
      </c>
      <c r="Y271" s="12">
        <f>W271/[1]Manure!$I$2</f>
        <v>658.51062916126739</v>
      </c>
      <c r="Z271" s="12"/>
      <c r="AA271" s="12"/>
    </row>
    <row r="272" spans="1:29" ht="15.75" thickBot="1" x14ac:dyDescent="0.3">
      <c r="A272" s="13">
        <v>45630</v>
      </c>
      <c r="B272" s="87">
        <v>0.41666666666666669</v>
      </c>
      <c r="C272" s="6"/>
      <c r="D272" s="6"/>
      <c r="E272" s="6" t="s">
        <v>60</v>
      </c>
      <c r="F272" s="6">
        <v>20</v>
      </c>
      <c r="G272" s="6">
        <v>226453</v>
      </c>
      <c r="H272" s="6">
        <v>21.8</v>
      </c>
      <c r="I272" s="6">
        <v>20.7</v>
      </c>
      <c r="J272" s="21"/>
      <c r="K272" s="21"/>
      <c r="L272" s="21"/>
      <c r="M272" s="21"/>
      <c r="N272" s="21"/>
      <c r="O272" s="21"/>
      <c r="P272" s="21"/>
      <c r="Q272" s="21"/>
      <c r="R272" s="21"/>
      <c r="S272" s="94">
        <f t="shared" si="42"/>
        <v>21.8</v>
      </c>
      <c r="T272" s="95">
        <f t="shared" si="43"/>
        <v>1035</v>
      </c>
      <c r="U272" s="11">
        <f t="shared" si="44"/>
        <v>0</v>
      </c>
      <c r="V272" s="11">
        <f t="shared" si="45"/>
        <v>0</v>
      </c>
      <c r="W272" s="12">
        <f t="shared" si="46"/>
        <v>958.46336499321569</v>
      </c>
      <c r="X272" s="12">
        <f>V272/[1]Manure!$I$2</f>
        <v>0</v>
      </c>
      <c r="Y272" s="12">
        <f>W272/[1]Manure!$I$2</f>
        <v>683.54849827763132</v>
      </c>
      <c r="Z272" s="12"/>
      <c r="AA272" s="12"/>
    </row>
    <row r="273" spans="1:27" ht="15.75" thickBot="1" x14ac:dyDescent="0.3">
      <c r="A273" s="13">
        <v>45631</v>
      </c>
      <c r="B273" s="87">
        <v>0.41666666666666669</v>
      </c>
      <c r="C273" s="6"/>
      <c r="D273" s="6"/>
      <c r="E273" s="6" t="s">
        <v>60</v>
      </c>
      <c r="F273" s="6">
        <v>20</v>
      </c>
      <c r="G273" s="6">
        <v>227364</v>
      </c>
      <c r="H273" s="6">
        <v>28.7</v>
      </c>
      <c r="I273" s="6">
        <v>21.3</v>
      </c>
      <c r="J273" s="21"/>
      <c r="K273" s="21"/>
      <c r="L273" s="21"/>
      <c r="M273" s="21"/>
      <c r="N273" s="21"/>
      <c r="O273" s="21"/>
      <c r="P273" s="21"/>
      <c r="Q273" s="21"/>
      <c r="R273" s="21"/>
      <c r="S273" s="94">
        <f t="shared" si="42"/>
        <v>28.7</v>
      </c>
      <c r="T273" s="95">
        <f t="shared" si="43"/>
        <v>911</v>
      </c>
      <c r="U273" s="11">
        <f t="shared" si="44"/>
        <v>0</v>
      </c>
      <c r="V273" s="11">
        <f t="shared" si="45"/>
        <v>0</v>
      </c>
      <c r="W273" s="12">
        <f t="shared" si="46"/>
        <v>824.33874709976806</v>
      </c>
      <c r="X273" s="12">
        <f>V273/[1]Manure!$I$2</f>
        <v>0</v>
      </c>
      <c r="Y273" s="12">
        <f>W273/[1]Manure!$I$2</f>
        <v>587.89467937159918</v>
      </c>
      <c r="Z273" s="12"/>
      <c r="AA273" s="12"/>
    </row>
    <row r="274" spans="1:27" ht="15.75" thickBot="1" x14ac:dyDescent="0.3">
      <c r="A274" s="13">
        <v>45632</v>
      </c>
      <c r="B274" s="87">
        <v>0.41666666666666669</v>
      </c>
      <c r="C274" s="6"/>
      <c r="D274" s="6"/>
      <c r="E274" s="6" t="s">
        <v>60</v>
      </c>
      <c r="F274" s="6">
        <v>20</v>
      </c>
      <c r="G274" s="6">
        <v>228334</v>
      </c>
      <c r="H274" s="6">
        <v>27.8</v>
      </c>
      <c r="I274" s="6">
        <v>22</v>
      </c>
      <c r="J274" s="21"/>
      <c r="K274" s="21"/>
      <c r="L274" s="21"/>
      <c r="M274" s="21"/>
      <c r="N274" s="21"/>
      <c r="O274" s="21"/>
      <c r="P274" s="21"/>
      <c r="Q274" s="21"/>
      <c r="R274" s="21"/>
      <c r="S274" s="94">
        <f t="shared" si="42"/>
        <v>27.8</v>
      </c>
      <c r="T274" s="95">
        <f t="shared" si="43"/>
        <v>970</v>
      </c>
      <c r="U274" s="11">
        <f t="shared" si="44"/>
        <v>0</v>
      </c>
      <c r="V274" s="11">
        <f t="shared" si="45"/>
        <v>0</v>
      </c>
      <c r="W274" s="12">
        <f t="shared" si="46"/>
        <v>880.35239361702122</v>
      </c>
      <c r="X274" s="12">
        <f>V274/[1]Manure!$I$2</f>
        <v>0</v>
      </c>
      <c r="Y274" s="12">
        <f>W274/[1]Manure!$I$2</f>
        <v>627.84200063430956</v>
      </c>
      <c r="Z274" s="12"/>
      <c r="AA274" s="12"/>
    </row>
    <row r="275" spans="1:27" ht="15.75" thickBot="1" x14ac:dyDescent="0.3">
      <c r="A275" s="13">
        <v>45633</v>
      </c>
      <c r="B275" s="87">
        <v>0.41666666666666669</v>
      </c>
      <c r="C275" s="6"/>
      <c r="D275" s="6"/>
      <c r="E275" s="6" t="s">
        <v>60</v>
      </c>
      <c r="F275" s="6">
        <v>20</v>
      </c>
      <c r="G275" s="6">
        <v>229478</v>
      </c>
      <c r="H275" s="6">
        <v>25.7</v>
      </c>
      <c r="I275" s="6">
        <v>21.9</v>
      </c>
      <c r="J275" s="21"/>
      <c r="K275" s="21"/>
      <c r="L275" s="21"/>
      <c r="M275" s="21"/>
      <c r="N275" s="21"/>
      <c r="O275" s="21"/>
      <c r="P275" s="21"/>
      <c r="Q275" s="21"/>
      <c r="R275" s="21"/>
      <c r="S275" s="94">
        <f t="shared" si="42"/>
        <v>25.7</v>
      </c>
      <c r="T275" s="95">
        <f t="shared" si="43"/>
        <v>1144</v>
      </c>
      <c r="U275" s="11">
        <f t="shared" si="44"/>
        <v>0</v>
      </c>
      <c r="V275" s="11">
        <f t="shared" si="45"/>
        <v>0</v>
      </c>
      <c r="W275" s="12">
        <f t="shared" si="46"/>
        <v>1045.5708068295949</v>
      </c>
      <c r="X275" s="12">
        <f>V275/[1]Manure!$I$2</f>
        <v>0</v>
      </c>
      <c r="Y275" s="12">
        <f>W275/[1]Manure!$I$2</f>
        <v>745.67101983742464</v>
      </c>
      <c r="Z275" s="12"/>
      <c r="AA275" s="12"/>
    </row>
    <row r="276" spans="1:27" ht="15.75" thickBot="1" x14ac:dyDescent="0.3">
      <c r="A276" s="13">
        <v>45635</v>
      </c>
      <c r="B276" s="87">
        <v>0.41666666666666669</v>
      </c>
      <c r="C276" s="6"/>
      <c r="D276" s="6"/>
      <c r="E276" s="6" t="s">
        <v>60</v>
      </c>
      <c r="F276" s="6">
        <v>20</v>
      </c>
      <c r="G276" s="6">
        <v>231711</v>
      </c>
      <c r="H276" s="6">
        <v>27.1</v>
      </c>
      <c r="I276" s="6">
        <v>22</v>
      </c>
      <c r="J276" s="21"/>
      <c r="K276" s="21"/>
      <c r="L276" s="21"/>
      <c r="M276" s="21"/>
      <c r="N276" s="21"/>
      <c r="O276" s="21"/>
      <c r="P276" s="21"/>
      <c r="Q276" s="21"/>
      <c r="R276" s="21"/>
      <c r="S276" s="94">
        <f t="shared" si="42"/>
        <v>27.1</v>
      </c>
      <c r="T276" s="95">
        <f t="shared" si="43"/>
        <v>2233</v>
      </c>
      <c r="U276" s="11">
        <f t="shared" si="44"/>
        <v>0</v>
      </c>
      <c r="V276" s="11">
        <f t="shared" si="45"/>
        <v>0</v>
      </c>
      <c r="W276" s="12">
        <f t="shared" si="46"/>
        <v>2031.3528823725424</v>
      </c>
      <c r="X276" s="12">
        <f>V276/[1]Manure!$I$2</f>
        <v>0</v>
      </c>
      <c r="Y276" s="12">
        <f>W276/[1]Manure!$I$2</f>
        <v>1448.7024365584568</v>
      </c>
      <c r="Z276" s="12"/>
      <c r="AA276" s="12"/>
    </row>
    <row r="277" spans="1:27" ht="15.75" thickBot="1" x14ac:dyDescent="0.3">
      <c r="A277" s="13">
        <v>45636</v>
      </c>
      <c r="B277" s="87">
        <v>0.41666666666666669</v>
      </c>
      <c r="C277" s="6"/>
      <c r="D277" s="6"/>
      <c r="E277" s="6" t="s">
        <v>60</v>
      </c>
      <c r="F277" s="6">
        <v>20</v>
      </c>
      <c r="G277" s="6">
        <v>232785</v>
      </c>
      <c r="H277" s="6">
        <v>26.6</v>
      </c>
      <c r="I277" s="6">
        <v>21.8</v>
      </c>
      <c r="J277" s="21"/>
      <c r="K277" s="21"/>
      <c r="L277" s="21"/>
      <c r="M277" s="21"/>
      <c r="N277" s="21"/>
      <c r="O277" s="21"/>
      <c r="P277" s="21"/>
      <c r="Q277" s="21"/>
      <c r="R277" s="21"/>
      <c r="S277" s="94">
        <f t="shared" si="42"/>
        <v>26.6</v>
      </c>
      <c r="T277" s="95">
        <f t="shared" si="43"/>
        <v>1074</v>
      </c>
      <c r="U277" s="11">
        <f t="shared" si="44"/>
        <v>0</v>
      </c>
      <c r="V277" s="11">
        <f t="shared" si="45"/>
        <v>0</v>
      </c>
      <c r="W277" s="12">
        <f t="shared" si="46"/>
        <v>978.64485981308405</v>
      </c>
      <c r="X277" s="12">
        <f>V277/[1]Manure!$I$2</f>
        <v>0</v>
      </c>
      <c r="Y277" s="12">
        <f>W277/[1]Manure!$I$2</f>
        <v>697.94135979009661</v>
      </c>
      <c r="Z277" s="12"/>
      <c r="AA277" s="12"/>
    </row>
    <row r="278" spans="1:27" ht="15.75" thickBot="1" x14ac:dyDescent="0.3">
      <c r="A278" s="13">
        <v>45637</v>
      </c>
      <c r="B278" s="87">
        <v>0.41666666666666669</v>
      </c>
      <c r="C278" s="6"/>
      <c r="D278" s="6"/>
      <c r="E278" s="6" t="s">
        <v>60</v>
      </c>
      <c r="F278" s="6">
        <v>20</v>
      </c>
      <c r="G278" s="6">
        <v>233912</v>
      </c>
      <c r="H278" s="6">
        <v>27.2</v>
      </c>
      <c r="I278" s="6">
        <v>21</v>
      </c>
      <c r="J278" s="21"/>
      <c r="K278" s="21"/>
      <c r="L278" s="21"/>
      <c r="M278" s="21"/>
      <c r="N278" s="21"/>
      <c r="O278" s="21"/>
      <c r="P278" s="21"/>
      <c r="Q278" s="21"/>
      <c r="R278" s="21"/>
      <c r="S278" s="94">
        <f t="shared" si="42"/>
        <v>27.2</v>
      </c>
      <c r="T278" s="95">
        <f t="shared" si="43"/>
        <v>1127</v>
      </c>
      <c r="U278" s="11">
        <f t="shared" si="44"/>
        <v>0</v>
      </c>
      <c r="V278" s="11">
        <f t="shared" si="45"/>
        <v>0</v>
      </c>
      <c r="W278" s="12">
        <f t="shared" si="46"/>
        <v>1024.8867421718855</v>
      </c>
      <c r="X278" s="12">
        <f>V278/[1]Manure!$I$2</f>
        <v>0</v>
      </c>
      <c r="Y278" s="12">
        <f>W278/[1]Manure!$I$2</f>
        <v>730.91973997483467</v>
      </c>
      <c r="Z278" s="12"/>
      <c r="AA278" s="12"/>
    </row>
    <row r="279" spans="1:27" ht="15.75" thickBot="1" x14ac:dyDescent="0.3">
      <c r="A279" s="13">
        <v>45638</v>
      </c>
      <c r="B279" s="87">
        <v>0.41666666666666669</v>
      </c>
      <c r="C279" s="6"/>
      <c r="D279" s="6"/>
      <c r="E279" s="6" t="s">
        <v>60</v>
      </c>
      <c r="F279" s="6">
        <v>20</v>
      </c>
      <c r="G279" s="6">
        <v>235117</v>
      </c>
      <c r="H279" s="6">
        <v>26.6</v>
      </c>
      <c r="I279" s="6">
        <v>20.8</v>
      </c>
      <c r="J279" s="21"/>
      <c r="K279" s="21"/>
      <c r="L279" s="21"/>
      <c r="M279" s="21"/>
      <c r="N279" s="21"/>
      <c r="O279" s="21"/>
      <c r="P279" s="21"/>
      <c r="Q279" s="21"/>
      <c r="R279" s="21"/>
      <c r="S279" s="94">
        <f t="shared" si="42"/>
        <v>26.6</v>
      </c>
      <c r="T279" s="95">
        <f t="shared" si="43"/>
        <v>1205</v>
      </c>
      <c r="U279" s="11">
        <f t="shared" si="44"/>
        <v>0</v>
      </c>
      <c r="V279" s="11">
        <f t="shared" si="45"/>
        <v>0</v>
      </c>
      <c r="W279" s="12">
        <f t="shared" si="46"/>
        <v>1098.0140186915887</v>
      </c>
      <c r="X279" s="12">
        <f>V279/[1]Manure!$I$2</f>
        <v>0</v>
      </c>
      <c r="Y279" s="12">
        <f>W279/[1]Manure!$I$2</f>
        <v>783.07200982035977</v>
      </c>
      <c r="Z279" s="12"/>
      <c r="AA279" s="12"/>
    </row>
    <row r="280" spans="1:27" ht="15.75" thickBot="1" x14ac:dyDescent="0.3">
      <c r="A280" s="13">
        <v>45639</v>
      </c>
      <c r="B280" s="87">
        <v>0.41666666666666669</v>
      </c>
      <c r="C280" s="6"/>
      <c r="D280" s="6"/>
      <c r="E280" s="6" t="s">
        <v>60</v>
      </c>
      <c r="F280" s="6">
        <v>20</v>
      </c>
      <c r="G280" s="6">
        <v>236062</v>
      </c>
      <c r="H280" s="6">
        <v>24.4</v>
      </c>
      <c r="I280" s="6">
        <v>21.3</v>
      </c>
      <c r="J280" s="21"/>
      <c r="K280" s="21"/>
      <c r="L280" s="21"/>
      <c r="M280" s="21"/>
      <c r="N280" s="21"/>
      <c r="O280" s="21"/>
      <c r="P280" s="21"/>
      <c r="Q280" s="21"/>
      <c r="R280" s="21"/>
      <c r="S280" s="94">
        <f t="shared" si="42"/>
        <v>24.4</v>
      </c>
      <c r="T280" s="95">
        <f t="shared" si="43"/>
        <v>945</v>
      </c>
      <c r="U280" s="11">
        <f t="shared" si="44"/>
        <v>0</v>
      </c>
      <c r="V280" s="11">
        <f t="shared" si="45"/>
        <v>0</v>
      </c>
      <c r="W280" s="12">
        <f t="shared" si="46"/>
        <v>867.46805648957638</v>
      </c>
      <c r="X280" s="12">
        <f>V280/[1]Manure!$I$2</f>
        <v>0</v>
      </c>
      <c r="Y280" s="12">
        <f>W280/[1]Manure!$I$2</f>
        <v>618.65326205917381</v>
      </c>
      <c r="Z280" s="12"/>
      <c r="AA280" s="12"/>
    </row>
    <row r="281" spans="1:27" ht="15.75" thickBot="1" x14ac:dyDescent="0.3">
      <c r="A281" s="13">
        <v>45640</v>
      </c>
      <c r="B281" s="87">
        <v>0.41666666666666669</v>
      </c>
      <c r="C281" s="6"/>
      <c r="D281" s="6"/>
      <c r="E281" s="6" t="s">
        <v>60</v>
      </c>
      <c r="F281" s="6">
        <v>20</v>
      </c>
      <c r="G281" s="6">
        <v>236788</v>
      </c>
      <c r="H281" s="6">
        <v>23.9</v>
      </c>
      <c r="I281" s="6">
        <v>20.7</v>
      </c>
      <c r="J281" s="21"/>
      <c r="K281" s="21"/>
      <c r="L281" s="21"/>
      <c r="M281" s="21"/>
      <c r="N281" s="21"/>
      <c r="O281" s="21"/>
      <c r="P281" s="21"/>
      <c r="Q281" s="21"/>
      <c r="R281" s="21"/>
      <c r="S281" s="94">
        <f t="shared" si="42"/>
        <v>23.9</v>
      </c>
      <c r="T281" s="95">
        <f t="shared" si="43"/>
        <v>726</v>
      </c>
      <c r="U281" s="11">
        <f t="shared" si="44"/>
        <v>0</v>
      </c>
      <c r="V281" s="11">
        <f t="shared" si="45"/>
        <v>0</v>
      </c>
      <c r="W281" s="12">
        <f t="shared" si="46"/>
        <v>667.55810037049514</v>
      </c>
      <c r="X281" s="12">
        <f>V281/[1]Manure!$I$2</f>
        <v>0</v>
      </c>
      <c r="Y281" s="12">
        <f>W281/[1]Manure!$I$2</f>
        <v>476.08323248176532</v>
      </c>
      <c r="Z281" s="12"/>
      <c r="AA281" s="12"/>
    </row>
    <row r="282" spans="1:27" ht="15.75" thickBot="1" x14ac:dyDescent="0.3">
      <c r="A282" s="13">
        <v>45642</v>
      </c>
      <c r="B282" s="87">
        <v>0.41666666666666669</v>
      </c>
      <c r="C282" s="6"/>
      <c r="D282" s="6"/>
      <c r="E282" s="6" t="s">
        <v>60</v>
      </c>
      <c r="F282" s="6">
        <v>20</v>
      </c>
      <c r="G282" s="6">
        <v>238642</v>
      </c>
      <c r="H282" s="6">
        <v>28</v>
      </c>
      <c r="I282" s="6">
        <v>21.3</v>
      </c>
      <c r="J282" s="21"/>
      <c r="K282" s="21"/>
      <c r="L282" s="21"/>
      <c r="M282" s="21"/>
      <c r="N282" s="21"/>
      <c r="O282" s="21"/>
      <c r="P282" s="21"/>
      <c r="Q282" s="21"/>
      <c r="R282" s="21"/>
      <c r="S282" s="94">
        <f t="shared" si="42"/>
        <v>28</v>
      </c>
      <c r="T282" s="95">
        <f t="shared" si="43"/>
        <v>1854</v>
      </c>
      <c r="U282" s="11">
        <f t="shared" si="44"/>
        <v>0</v>
      </c>
      <c r="V282" s="11">
        <f t="shared" si="45"/>
        <v>0</v>
      </c>
      <c r="W282" s="12">
        <f t="shared" si="46"/>
        <v>1681.5348837209301</v>
      </c>
      <c r="X282" s="12">
        <f>V282/[1]Manure!$I$2</f>
        <v>0</v>
      </c>
      <c r="Y282" s="12">
        <f>W282/[1]Manure!$I$2</f>
        <v>1199.2223036892276</v>
      </c>
      <c r="Z282" s="12"/>
      <c r="AA282" s="12"/>
    </row>
    <row r="283" spans="1:27" ht="15.75" thickBot="1" x14ac:dyDescent="0.3">
      <c r="A283" s="13">
        <v>45643</v>
      </c>
      <c r="B283" s="87">
        <v>0.41666666666666669</v>
      </c>
      <c r="C283" s="6"/>
      <c r="D283" s="6"/>
      <c r="E283" s="6" t="s">
        <v>60</v>
      </c>
      <c r="F283" s="6">
        <v>20</v>
      </c>
      <c r="G283" s="6">
        <v>239402</v>
      </c>
      <c r="H283" s="6">
        <v>21.1</v>
      </c>
      <c r="I283" s="6">
        <v>20.3</v>
      </c>
      <c r="J283" s="21"/>
      <c r="K283" s="21"/>
      <c r="L283" s="21"/>
      <c r="M283" s="21"/>
      <c r="N283" s="21"/>
      <c r="O283" s="21"/>
      <c r="P283" s="21"/>
      <c r="Q283" s="21"/>
      <c r="R283" s="21"/>
      <c r="S283" s="94">
        <f t="shared" si="42"/>
        <v>21.1</v>
      </c>
      <c r="T283" s="95">
        <f t="shared" si="43"/>
        <v>760</v>
      </c>
      <c r="U283" s="11">
        <f t="shared" si="44"/>
        <v>0</v>
      </c>
      <c r="V283" s="11">
        <f t="shared" si="45"/>
        <v>0</v>
      </c>
      <c r="W283" s="12">
        <f t="shared" si="46"/>
        <v>705.47432845970752</v>
      </c>
      <c r="X283" s="12">
        <f>V283/[1]Manure!$I$2</f>
        <v>0</v>
      </c>
      <c r="Y283" s="12">
        <f>W283/[1]Manure!$I$2</f>
        <v>503.12399555873151</v>
      </c>
      <c r="Z283" s="12"/>
      <c r="AA283" s="12"/>
    </row>
    <row r="284" spans="1:27" ht="15.75" thickBot="1" x14ac:dyDescent="0.3">
      <c r="A284" s="13">
        <v>45644</v>
      </c>
      <c r="B284" s="87">
        <v>0.41666666666666669</v>
      </c>
      <c r="C284" s="6"/>
      <c r="D284" s="6"/>
      <c r="E284" s="6" t="s">
        <v>60</v>
      </c>
      <c r="F284" s="6">
        <v>20</v>
      </c>
      <c r="G284" s="6">
        <v>240063</v>
      </c>
      <c r="H284" s="6">
        <v>27.7</v>
      </c>
      <c r="I284" s="6">
        <v>21.1</v>
      </c>
      <c r="J284" s="21"/>
      <c r="K284" s="21"/>
      <c r="L284" s="21"/>
      <c r="M284" s="21"/>
      <c r="N284" s="21"/>
      <c r="O284" s="21"/>
      <c r="P284" s="21"/>
      <c r="Q284" s="21"/>
      <c r="R284" s="21"/>
      <c r="S284" s="94">
        <f t="shared" si="42"/>
        <v>27.7</v>
      </c>
      <c r="T284" s="95">
        <f t="shared" si="43"/>
        <v>661</v>
      </c>
      <c r="U284" s="11">
        <f t="shared" si="44"/>
        <v>0</v>
      </c>
      <c r="V284" s="11">
        <f t="shared" si="45"/>
        <v>0</v>
      </c>
      <c r="W284" s="12">
        <f t="shared" si="46"/>
        <v>600.10974393082813</v>
      </c>
      <c r="X284" s="12">
        <f>V284/[1]Manure!$I$2</f>
        <v>0</v>
      </c>
      <c r="Y284" s="12">
        <f>W284/[1]Manure!$I$2</f>
        <v>427.98100506282259</v>
      </c>
      <c r="Z284" s="12"/>
      <c r="AA284" s="12"/>
    </row>
    <row r="285" spans="1:27" ht="15.75" thickBot="1" x14ac:dyDescent="0.3">
      <c r="A285" s="13">
        <v>45645</v>
      </c>
      <c r="B285" s="87">
        <v>0.41666666666666669</v>
      </c>
      <c r="C285" s="6"/>
      <c r="D285" s="6"/>
      <c r="E285" s="6" t="s">
        <v>60</v>
      </c>
      <c r="F285" s="6">
        <v>20</v>
      </c>
      <c r="G285" s="6">
        <v>241295</v>
      </c>
      <c r="H285" s="6">
        <v>27</v>
      </c>
      <c r="I285" s="6">
        <v>19.8</v>
      </c>
      <c r="J285" s="21"/>
      <c r="K285" s="21"/>
      <c r="L285" s="21"/>
      <c r="M285" s="21"/>
      <c r="N285" s="21"/>
      <c r="O285" s="21"/>
      <c r="P285" s="21"/>
      <c r="Q285" s="21"/>
      <c r="R285" s="21"/>
      <c r="S285" s="94">
        <f t="shared" si="42"/>
        <v>27</v>
      </c>
      <c r="T285" s="95">
        <f t="shared" si="43"/>
        <v>1232</v>
      </c>
      <c r="U285" s="11">
        <f t="shared" si="44"/>
        <v>0</v>
      </c>
      <c r="V285" s="11">
        <f t="shared" si="45"/>
        <v>0</v>
      </c>
      <c r="W285" s="12">
        <f t="shared" si="46"/>
        <v>1121.1200000000001</v>
      </c>
      <c r="X285" s="12">
        <f>V285/[1]Manure!$I$2</f>
        <v>0</v>
      </c>
      <c r="Y285" s="12">
        <f>W285/[1]Manure!$I$2</f>
        <v>799.55053096311349</v>
      </c>
      <c r="Z285" s="12"/>
      <c r="AA285" s="12"/>
    </row>
    <row r="286" spans="1:27" ht="15.75" thickBot="1" x14ac:dyDescent="0.3">
      <c r="A286" s="13">
        <v>45646</v>
      </c>
      <c r="B286" s="87">
        <v>0.41666666666666669</v>
      </c>
      <c r="C286" s="6"/>
      <c r="D286" s="6"/>
      <c r="E286" s="6" t="s">
        <v>60</v>
      </c>
      <c r="F286" s="6">
        <v>20</v>
      </c>
      <c r="G286" s="6">
        <v>242000</v>
      </c>
      <c r="H286" s="6">
        <v>23.9</v>
      </c>
      <c r="I286" s="6">
        <v>20.399999999999999</v>
      </c>
      <c r="J286" s="21"/>
      <c r="K286" s="21"/>
      <c r="L286" s="21"/>
      <c r="M286" s="21"/>
      <c r="N286" s="21"/>
      <c r="O286" s="21"/>
      <c r="P286" s="21"/>
      <c r="Q286" s="21"/>
      <c r="R286" s="21"/>
      <c r="S286" s="94">
        <f t="shared" si="42"/>
        <v>23.9</v>
      </c>
      <c r="T286" s="95">
        <f t="shared" si="43"/>
        <v>705</v>
      </c>
      <c r="U286" s="11">
        <f t="shared" si="44"/>
        <v>0</v>
      </c>
      <c r="V286" s="11">
        <f t="shared" si="45"/>
        <v>0</v>
      </c>
      <c r="W286" s="12">
        <f t="shared" si="46"/>
        <v>648.24856854159646</v>
      </c>
      <c r="X286" s="12">
        <f>V286/[1]Manure!$I$2</f>
        <v>0</v>
      </c>
      <c r="Y286" s="12">
        <f>W286/[1]Manure!$I$2</f>
        <v>462.31222988931756</v>
      </c>
      <c r="Z286" s="12"/>
      <c r="AA286" s="12"/>
    </row>
    <row r="287" spans="1:27" ht="15.75" thickBot="1" x14ac:dyDescent="0.3">
      <c r="A287" s="13">
        <v>45647</v>
      </c>
      <c r="B287" s="87">
        <v>0.41666666666666669</v>
      </c>
      <c r="C287" s="6"/>
      <c r="D287" s="6"/>
      <c r="E287" s="6" t="s">
        <v>60</v>
      </c>
      <c r="F287" s="6">
        <v>20</v>
      </c>
      <c r="G287" s="6">
        <v>242515</v>
      </c>
      <c r="H287" s="6">
        <v>21.9</v>
      </c>
      <c r="I287" s="6">
        <v>20.6</v>
      </c>
      <c r="J287" s="21"/>
      <c r="K287" s="21"/>
      <c r="L287" s="21"/>
      <c r="M287" s="21"/>
      <c r="N287" s="21"/>
      <c r="O287" s="21"/>
      <c r="P287" s="21"/>
      <c r="Q287" s="21"/>
      <c r="R287" s="21"/>
      <c r="S287" s="94">
        <f t="shared" si="42"/>
        <v>21.9</v>
      </c>
      <c r="T287" s="95">
        <f t="shared" si="43"/>
        <v>515</v>
      </c>
      <c r="U287" s="11">
        <f t="shared" si="44"/>
        <v>0</v>
      </c>
      <c r="V287" s="11">
        <f t="shared" si="45"/>
        <v>0</v>
      </c>
      <c r="W287" s="12">
        <f t="shared" si="46"/>
        <v>476.7548321464904</v>
      </c>
      <c r="X287" s="12">
        <f>V287/[1]Manure!$I$2</f>
        <v>0</v>
      </c>
      <c r="Y287" s="12">
        <f>W287/[1]Manure!$I$2</f>
        <v>340.00783072459365</v>
      </c>
      <c r="Z287" s="12"/>
      <c r="AA287" s="12"/>
    </row>
    <row r="288" spans="1:27" ht="15.75" thickBot="1" x14ac:dyDescent="0.3">
      <c r="A288" s="13">
        <v>45649</v>
      </c>
      <c r="B288" s="87">
        <v>0.41666666666666669</v>
      </c>
      <c r="C288" s="6"/>
      <c r="D288" s="6"/>
      <c r="E288" s="6" t="s">
        <v>60</v>
      </c>
      <c r="F288" s="6">
        <v>20</v>
      </c>
      <c r="G288" s="6">
        <v>243599</v>
      </c>
      <c r="H288" s="6">
        <v>24.3</v>
      </c>
      <c r="I288" s="6">
        <v>19.7</v>
      </c>
      <c r="J288" s="21"/>
      <c r="K288" s="21"/>
      <c r="L288" s="21"/>
      <c r="M288" s="21"/>
      <c r="N288" s="21"/>
      <c r="O288" s="21"/>
      <c r="P288" s="21"/>
      <c r="Q288" s="21"/>
      <c r="R288" s="21"/>
      <c r="S288" s="94">
        <f t="shared" si="42"/>
        <v>24.3</v>
      </c>
      <c r="T288" s="95">
        <f t="shared" si="43"/>
        <v>1084</v>
      </c>
      <c r="U288" s="11">
        <f t="shared" ref="U288:U289" si="47">T288*(P288/100)</f>
        <v>0</v>
      </c>
      <c r="V288" s="11">
        <f t="shared" ref="V288:V289" si="48">U288*(273/(273+S288))</f>
        <v>0</v>
      </c>
      <c r="W288" s="12">
        <f t="shared" ref="W288:W289" si="49">T288*(273/(273+S288))</f>
        <v>995.3985872855701</v>
      </c>
      <c r="X288" s="12">
        <f>V288/[1]Manure!$I$2</f>
        <v>0</v>
      </c>
      <c r="Y288" s="12">
        <f>W288/[1]Manure!$I$2</f>
        <v>709.88963624242774</v>
      </c>
      <c r="Z288" s="12"/>
      <c r="AA288" s="12"/>
    </row>
    <row r="289" spans="1:27" ht="15.75" thickBot="1" x14ac:dyDescent="0.3">
      <c r="A289" s="13">
        <v>45650</v>
      </c>
      <c r="B289" s="87">
        <v>0.41666666666666669</v>
      </c>
      <c r="C289" s="6"/>
      <c r="D289" s="6"/>
      <c r="E289" s="6" t="s">
        <v>60</v>
      </c>
      <c r="F289" s="6">
        <v>20</v>
      </c>
      <c r="G289" s="6">
        <v>244434</v>
      </c>
      <c r="H289" s="6">
        <v>22.5</v>
      </c>
      <c r="I289" s="6">
        <v>20.100000000000001</v>
      </c>
      <c r="J289" s="21"/>
      <c r="K289" s="21"/>
      <c r="L289" s="21"/>
      <c r="M289" s="21"/>
      <c r="N289" s="21"/>
      <c r="O289" s="21"/>
      <c r="P289" s="21"/>
      <c r="Q289" s="21"/>
      <c r="R289" s="21"/>
      <c r="S289" s="94">
        <f t="shared" si="42"/>
        <v>22.5</v>
      </c>
      <c r="T289" s="95">
        <f t="shared" si="43"/>
        <v>835</v>
      </c>
      <c r="U289" s="11">
        <f t="shared" si="47"/>
        <v>0</v>
      </c>
      <c r="V289" s="11">
        <f t="shared" si="48"/>
        <v>0</v>
      </c>
      <c r="W289" s="12">
        <f t="shared" si="49"/>
        <v>771.42131979695432</v>
      </c>
      <c r="X289" s="12">
        <f>V289/[1]Manure!$I$2</f>
        <v>0</v>
      </c>
      <c r="Y289" s="12">
        <f>W289/[1]Manure!$I$2</f>
        <v>550.15549257877888</v>
      </c>
      <c r="Z289" s="12"/>
      <c r="AA289" s="12"/>
    </row>
    <row r="290" spans="1:27" ht="15.75" thickBot="1" x14ac:dyDescent="0.3">
      <c r="A290" s="13">
        <v>45651</v>
      </c>
      <c r="B290" s="87">
        <v>0.41666666666666669</v>
      </c>
      <c r="C290" s="6"/>
      <c r="D290" s="6"/>
      <c r="E290" s="6" t="s">
        <v>60</v>
      </c>
      <c r="F290" s="6">
        <v>20</v>
      </c>
      <c r="G290" s="6">
        <v>245078</v>
      </c>
      <c r="H290" s="6">
        <v>26.1</v>
      </c>
      <c r="I290" s="6">
        <v>19.899999999999999</v>
      </c>
      <c r="J290" s="21"/>
      <c r="K290" s="21"/>
      <c r="L290" s="21"/>
      <c r="M290" s="21"/>
      <c r="N290" s="21"/>
      <c r="O290" s="21"/>
      <c r="P290" s="21" t="s">
        <v>85</v>
      </c>
      <c r="Q290" s="21"/>
      <c r="R290" s="21"/>
      <c r="S290" s="94">
        <f t="shared" si="42"/>
        <v>26.1</v>
      </c>
      <c r="T290" s="95">
        <f t="shared" si="43"/>
        <v>644</v>
      </c>
      <c r="U290" s="11">
        <v>0</v>
      </c>
      <c r="V290" s="11">
        <f t="shared" ref="V290" si="50">U290*(273/(273+S290))</f>
        <v>0</v>
      </c>
      <c r="W290" s="12">
        <f t="shared" si="46"/>
        <v>587.80341023069195</v>
      </c>
      <c r="X290" s="12">
        <f>V290/[1]Manure!$I$2</f>
        <v>0</v>
      </c>
      <c r="Y290" s="12">
        <f>W290/[1]Manure!$I$2</f>
        <v>419.20448190370212</v>
      </c>
      <c r="Z290" s="12"/>
      <c r="AA290" s="12"/>
    </row>
    <row r="291" spans="1:27" ht="15.75" thickBot="1" x14ac:dyDescent="0.3">
      <c r="A291" s="13">
        <v>45652</v>
      </c>
      <c r="B291" s="87">
        <v>0.41666666666666669</v>
      </c>
      <c r="C291" s="6"/>
      <c r="D291" s="6"/>
      <c r="E291" s="6" t="s">
        <v>60</v>
      </c>
      <c r="F291" s="6">
        <v>20</v>
      </c>
      <c r="G291" s="6">
        <v>245659</v>
      </c>
      <c r="H291" s="6">
        <v>25</v>
      </c>
      <c r="I291" s="6">
        <v>20.8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94">
        <f t="shared" si="42"/>
        <v>25</v>
      </c>
      <c r="T291" s="95">
        <f t="shared" si="43"/>
        <v>581</v>
      </c>
      <c r="U291" s="11">
        <f t="shared" si="44"/>
        <v>0</v>
      </c>
      <c r="V291" s="11">
        <f t="shared" si="45"/>
        <v>0</v>
      </c>
      <c r="W291" s="12">
        <f t="shared" si="46"/>
        <v>532.25838926174492</v>
      </c>
      <c r="X291" s="12">
        <f>V291/[1]Manure!$I$2</f>
        <v>0</v>
      </c>
      <c r="Y291" s="12">
        <f>W291/[1]Manure!$I$2</f>
        <v>379.59137090034938</v>
      </c>
      <c r="Z291" s="12"/>
      <c r="AA291" s="12"/>
    </row>
    <row r="292" spans="1:27" ht="15.75" thickBot="1" x14ac:dyDescent="0.3">
      <c r="A292" s="13">
        <v>45653</v>
      </c>
      <c r="B292" s="87">
        <v>0.41666666666666669</v>
      </c>
      <c r="C292" s="6"/>
      <c r="D292" s="6"/>
      <c r="E292" s="6" t="s">
        <v>60</v>
      </c>
      <c r="F292" s="6">
        <v>20</v>
      </c>
      <c r="G292" s="6">
        <v>246244</v>
      </c>
      <c r="H292" s="6">
        <v>24.1</v>
      </c>
      <c r="I292" s="6">
        <v>20.100000000000001</v>
      </c>
      <c r="J292" s="21"/>
      <c r="K292" s="21"/>
      <c r="L292" s="21"/>
      <c r="M292" s="21"/>
      <c r="N292" s="21"/>
      <c r="O292" s="21"/>
      <c r="P292" s="21"/>
      <c r="Q292" s="21"/>
      <c r="R292" s="21"/>
      <c r="S292" s="94">
        <f t="shared" si="42"/>
        <v>24.1</v>
      </c>
      <c r="T292" s="95">
        <f t="shared" si="43"/>
        <v>585</v>
      </c>
      <c r="U292" s="11">
        <f t="shared" si="44"/>
        <v>0</v>
      </c>
      <c r="V292" s="11">
        <f t="shared" si="45"/>
        <v>0</v>
      </c>
      <c r="W292" s="12">
        <f t="shared" si="46"/>
        <v>537.54628071356444</v>
      </c>
      <c r="X292" s="12">
        <f>V292/[1]Manure!$I$2</f>
        <v>0</v>
      </c>
      <c r="Y292" s="12">
        <f>W292/[1]Manure!$I$2</f>
        <v>383.36254295862824</v>
      </c>
      <c r="Z292" s="12"/>
      <c r="AA292" s="12"/>
    </row>
    <row r="293" spans="1:27" ht="15.75" thickBot="1" x14ac:dyDescent="0.3">
      <c r="A293" s="13">
        <v>45654</v>
      </c>
      <c r="B293" s="87">
        <v>0.41666666666666669</v>
      </c>
      <c r="C293" s="6"/>
      <c r="D293" s="6"/>
      <c r="E293" s="6" t="s">
        <v>60</v>
      </c>
      <c r="F293" s="6">
        <v>20</v>
      </c>
      <c r="G293" s="74">
        <v>246962</v>
      </c>
      <c r="H293" s="6">
        <v>22.5</v>
      </c>
      <c r="I293" s="6">
        <v>20.8</v>
      </c>
      <c r="J293" s="21"/>
      <c r="K293" s="21"/>
      <c r="L293" s="21"/>
      <c r="M293" s="21"/>
      <c r="N293" s="21"/>
      <c r="O293" s="21"/>
      <c r="P293" s="21"/>
      <c r="Q293" s="21"/>
      <c r="R293" s="21"/>
      <c r="S293" s="94">
        <f t="shared" si="42"/>
        <v>22.5</v>
      </c>
      <c r="T293" s="95">
        <f t="shared" si="43"/>
        <v>718</v>
      </c>
      <c r="U293" s="11">
        <f t="shared" si="44"/>
        <v>0</v>
      </c>
      <c r="V293" s="11">
        <f t="shared" si="45"/>
        <v>0</v>
      </c>
      <c r="W293" s="12">
        <f t="shared" si="46"/>
        <v>663.32994923857871</v>
      </c>
      <c r="X293" s="12">
        <f>V293/[1]Manure!$I$2</f>
        <v>0</v>
      </c>
      <c r="Y293" s="12">
        <f>W293/[1]Manure!$I$2</f>
        <v>473.06783673241108</v>
      </c>
      <c r="Z293" s="12"/>
      <c r="AA293" s="12"/>
    </row>
    <row r="294" spans="1:27" ht="15.75" thickBot="1" x14ac:dyDescent="0.3">
      <c r="A294" s="13">
        <v>45656</v>
      </c>
      <c r="B294" s="87">
        <v>0.41666666666666669</v>
      </c>
      <c r="C294" s="6"/>
      <c r="D294" s="6"/>
      <c r="E294" s="6" t="s">
        <v>60</v>
      </c>
      <c r="F294" s="6">
        <v>20</v>
      </c>
      <c r="G294" s="6">
        <v>248436</v>
      </c>
      <c r="H294" s="6">
        <v>26.4</v>
      </c>
      <c r="I294" s="6">
        <v>19.899999999999999</v>
      </c>
      <c r="J294" s="21"/>
      <c r="K294" s="21"/>
      <c r="L294" s="21"/>
      <c r="M294" s="21"/>
      <c r="N294" s="21"/>
      <c r="O294" s="21"/>
      <c r="P294" s="21"/>
      <c r="Q294" s="21"/>
      <c r="R294" s="21"/>
      <c r="S294" s="94">
        <f t="shared" si="42"/>
        <v>26.4</v>
      </c>
      <c r="T294" s="95">
        <f t="shared" si="43"/>
        <v>1474</v>
      </c>
      <c r="U294" s="11">
        <f t="shared" ref="U294" si="51">T294*(P294/100)</f>
        <v>0</v>
      </c>
      <c r="V294" s="11">
        <f t="shared" ref="V294" si="52">U294*(273/(273+S294))</f>
        <v>0</v>
      </c>
      <c r="W294" s="12">
        <f t="shared" ref="W294" si="53">T294*(273/(273+S294))</f>
        <v>1344.0280561122245</v>
      </c>
      <c r="X294" s="12">
        <f>V294/[1]Manure!$I$2</f>
        <v>0</v>
      </c>
      <c r="Y294" s="12">
        <f>W294/[1]Manure!$I$2</f>
        <v>958.52214383281921</v>
      </c>
      <c r="Z294" s="12"/>
      <c r="AA294" s="12"/>
    </row>
    <row r="295" spans="1:27" ht="15.75" thickBot="1" x14ac:dyDescent="0.3">
      <c r="A295" s="13">
        <v>45657</v>
      </c>
      <c r="B295" s="87">
        <v>0.41666666666666669</v>
      </c>
      <c r="C295" s="6"/>
      <c r="D295" s="6"/>
      <c r="E295" s="6" t="s">
        <v>60</v>
      </c>
      <c r="F295" s="6">
        <v>20</v>
      </c>
      <c r="G295" s="6">
        <v>248972</v>
      </c>
      <c r="H295" s="6">
        <v>25.9</v>
      </c>
      <c r="I295" s="6">
        <v>20.2</v>
      </c>
      <c r="J295" s="21"/>
      <c r="K295" s="21"/>
      <c r="L295" s="21"/>
      <c r="M295" s="21"/>
      <c r="N295" s="21"/>
      <c r="O295" s="21"/>
      <c r="P295" s="21"/>
      <c r="Q295" s="21"/>
      <c r="R295" s="21"/>
      <c r="S295" s="94">
        <f t="shared" si="42"/>
        <v>25.9</v>
      </c>
      <c r="T295" s="95">
        <f t="shared" si="43"/>
        <v>536</v>
      </c>
      <c r="U295" s="11">
        <f t="shared" si="44"/>
        <v>0</v>
      </c>
      <c r="V295" s="11">
        <f t="shared" si="45"/>
        <v>0</v>
      </c>
      <c r="W295" s="12">
        <f t="shared" si="46"/>
        <v>489.55503512880563</v>
      </c>
      <c r="X295" s="12">
        <f>V295/[1]Manure!$I$2</f>
        <v>0</v>
      </c>
      <c r="Y295" s="12">
        <f>W295/[1]Manure!$I$2</f>
        <v>349.1365672478434</v>
      </c>
      <c r="Z295" s="12"/>
      <c r="AA295" s="12"/>
    </row>
    <row r="296" spans="1:27" ht="15.75" thickBot="1" x14ac:dyDescent="0.3">
      <c r="A296" s="13">
        <v>45658</v>
      </c>
      <c r="B296" s="87">
        <v>0.41666666666666669</v>
      </c>
      <c r="C296" s="6"/>
      <c r="D296" s="6"/>
      <c r="E296" s="6" t="s">
        <v>60</v>
      </c>
      <c r="F296" s="6">
        <v>20</v>
      </c>
      <c r="G296" s="6">
        <v>249672</v>
      </c>
      <c r="H296" s="6">
        <v>23.8</v>
      </c>
      <c r="I296" s="6">
        <v>20.7</v>
      </c>
      <c r="J296" s="21"/>
      <c r="K296" s="21"/>
      <c r="L296" s="21"/>
      <c r="M296" s="21"/>
      <c r="N296" s="21"/>
      <c r="O296" s="21"/>
      <c r="P296" s="21"/>
      <c r="Q296" s="21"/>
      <c r="R296" s="21"/>
      <c r="S296" s="94">
        <f t="shared" si="42"/>
        <v>23.8</v>
      </c>
      <c r="T296" s="95">
        <f t="shared" si="43"/>
        <v>700</v>
      </c>
      <c r="U296" s="11">
        <f t="shared" si="44"/>
        <v>0</v>
      </c>
      <c r="V296" s="11">
        <f t="shared" si="45"/>
        <v>0</v>
      </c>
      <c r="W296" s="12">
        <f t="shared" si="46"/>
        <v>643.86792452830184</v>
      </c>
      <c r="X296" s="12">
        <f>V296/[1]Manure!$I$2</f>
        <v>0</v>
      </c>
      <c r="Y296" s="12">
        <f>W296/[1]Manure!$I$2</f>
        <v>459.1880806039689</v>
      </c>
      <c r="Z296" s="12"/>
      <c r="AA296" s="12"/>
    </row>
    <row r="297" spans="1:27" ht="15.75" thickBot="1" x14ac:dyDescent="0.3">
      <c r="A297" s="13">
        <v>45659</v>
      </c>
      <c r="B297" s="87">
        <v>0.41666666666666669</v>
      </c>
      <c r="C297" s="6"/>
      <c r="D297" s="6"/>
      <c r="E297" s="6" t="s">
        <v>60</v>
      </c>
      <c r="F297" s="6">
        <v>20</v>
      </c>
      <c r="G297" s="6">
        <v>250243</v>
      </c>
      <c r="H297" s="6">
        <v>30.8</v>
      </c>
      <c r="I297" s="6">
        <v>22.1</v>
      </c>
      <c r="J297" s="21"/>
      <c r="K297" s="21"/>
      <c r="L297" s="21"/>
      <c r="M297" s="21"/>
      <c r="N297" s="21"/>
      <c r="O297" s="21"/>
      <c r="P297" s="21"/>
      <c r="Q297" s="21"/>
      <c r="R297" s="21"/>
      <c r="S297" s="94">
        <f t="shared" si="42"/>
        <v>30.8</v>
      </c>
      <c r="T297" s="95">
        <f t="shared" si="43"/>
        <v>571</v>
      </c>
      <c r="U297" s="11">
        <f t="shared" si="44"/>
        <v>0</v>
      </c>
      <c r="V297" s="11">
        <f t="shared" si="45"/>
        <v>0</v>
      </c>
      <c r="W297" s="12">
        <f t="shared" si="46"/>
        <v>513.11059907834101</v>
      </c>
      <c r="X297" s="12">
        <f>V297/[1]Manure!$I$2</f>
        <v>0</v>
      </c>
      <c r="Y297" s="12">
        <f>W297/[1]Manure!$I$2</f>
        <v>365.93571779639001</v>
      </c>
      <c r="Z297" s="12"/>
      <c r="AA297" s="12"/>
    </row>
    <row r="298" spans="1:27" ht="15.75" thickBot="1" x14ac:dyDescent="0.3">
      <c r="A298" s="13">
        <v>45660</v>
      </c>
      <c r="B298" s="87">
        <v>0.41666666666666669</v>
      </c>
      <c r="C298" s="6"/>
      <c r="D298" s="6"/>
      <c r="E298" s="6" t="s">
        <v>60</v>
      </c>
      <c r="F298" s="6">
        <v>20</v>
      </c>
      <c r="G298" s="6">
        <v>251174</v>
      </c>
      <c r="H298" s="6">
        <v>28.5</v>
      </c>
      <c r="I298" s="6">
        <v>20.6</v>
      </c>
      <c r="J298" s="21"/>
      <c r="K298" s="21"/>
      <c r="L298" s="21"/>
      <c r="M298" s="21"/>
      <c r="N298" s="21"/>
      <c r="O298" s="21"/>
      <c r="P298" s="21"/>
      <c r="Q298" s="21"/>
      <c r="R298" s="21"/>
      <c r="S298" s="94">
        <f t="shared" si="42"/>
        <v>28.5</v>
      </c>
      <c r="T298" s="95">
        <f t="shared" si="43"/>
        <v>931</v>
      </c>
      <c r="U298" s="11">
        <f t="shared" si="44"/>
        <v>0</v>
      </c>
      <c r="V298" s="11">
        <f t="shared" si="45"/>
        <v>0</v>
      </c>
      <c r="W298" s="12">
        <f t="shared" si="46"/>
        <v>842.99502487562188</v>
      </c>
      <c r="X298" s="12">
        <f>V298/[1]Manure!$I$2</f>
        <v>0</v>
      </c>
      <c r="Y298" s="12">
        <f>W298/[1]Manure!$I$2</f>
        <v>601.19979996661061</v>
      </c>
      <c r="Z298" s="12"/>
      <c r="AA298" s="12"/>
    </row>
    <row r="299" spans="1:27" ht="15.75" thickBot="1" x14ac:dyDescent="0.3">
      <c r="A299" s="13">
        <v>45661</v>
      </c>
      <c r="B299" s="87">
        <v>0.41666666666666669</v>
      </c>
      <c r="C299" s="6"/>
      <c r="D299" s="6"/>
      <c r="E299" s="6" t="s">
        <v>60</v>
      </c>
      <c r="F299" s="6">
        <v>20</v>
      </c>
      <c r="G299" s="6">
        <v>251878</v>
      </c>
      <c r="H299" s="6">
        <v>29.1</v>
      </c>
      <c r="I299" s="6">
        <v>21.3</v>
      </c>
      <c r="J299" s="21"/>
      <c r="K299" s="21"/>
      <c r="L299" s="21"/>
      <c r="M299" s="21"/>
      <c r="N299" s="21"/>
      <c r="O299" s="21"/>
      <c r="P299" s="21"/>
      <c r="Q299" s="21"/>
      <c r="R299" s="21"/>
      <c r="S299" s="94">
        <f t="shared" si="42"/>
        <v>29.1</v>
      </c>
      <c r="T299" s="95">
        <f t="shared" si="43"/>
        <v>704</v>
      </c>
      <c r="U299" s="11">
        <f t="shared" si="44"/>
        <v>0</v>
      </c>
      <c r="V299" s="11">
        <f t="shared" si="45"/>
        <v>0</v>
      </c>
      <c r="W299" s="12">
        <f t="shared" si="46"/>
        <v>636.18669314796421</v>
      </c>
      <c r="X299" s="12">
        <f>V299/[1]Manure!$I$2</f>
        <v>0</v>
      </c>
      <c r="Y299" s="12">
        <f>W299/[1]Manure!$I$2</f>
        <v>453.71004736167595</v>
      </c>
      <c r="Z299" s="12"/>
      <c r="AA299" s="12"/>
    </row>
    <row r="300" spans="1:27" ht="15.75" thickBot="1" x14ac:dyDescent="0.3">
      <c r="A300" s="13">
        <v>45663</v>
      </c>
      <c r="B300" s="87">
        <v>0.41666666666666669</v>
      </c>
      <c r="C300" s="6"/>
      <c r="D300" s="6"/>
      <c r="E300" s="6" t="s">
        <v>60</v>
      </c>
      <c r="F300" s="6">
        <v>20</v>
      </c>
      <c r="G300" s="6">
        <v>253145</v>
      </c>
      <c r="H300" s="6">
        <v>29.1</v>
      </c>
      <c r="I300" s="6">
        <v>20.8</v>
      </c>
      <c r="J300" s="21"/>
      <c r="K300" s="21"/>
      <c r="L300" s="21"/>
      <c r="M300" s="21"/>
      <c r="N300" s="21"/>
      <c r="O300" s="21"/>
      <c r="P300" s="21"/>
      <c r="Q300" s="21"/>
      <c r="R300" s="21"/>
      <c r="S300" s="94">
        <f t="shared" si="42"/>
        <v>29.1</v>
      </c>
      <c r="T300" s="95">
        <f t="shared" si="43"/>
        <v>1267</v>
      </c>
      <c r="U300" s="11">
        <f t="shared" si="44"/>
        <v>0</v>
      </c>
      <c r="V300" s="11">
        <f t="shared" si="45"/>
        <v>0</v>
      </c>
      <c r="W300" s="12">
        <f t="shared" si="46"/>
        <v>1144.9553128103275</v>
      </c>
      <c r="X300" s="12">
        <f>V300/[1]Manure!$I$2</f>
        <v>0</v>
      </c>
      <c r="Y300" s="12">
        <f>W300/[1]Manure!$I$2</f>
        <v>816.54919035119792</v>
      </c>
      <c r="Z300" s="12"/>
      <c r="AA300" s="12"/>
    </row>
    <row r="301" spans="1:27" ht="15.75" thickBot="1" x14ac:dyDescent="0.3">
      <c r="A301" s="13">
        <v>45664</v>
      </c>
      <c r="B301" s="87">
        <v>0.41666666666666669</v>
      </c>
      <c r="C301" s="6"/>
      <c r="D301" s="6"/>
      <c r="E301" s="6" t="s">
        <v>60</v>
      </c>
      <c r="F301" s="6">
        <v>20</v>
      </c>
      <c r="G301" s="6">
        <v>253773</v>
      </c>
      <c r="H301" s="6">
        <v>25.7</v>
      </c>
      <c r="I301" s="6">
        <v>19.3</v>
      </c>
      <c r="J301" s="21"/>
      <c r="K301" s="21"/>
      <c r="L301" s="21"/>
      <c r="M301" s="21"/>
      <c r="N301" s="21"/>
      <c r="O301" s="21"/>
      <c r="P301" s="21"/>
      <c r="Q301" s="21"/>
      <c r="R301" s="21"/>
      <c r="S301" s="94">
        <f t="shared" si="42"/>
        <v>25.7</v>
      </c>
      <c r="T301" s="95">
        <f t="shared" si="43"/>
        <v>628</v>
      </c>
      <c r="U301" s="11">
        <f t="shared" si="44"/>
        <v>0</v>
      </c>
      <c r="V301" s="11">
        <f t="shared" si="45"/>
        <v>0</v>
      </c>
      <c r="W301" s="12">
        <f t="shared" si="46"/>
        <v>573.96719116170073</v>
      </c>
      <c r="X301" s="12">
        <f>V301/[1]Manure!$I$2</f>
        <v>0</v>
      </c>
      <c r="Y301" s="12">
        <f>W301/[1]Manure!$I$2</f>
        <v>409.33688851215271</v>
      </c>
      <c r="Z301" s="12"/>
      <c r="AA301" s="12"/>
    </row>
    <row r="302" spans="1:27" ht="15.75" thickBot="1" x14ac:dyDescent="0.3">
      <c r="A302" s="13">
        <v>45665</v>
      </c>
      <c r="B302" s="87">
        <v>0.41666666666666669</v>
      </c>
      <c r="C302" s="6"/>
      <c r="D302" s="6"/>
      <c r="E302" s="6" t="s">
        <v>60</v>
      </c>
      <c r="F302" s="6">
        <v>20</v>
      </c>
      <c r="G302" s="6">
        <v>254463</v>
      </c>
      <c r="H302" s="6">
        <v>25.8</v>
      </c>
      <c r="I302" s="6">
        <v>20.100000000000001</v>
      </c>
      <c r="J302" s="21"/>
      <c r="K302" s="21"/>
      <c r="L302" s="21"/>
      <c r="M302" s="21"/>
      <c r="N302" s="21"/>
      <c r="O302" s="21"/>
      <c r="P302" s="21"/>
      <c r="Q302" s="21"/>
      <c r="R302" s="21"/>
      <c r="S302" s="94">
        <f t="shared" si="42"/>
        <v>25.8</v>
      </c>
      <c r="T302" s="95">
        <f t="shared" si="43"/>
        <v>690</v>
      </c>
      <c r="U302" s="11">
        <f t="shared" si="44"/>
        <v>0</v>
      </c>
      <c r="V302" s="11">
        <f t="shared" si="45"/>
        <v>0</v>
      </c>
      <c r="W302" s="12">
        <f t="shared" si="46"/>
        <v>630.42168674698792</v>
      </c>
      <c r="X302" s="12">
        <f>V302/[1]Manure!$I$2</f>
        <v>0</v>
      </c>
      <c r="Y302" s="12">
        <f>W302/[1]Manure!$I$2</f>
        <v>449.59861064758076</v>
      </c>
      <c r="Z302" s="12"/>
      <c r="AA302" s="12"/>
    </row>
    <row r="303" spans="1:27" ht="15.75" thickBot="1" x14ac:dyDescent="0.3">
      <c r="A303" s="13">
        <v>45666</v>
      </c>
      <c r="B303" s="87">
        <v>0.41666666666666669</v>
      </c>
      <c r="C303" s="6"/>
      <c r="D303" s="6"/>
      <c r="E303" s="6" t="s">
        <v>60</v>
      </c>
      <c r="F303" s="6">
        <v>20</v>
      </c>
      <c r="G303" s="6">
        <v>255078</v>
      </c>
      <c r="H303" s="6">
        <v>25.1</v>
      </c>
      <c r="I303" s="6">
        <v>20.7</v>
      </c>
      <c r="J303" s="21"/>
      <c r="K303" s="21"/>
      <c r="L303" s="21"/>
      <c r="M303" s="21"/>
      <c r="N303" s="21"/>
      <c r="O303" s="21"/>
      <c r="P303" s="21"/>
      <c r="Q303" s="21"/>
      <c r="R303" s="21"/>
      <c r="S303" s="94">
        <f t="shared" si="42"/>
        <v>25.1</v>
      </c>
      <c r="T303" s="95">
        <f t="shared" si="43"/>
        <v>615</v>
      </c>
      <c r="U303" s="11">
        <f t="shared" si="44"/>
        <v>0</v>
      </c>
      <c r="V303" s="11">
        <f t="shared" si="45"/>
        <v>0</v>
      </c>
      <c r="W303" s="12">
        <f t="shared" si="46"/>
        <v>563.2170412613217</v>
      </c>
      <c r="X303" s="12">
        <f>V303/[1]Manure!$I$2</f>
        <v>0</v>
      </c>
      <c r="Y303" s="12">
        <f>W303/[1]Manure!$I$2</f>
        <v>401.6701908698119</v>
      </c>
      <c r="Z303" s="12"/>
      <c r="AA303" s="12"/>
    </row>
    <row r="304" spans="1:27" ht="15.75" thickBot="1" x14ac:dyDescent="0.3">
      <c r="A304" s="13">
        <v>45667</v>
      </c>
      <c r="B304" s="87">
        <v>0.41666666666666669</v>
      </c>
      <c r="C304" s="6"/>
      <c r="D304" s="6"/>
      <c r="E304" s="6" t="s">
        <v>60</v>
      </c>
      <c r="F304" s="6">
        <v>20</v>
      </c>
      <c r="G304" s="6">
        <v>255801</v>
      </c>
      <c r="H304" s="6">
        <v>28.7</v>
      </c>
      <c r="I304" s="6">
        <v>21</v>
      </c>
      <c r="J304" s="21"/>
      <c r="K304" s="21"/>
      <c r="L304" s="21"/>
      <c r="M304" s="21"/>
      <c r="N304" s="21"/>
      <c r="O304" s="21"/>
      <c r="P304" s="21"/>
      <c r="Q304" s="21"/>
      <c r="R304" s="21"/>
      <c r="S304" s="94">
        <f t="shared" si="42"/>
        <v>28.7</v>
      </c>
      <c r="T304" s="95">
        <f t="shared" si="43"/>
        <v>723</v>
      </c>
      <c r="U304" s="11">
        <f t="shared" si="44"/>
        <v>0</v>
      </c>
      <c r="V304" s="11">
        <f t="shared" si="45"/>
        <v>0</v>
      </c>
      <c r="W304" s="12">
        <f t="shared" si="46"/>
        <v>654.22273781902561</v>
      </c>
      <c r="X304" s="12">
        <f>V304/[1]Manure!$I$2</f>
        <v>0</v>
      </c>
      <c r="Y304" s="12">
        <f>W304/[1]Manure!$I$2</f>
        <v>466.57283554957871</v>
      </c>
      <c r="Z304" s="12"/>
      <c r="AA304" s="12"/>
    </row>
    <row r="305" spans="1:27" ht="15.75" thickBot="1" x14ac:dyDescent="0.3">
      <c r="A305" s="13">
        <v>45668</v>
      </c>
      <c r="B305" s="87">
        <v>0.41666666666666669</v>
      </c>
      <c r="C305" s="6"/>
      <c r="D305" s="6"/>
      <c r="E305" s="6" t="s">
        <v>60</v>
      </c>
      <c r="F305" s="6">
        <v>20</v>
      </c>
      <c r="G305" s="6">
        <v>256418</v>
      </c>
      <c r="H305" s="6">
        <v>28.8</v>
      </c>
      <c r="I305" s="6">
        <v>20.6</v>
      </c>
      <c r="J305" s="21"/>
      <c r="K305" s="21"/>
      <c r="L305" s="21"/>
      <c r="M305" s="21"/>
      <c r="N305" s="21"/>
      <c r="O305" s="21"/>
      <c r="P305" s="21"/>
      <c r="Q305" s="21"/>
      <c r="R305" s="21"/>
      <c r="S305" s="94">
        <f t="shared" si="42"/>
        <v>28.8</v>
      </c>
      <c r="T305" s="95">
        <f t="shared" si="43"/>
        <v>617</v>
      </c>
      <c r="U305" s="11">
        <f t="shared" si="44"/>
        <v>0</v>
      </c>
      <c r="V305" s="11">
        <f t="shared" si="45"/>
        <v>0</v>
      </c>
      <c r="W305" s="12">
        <f t="shared" si="46"/>
        <v>558.12127236580523</v>
      </c>
      <c r="X305" s="12">
        <f>V305/[1]Manure!$I$2</f>
        <v>0</v>
      </c>
      <c r="Y305" s="12">
        <f>W305/[1]Manure!$I$2</f>
        <v>398.03603509159416</v>
      </c>
      <c r="Z305" s="12"/>
      <c r="AA305" s="12"/>
    </row>
    <row r="306" spans="1:27" ht="15.75" thickBot="1" x14ac:dyDescent="0.3">
      <c r="A306" s="13">
        <v>45669</v>
      </c>
      <c r="B306" s="87">
        <v>0.41666666666666669</v>
      </c>
      <c r="C306" s="6"/>
      <c r="D306" s="6"/>
      <c r="E306" s="6" t="s">
        <v>60</v>
      </c>
      <c r="F306" s="6">
        <v>20</v>
      </c>
      <c r="G306" s="6">
        <v>257688</v>
      </c>
      <c r="H306" s="6">
        <v>27.6</v>
      </c>
      <c r="I306" s="6">
        <v>21.1</v>
      </c>
      <c r="J306" s="21"/>
      <c r="K306" s="21"/>
      <c r="L306" s="21"/>
      <c r="M306" s="21"/>
      <c r="N306" s="21"/>
      <c r="O306" s="21"/>
      <c r="P306" s="21"/>
      <c r="Q306" s="21"/>
      <c r="R306" s="21"/>
      <c r="S306" s="94">
        <f t="shared" si="42"/>
        <v>27.6</v>
      </c>
      <c r="T306" s="95">
        <f t="shared" si="43"/>
        <v>1270</v>
      </c>
      <c r="U306" s="11">
        <f t="shared" si="44"/>
        <v>0</v>
      </c>
      <c r="V306" s="11">
        <f t="shared" si="45"/>
        <v>0</v>
      </c>
      <c r="W306" s="12">
        <f t="shared" si="46"/>
        <v>1153.3932135728542</v>
      </c>
      <c r="X306" s="12">
        <f>V306/[1]Manure!$I$2</f>
        <v>0</v>
      </c>
      <c r="Y306" s="12">
        <f>W306/[1]Manure!$I$2</f>
        <v>822.56685842856007</v>
      </c>
      <c r="Z306" s="12"/>
      <c r="AA306" s="12"/>
    </row>
    <row r="307" spans="1:27" ht="15.75" thickBot="1" x14ac:dyDescent="0.3">
      <c r="A307" s="13">
        <v>45671</v>
      </c>
      <c r="B307" s="87">
        <v>0.41666666666666669</v>
      </c>
      <c r="C307" s="6"/>
      <c r="D307" s="6"/>
      <c r="E307" s="6" t="s">
        <v>60</v>
      </c>
      <c r="F307" s="6">
        <v>20</v>
      </c>
      <c r="G307" s="6">
        <v>258587</v>
      </c>
      <c r="H307" s="6">
        <v>28.5</v>
      </c>
      <c r="I307" s="6">
        <v>21</v>
      </c>
      <c r="J307" s="21"/>
      <c r="K307" s="21"/>
      <c r="L307" s="21"/>
      <c r="M307" s="21"/>
      <c r="N307" s="21"/>
      <c r="O307" s="21"/>
      <c r="P307" s="21"/>
      <c r="Q307" s="21"/>
      <c r="R307" s="21"/>
      <c r="S307" s="94">
        <f t="shared" si="42"/>
        <v>28.5</v>
      </c>
      <c r="T307" s="95">
        <f t="shared" si="43"/>
        <v>899</v>
      </c>
      <c r="U307" s="11">
        <f t="shared" si="44"/>
        <v>0</v>
      </c>
      <c r="V307" s="11">
        <f t="shared" si="45"/>
        <v>0</v>
      </c>
      <c r="W307" s="12">
        <f t="shared" si="46"/>
        <v>814.01990049751248</v>
      </c>
      <c r="X307" s="12">
        <f>V307/[1]Manure!$I$2</f>
        <v>0</v>
      </c>
      <c r="Y307" s="12">
        <f>W307/[1]Manure!$I$2</f>
        <v>580.53557483349402</v>
      </c>
      <c r="Z307" s="12"/>
      <c r="AA307" s="12"/>
    </row>
    <row r="308" spans="1:27" ht="15.75" thickBot="1" x14ac:dyDescent="0.3">
      <c r="A308" s="21"/>
      <c r="B308" s="88"/>
      <c r="C308" s="21"/>
      <c r="D308" s="21"/>
      <c r="E308" s="21"/>
      <c r="F308" s="21"/>
      <c r="G308" s="85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94"/>
      <c r="T308" s="95"/>
      <c r="U308" s="11"/>
      <c r="V308" s="11"/>
      <c r="W308" s="12"/>
      <c r="X308" s="12"/>
      <c r="Y308" s="12"/>
      <c r="Z308" s="12"/>
      <c r="AA308" s="12"/>
    </row>
    <row r="309" spans="1:27" ht="15.75" thickBot="1" x14ac:dyDescent="0.3">
      <c r="A309" s="21"/>
      <c r="B309" s="88"/>
      <c r="C309" s="21"/>
      <c r="D309" s="21"/>
      <c r="E309" s="21"/>
      <c r="F309" s="21"/>
      <c r="G309" s="85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10"/>
      <c r="T309" s="95"/>
      <c r="U309" s="11"/>
      <c r="V309" s="11"/>
      <c r="W309" s="12"/>
      <c r="X309" s="12"/>
      <c r="Y309" s="12"/>
      <c r="Z309" s="12"/>
      <c r="AA309" s="12"/>
    </row>
    <row r="310" spans="1:27" ht="15.75" thickBot="1" x14ac:dyDescent="0.3">
      <c r="A310" s="85"/>
      <c r="B310" s="86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10"/>
      <c r="T310" s="11"/>
      <c r="U310" s="11"/>
      <c r="V310" s="11"/>
      <c r="W310" s="21"/>
      <c r="X310" s="21"/>
      <c r="Y310" s="21"/>
      <c r="Z310" s="21"/>
      <c r="AA310" s="21"/>
    </row>
    <row r="311" spans="1:27" ht="15.75" thickBot="1" x14ac:dyDescent="0.3">
      <c r="B311" s="86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10"/>
      <c r="T311" s="11"/>
      <c r="U311" s="11"/>
      <c r="V311" s="11"/>
      <c r="W311" s="21"/>
      <c r="X311" s="21"/>
      <c r="Y311" s="21"/>
      <c r="Z311" s="21"/>
      <c r="AA311" s="21"/>
    </row>
    <row r="312" spans="1:27" ht="15.75" thickBot="1" x14ac:dyDescent="0.3">
      <c r="B312" s="86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10"/>
      <c r="T312" s="11"/>
      <c r="U312" s="11"/>
      <c r="V312" s="11"/>
      <c r="W312" s="21"/>
      <c r="X312" s="21"/>
      <c r="Y312" s="21"/>
      <c r="Z312" s="21"/>
      <c r="AA312" s="21"/>
    </row>
    <row r="313" spans="1:27" ht="15.75" thickBot="1" x14ac:dyDescent="0.3">
      <c r="B313" s="86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10"/>
      <c r="T313" s="11"/>
      <c r="U313" s="11"/>
      <c r="V313" s="11"/>
      <c r="W313" s="21"/>
      <c r="X313" s="21"/>
      <c r="Y313" s="21"/>
      <c r="Z313" s="21"/>
      <c r="AA313" s="21"/>
    </row>
    <row r="314" spans="1:27" ht="15.75" thickBot="1" x14ac:dyDescent="0.3">
      <c r="B314" s="86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10"/>
      <c r="T314" s="11"/>
      <c r="U314" s="11"/>
      <c r="V314" s="11"/>
      <c r="W314" s="21"/>
      <c r="X314" s="21"/>
      <c r="Y314" s="21"/>
      <c r="Z314" s="21"/>
      <c r="AA314" s="21"/>
    </row>
    <row r="315" spans="1:27" ht="15.75" thickBot="1" x14ac:dyDescent="0.3">
      <c r="B315" s="86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10"/>
      <c r="T315" s="11"/>
      <c r="U315" s="11"/>
      <c r="V315" s="11"/>
      <c r="W315" s="21"/>
      <c r="X315" s="21"/>
      <c r="Y315" s="21"/>
      <c r="Z315" s="21"/>
      <c r="AA315" s="21"/>
    </row>
    <row r="316" spans="1:27" ht="15.75" thickBot="1" x14ac:dyDescent="0.3"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10"/>
      <c r="T316" s="11"/>
      <c r="U316" s="11"/>
      <c r="V316" s="11"/>
      <c r="W316" s="21"/>
      <c r="X316" s="21"/>
      <c r="Y316" s="21"/>
      <c r="Z316" s="21"/>
      <c r="AA316" s="21"/>
    </row>
    <row r="317" spans="1:27" ht="15.75" thickBot="1" x14ac:dyDescent="0.3"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10"/>
      <c r="T317" s="11"/>
      <c r="U317" s="11"/>
      <c r="V317" s="11"/>
      <c r="W317" s="21"/>
      <c r="X317" s="21"/>
      <c r="Y317" s="21"/>
      <c r="Z317" s="21"/>
      <c r="AA317" s="21"/>
    </row>
    <row r="318" spans="1:27" ht="15.75" thickBot="1" x14ac:dyDescent="0.3"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10"/>
      <c r="T318" s="11"/>
      <c r="U318" s="11"/>
      <c r="V318" s="11"/>
      <c r="W318" s="21"/>
      <c r="X318" s="21"/>
      <c r="Y318" s="21"/>
      <c r="Z318" s="21"/>
      <c r="AA318" s="21"/>
    </row>
    <row r="319" spans="1:27" ht="15.75" thickBot="1" x14ac:dyDescent="0.3"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10"/>
      <c r="T319" s="11"/>
      <c r="U319" s="11"/>
      <c r="V319" s="11"/>
      <c r="W319" s="21"/>
      <c r="X319" s="21"/>
      <c r="Y319" s="21"/>
      <c r="Z319" s="21"/>
      <c r="AA319" s="21"/>
    </row>
    <row r="320" spans="1:27" ht="15.75" thickBot="1" x14ac:dyDescent="0.3"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10"/>
      <c r="T320" s="11"/>
      <c r="U320" s="11"/>
      <c r="V320" s="11"/>
      <c r="W320" s="21"/>
      <c r="X320" s="21"/>
      <c r="Y320" s="21"/>
      <c r="Z320" s="21"/>
      <c r="AA320" s="21"/>
    </row>
    <row r="321" spans="2:27" ht="15.75" thickBot="1" x14ac:dyDescent="0.3"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10"/>
      <c r="T321" s="11"/>
      <c r="U321" s="11"/>
      <c r="V321" s="11"/>
      <c r="W321" s="21"/>
      <c r="X321" s="21"/>
      <c r="Y321" s="21"/>
      <c r="Z321" s="21"/>
      <c r="AA321" s="21"/>
    </row>
    <row r="322" spans="2:27" ht="15.75" thickBot="1" x14ac:dyDescent="0.3"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10"/>
      <c r="T322" s="11"/>
      <c r="U322" s="11"/>
      <c r="V322" s="11"/>
      <c r="W322" s="21"/>
      <c r="X322" s="21"/>
      <c r="Y322" s="21"/>
      <c r="Z322" s="21"/>
      <c r="AA322" s="21"/>
    </row>
    <row r="323" spans="2:27" ht="15.75" thickBot="1" x14ac:dyDescent="0.3"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10"/>
      <c r="T323" s="11"/>
      <c r="U323" s="11"/>
      <c r="V323" s="11"/>
      <c r="W323" s="21"/>
      <c r="X323" s="21"/>
      <c r="Y323" s="21"/>
      <c r="Z323" s="21"/>
      <c r="AA323" s="21"/>
    </row>
    <row r="324" spans="2:27" ht="15.75" thickBot="1" x14ac:dyDescent="0.3"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10"/>
      <c r="T324" s="11"/>
      <c r="U324" s="11"/>
      <c r="V324" s="11"/>
      <c r="W324" s="21"/>
      <c r="X324" s="21"/>
      <c r="Y324" s="21"/>
      <c r="Z324" s="21"/>
      <c r="AA324" s="21"/>
    </row>
    <row r="325" spans="2:27" ht="15.75" thickBot="1" x14ac:dyDescent="0.3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10"/>
      <c r="T325" s="11"/>
      <c r="U325" s="11"/>
      <c r="V325" s="11"/>
      <c r="W325" s="21"/>
      <c r="X325" s="21"/>
      <c r="Y325" s="21"/>
      <c r="Z325" s="21"/>
      <c r="AA325" s="21"/>
    </row>
    <row r="326" spans="2:27" ht="15.75" thickBot="1" x14ac:dyDescent="0.3"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10"/>
      <c r="T326" s="11"/>
      <c r="U326" s="11"/>
      <c r="V326" s="11"/>
      <c r="W326" s="21"/>
      <c r="X326" s="21"/>
      <c r="Y326" s="21"/>
      <c r="Z326" s="21"/>
      <c r="AA326" s="21"/>
    </row>
    <row r="327" spans="2:27" ht="15.75" thickBot="1" x14ac:dyDescent="0.3"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10"/>
      <c r="T327" s="11"/>
      <c r="U327" s="11"/>
      <c r="V327" s="11"/>
      <c r="W327" s="21"/>
      <c r="X327" s="21"/>
      <c r="Y327" s="21"/>
      <c r="Z327" s="21"/>
      <c r="AA327" s="21"/>
    </row>
    <row r="328" spans="2:27" ht="15.75" thickBot="1" x14ac:dyDescent="0.3"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10"/>
      <c r="T328" s="11"/>
      <c r="U328" s="11"/>
      <c r="V328" s="11"/>
      <c r="W328" s="21"/>
      <c r="X328" s="21"/>
      <c r="Y328" s="21"/>
      <c r="Z328" s="21"/>
      <c r="AA328" s="21"/>
    </row>
    <row r="329" spans="2:27" ht="15.75" thickBot="1" x14ac:dyDescent="0.3"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10"/>
      <c r="T329" s="11"/>
      <c r="U329" s="11"/>
      <c r="V329" s="11"/>
      <c r="W329" s="21"/>
      <c r="X329" s="21"/>
      <c r="Y329" s="21"/>
      <c r="Z329" s="21"/>
      <c r="AA329" s="21"/>
    </row>
    <row r="330" spans="2:27" ht="15.75" thickBot="1" x14ac:dyDescent="0.3"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10"/>
      <c r="T330" s="11"/>
      <c r="U330" s="11"/>
      <c r="V330" s="11"/>
      <c r="W330" s="21"/>
      <c r="X330" s="21"/>
      <c r="Y330" s="21"/>
      <c r="Z330" s="21"/>
      <c r="AA330" s="21"/>
    </row>
    <row r="331" spans="2:27" ht="15.75" thickBot="1" x14ac:dyDescent="0.3"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10"/>
      <c r="T331" s="11"/>
      <c r="U331" s="11"/>
      <c r="V331" s="11"/>
      <c r="W331" s="21"/>
      <c r="X331" s="21"/>
      <c r="Y331" s="21"/>
      <c r="Z331" s="21"/>
      <c r="AA331" s="21"/>
    </row>
    <row r="332" spans="2:27" ht="15.75" thickBot="1" x14ac:dyDescent="0.3"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10"/>
      <c r="T332" s="11"/>
      <c r="U332" s="11"/>
      <c r="V332" s="11"/>
      <c r="W332" s="21"/>
      <c r="X332" s="21"/>
      <c r="Y332" s="21"/>
      <c r="Z332" s="21"/>
      <c r="AA332" s="21"/>
    </row>
    <row r="333" spans="2:27" ht="15.75" thickBot="1" x14ac:dyDescent="0.3"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10"/>
      <c r="T333" s="11"/>
      <c r="U333" s="11"/>
      <c r="V333" s="11"/>
      <c r="W333" s="21"/>
      <c r="X333" s="21"/>
      <c r="Y333" s="21"/>
      <c r="Z333" s="21"/>
      <c r="AA333" s="21"/>
    </row>
    <row r="334" spans="2:27" ht="15.75" thickBot="1" x14ac:dyDescent="0.3"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10"/>
      <c r="T334" s="11"/>
      <c r="U334" s="11"/>
      <c r="V334" s="11"/>
      <c r="W334" s="21"/>
      <c r="X334" s="21"/>
      <c r="Y334" s="21"/>
      <c r="Z334" s="21"/>
      <c r="AA334" s="21"/>
    </row>
    <row r="335" spans="2:27" ht="15.75" thickBot="1" x14ac:dyDescent="0.3"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10"/>
      <c r="T335" s="11"/>
      <c r="U335" s="11"/>
      <c r="V335" s="11"/>
      <c r="W335" s="21"/>
      <c r="X335" s="21"/>
      <c r="Y335" s="21"/>
      <c r="Z335" s="21"/>
      <c r="AA335" s="21"/>
    </row>
    <row r="336" spans="2:27" ht="15.75" thickBot="1" x14ac:dyDescent="0.3"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10"/>
      <c r="T336" s="11"/>
      <c r="U336" s="11"/>
      <c r="V336" s="11"/>
      <c r="W336" s="21"/>
      <c r="X336" s="21"/>
      <c r="Y336" s="21"/>
      <c r="Z336" s="21"/>
      <c r="AA336" s="21"/>
    </row>
    <row r="337" spans="2:27" ht="15.75" thickBot="1" x14ac:dyDescent="0.3"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10"/>
      <c r="T337" s="11"/>
      <c r="U337" s="11"/>
      <c r="V337" s="11"/>
      <c r="W337" s="21"/>
      <c r="X337" s="21"/>
      <c r="Y337" s="21"/>
      <c r="Z337" s="21"/>
      <c r="AA337" s="21"/>
    </row>
    <row r="338" spans="2:27" ht="15.75" thickBot="1" x14ac:dyDescent="0.3"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10"/>
      <c r="T338" s="11"/>
      <c r="U338" s="11"/>
      <c r="V338" s="11"/>
      <c r="W338" s="21"/>
      <c r="X338" s="21"/>
      <c r="Y338" s="21"/>
      <c r="Z338" s="21"/>
      <c r="AA338" s="21"/>
    </row>
    <row r="339" spans="2:27" ht="15.75" thickBot="1" x14ac:dyDescent="0.3"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10"/>
      <c r="T339" s="11"/>
      <c r="U339" s="11"/>
      <c r="V339" s="11"/>
      <c r="W339" s="21"/>
      <c r="X339" s="21"/>
      <c r="Y339" s="21"/>
      <c r="Z339" s="21"/>
      <c r="AA339" s="21"/>
    </row>
    <row r="340" spans="2:27" ht="15.75" thickBot="1" x14ac:dyDescent="0.3"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10"/>
      <c r="T340" s="11"/>
      <c r="U340" s="11"/>
      <c r="V340" s="11"/>
      <c r="W340" s="21"/>
      <c r="X340" s="21"/>
      <c r="Y340" s="21"/>
      <c r="Z340" s="21"/>
      <c r="AA340" s="21"/>
    </row>
    <row r="341" spans="2:27" ht="15.75" thickBot="1" x14ac:dyDescent="0.3"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10"/>
      <c r="T341" s="11"/>
      <c r="U341" s="11"/>
      <c r="V341" s="11"/>
      <c r="W341" s="21"/>
      <c r="X341" s="21"/>
      <c r="Y341" s="21"/>
      <c r="Z341" s="21"/>
      <c r="AA341" s="21"/>
    </row>
    <row r="342" spans="2:27" ht="15.75" thickBot="1" x14ac:dyDescent="0.3"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10"/>
      <c r="T342" s="11"/>
      <c r="U342" s="11"/>
      <c r="V342" s="11"/>
      <c r="W342" s="21"/>
      <c r="X342" s="21"/>
      <c r="Y342" s="21"/>
      <c r="Z342" s="21"/>
      <c r="AA342" s="21"/>
    </row>
    <row r="343" spans="2:27" ht="15.75" thickBot="1" x14ac:dyDescent="0.3"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10"/>
      <c r="T343" s="11"/>
      <c r="U343" s="11"/>
      <c r="V343" s="11"/>
      <c r="W343" s="21"/>
      <c r="X343" s="21"/>
      <c r="Y343" s="21"/>
      <c r="Z343" s="21"/>
      <c r="AA343" s="21"/>
    </row>
    <row r="344" spans="2:27" ht="15.75" thickBot="1" x14ac:dyDescent="0.3"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10"/>
      <c r="T344" s="11"/>
      <c r="U344" s="11"/>
      <c r="V344" s="11"/>
      <c r="W344" s="21"/>
      <c r="X344" s="21"/>
      <c r="Y344" s="21"/>
      <c r="Z344" s="21"/>
      <c r="AA344" s="21"/>
    </row>
    <row r="345" spans="2:27" ht="15.75" thickBot="1" x14ac:dyDescent="0.3"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10"/>
      <c r="T345" s="11"/>
      <c r="U345" s="11"/>
      <c r="V345" s="11"/>
      <c r="W345" s="21"/>
      <c r="X345" s="21"/>
      <c r="Y345" s="21"/>
      <c r="Z345" s="21"/>
      <c r="AA345" s="21"/>
    </row>
    <row r="346" spans="2:27" ht="15.75" thickBot="1" x14ac:dyDescent="0.3"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10"/>
      <c r="T346" s="11"/>
      <c r="U346" s="11"/>
      <c r="V346" s="11"/>
      <c r="W346" s="21"/>
      <c r="X346" s="21"/>
      <c r="Y346" s="21"/>
      <c r="Z346" s="21"/>
      <c r="AA346" s="21"/>
    </row>
    <row r="347" spans="2:27" ht="15.75" thickBot="1" x14ac:dyDescent="0.3"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10"/>
      <c r="T347" s="11"/>
      <c r="U347" s="11"/>
      <c r="V347" s="11"/>
      <c r="W347" s="21"/>
      <c r="X347" s="21"/>
      <c r="Y347" s="21"/>
      <c r="Z347" s="21"/>
      <c r="AA347" s="21"/>
    </row>
    <row r="348" spans="2:27" ht="15.75" thickBot="1" x14ac:dyDescent="0.3"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10"/>
      <c r="T348" s="11"/>
      <c r="U348" s="11"/>
      <c r="V348" s="11"/>
      <c r="W348" s="21"/>
      <c r="X348" s="21"/>
      <c r="Y348" s="21"/>
      <c r="Z348" s="21"/>
      <c r="AA348" s="21"/>
    </row>
    <row r="349" spans="2:27" ht="15.75" thickBot="1" x14ac:dyDescent="0.3"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10"/>
      <c r="T349" s="11"/>
      <c r="U349" s="11"/>
      <c r="V349" s="11"/>
      <c r="W349" s="21"/>
      <c r="X349" s="21"/>
      <c r="Y349" s="21"/>
      <c r="Z349" s="21"/>
      <c r="AA349" s="21"/>
    </row>
    <row r="350" spans="2:27" ht="15.75" thickBot="1" x14ac:dyDescent="0.3"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10"/>
      <c r="T350" s="11"/>
      <c r="U350" s="11"/>
      <c r="V350" s="11"/>
      <c r="W350" s="21"/>
      <c r="X350" s="21"/>
      <c r="Y350" s="21"/>
      <c r="Z350" s="21"/>
      <c r="AA350" s="21"/>
    </row>
    <row r="351" spans="2:27" ht="15.75" thickBot="1" x14ac:dyDescent="0.3"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10"/>
      <c r="T351" s="11"/>
      <c r="U351" s="11"/>
      <c r="V351" s="11"/>
      <c r="W351" s="21"/>
      <c r="X351" s="21"/>
      <c r="Y351" s="21"/>
      <c r="Z351" s="21"/>
      <c r="AA351" s="21"/>
    </row>
    <row r="352" spans="2:27" ht="15.75" thickBot="1" x14ac:dyDescent="0.3"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10"/>
      <c r="T352" s="11"/>
      <c r="U352" s="11"/>
      <c r="V352" s="11"/>
      <c r="W352" s="21"/>
      <c r="X352" s="21"/>
      <c r="Y352" s="21"/>
      <c r="Z352" s="21"/>
      <c r="AA352" s="21"/>
    </row>
    <row r="353" spans="2:27" ht="15.75" thickBot="1" x14ac:dyDescent="0.3"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10"/>
      <c r="T353" s="11"/>
      <c r="U353" s="11"/>
      <c r="V353" s="11"/>
      <c r="W353" s="21"/>
      <c r="X353" s="21"/>
      <c r="Y353" s="21"/>
      <c r="Z353" s="21"/>
      <c r="AA353" s="21"/>
    </row>
    <row r="354" spans="2:27" ht="15.75" thickBot="1" x14ac:dyDescent="0.3"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10"/>
      <c r="T354" s="11"/>
      <c r="U354" s="11"/>
      <c r="V354" s="11"/>
      <c r="W354" s="21"/>
      <c r="X354" s="21"/>
      <c r="Y354" s="21"/>
      <c r="Z354" s="21"/>
      <c r="AA354" s="21"/>
    </row>
    <row r="355" spans="2:27" ht="15.75" thickBot="1" x14ac:dyDescent="0.3"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10"/>
      <c r="T355" s="11"/>
      <c r="U355" s="11"/>
      <c r="V355" s="11"/>
      <c r="W355" s="21"/>
      <c r="X355" s="21"/>
      <c r="Y355" s="21"/>
      <c r="Z355" s="21"/>
      <c r="AA355" s="21"/>
    </row>
    <row r="356" spans="2:27" ht="15.75" thickBot="1" x14ac:dyDescent="0.3"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10"/>
      <c r="T356" s="11"/>
      <c r="U356" s="11"/>
      <c r="V356" s="11"/>
      <c r="W356" s="21"/>
      <c r="X356" s="21"/>
      <c r="Y356" s="21"/>
      <c r="Z356" s="21"/>
      <c r="AA356" s="21"/>
    </row>
    <row r="357" spans="2:27" ht="15.75" thickBot="1" x14ac:dyDescent="0.3"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10"/>
      <c r="T357" s="11"/>
      <c r="U357" s="11"/>
      <c r="V357" s="11"/>
      <c r="W357" s="21"/>
      <c r="X357" s="21"/>
      <c r="Y357" s="21"/>
      <c r="Z357" s="21"/>
      <c r="AA357" s="21"/>
    </row>
    <row r="358" spans="2:27" ht="15.75" thickBot="1" x14ac:dyDescent="0.3"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10"/>
      <c r="T358" s="11"/>
      <c r="U358" s="11"/>
      <c r="V358" s="11"/>
      <c r="W358" s="21"/>
      <c r="X358" s="21"/>
      <c r="Y358" s="21"/>
      <c r="Z358" s="21"/>
      <c r="AA358" s="21"/>
    </row>
    <row r="359" spans="2:27" ht="15.75" thickBot="1" x14ac:dyDescent="0.3"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10"/>
      <c r="T359" s="11"/>
      <c r="U359" s="11"/>
      <c r="V359" s="11"/>
      <c r="W359" s="21"/>
      <c r="X359" s="21"/>
      <c r="Y359" s="21"/>
      <c r="Z359" s="21"/>
      <c r="AA359" s="21"/>
    </row>
    <row r="360" spans="2:27" ht="15.75" thickBot="1" x14ac:dyDescent="0.3"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10"/>
      <c r="T360" s="11"/>
      <c r="U360" s="11"/>
      <c r="V360" s="11"/>
      <c r="W360" s="21"/>
      <c r="X360" s="21"/>
      <c r="Y360" s="21"/>
      <c r="Z360" s="21"/>
      <c r="AA360" s="21"/>
    </row>
    <row r="361" spans="2:27" ht="15.75" thickBot="1" x14ac:dyDescent="0.3"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10"/>
      <c r="T361" s="11"/>
      <c r="U361" s="11"/>
      <c r="V361" s="11"/>
      <c r="W361" s="21"/>
      <c r="X361" s="21"/>
      <c r="Y361" s="21"/>
      <c r="Z361" s="21"/>
      <c r="AA361" s="21"/>
    </row>
    <row r="362" spans="2:27" ht="15.75" thickBot="1" x14ac:dyDescent="0.3"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10"/>
      <c r="T362" s="11"/>
      <c r="U362" s="11"/>
      <c r="V362" s="11"/>
      <c r="W362" s="21"/>
      <c r="X362" s="21"/>
      <c r="Y362" s="21"/>
      <c r="Z362" s="21"/>
      <c r="AA362" s="21"/>
    </row>
    <row r="363" spans="2:27" ht="15.75" thickBot="1" x14ac:dyDescent="0.3"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10"/>
      <c r="T363" s="11"/>
      <c r="U363" s="11"/>
      <c r="V363" s="11"/>
      <c r="W363" s="21"/>
      <c r="X363" s="21"/>
      <c r="Y363" s="21"/>
      <c r="Z363" s="21"/>
      <c r="AA363" s="21"/>
    </row>
    <row r="364" spans="2:27" ht="15.75" thickBot="1" x14ac:dyDescent="0.3"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10"/>
      <c r="T364" s="11"/>
      <c r="U364" s="11"/>
      <c r="V364" s="11"/>
      <c r="W364" s="21"/>
      <c r="X364" s="21"/>
      <c r="Y364" s="21"/>
      <c r="Z364" s="21"/>
      <c r="AA364" s="21"/>
    </row>
    <row r="365" spans="2:27" ht="15.75" thickBot="1" x14ac:dyDescent="0.3"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10"/>
      <c r="T365" s="11"/>
      <c r="U365" s="11"/>
      <c r="V365" s="11"/>
      <c r="W365" s="21"/>
      <c r="X365" s="21"/>
      <c r="Y365" s="21"/>
      <c r="Z365" s="21"/>
      <c r="AA365" s="21"/>
    </row>
    <row r="366" spans="2:27" ht="15.75" thickBot="1" x14ac:dyDescent="0.3"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10"/>
      <c r="T366" s="11"/>
      <c r="U366" s="11"/>
      <c r="V366" s="11"/>
      <c r="W366" s="21"/>
      <c r="X366" s="21"/>
      <c r="Y366" s="21"/>
      <c r="Z366" s="21"/>
      <c r="AA366" s="21"/>
    </row>
    <row r="367" spans="2:27" ht="15.75" thickBot="1" x14ac:dyDescent="0.3"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10"/>
      <c r="T367" s="11"/>
      <c r="U367" s="11"/>
      <c r="V367" s="11"/>
      <c r="W367" s="21"/>
      <c r="X367" s="21"/>
      <c r="Y367" s="21"/>
      <c r="Z367" s="21"/>
      <c r="AA367" s="21"/>
    </row>
    <row r="368" spans="2:27" ht="15.75" thickBot="1" x14ac:dyDescent="0.3"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10"/>
      <c r="T368" s="11"/>
      <c r="U368" s="11"/>
      <c r="V368" s="11"/>
      <c r="W368" s="21"/>
      <c r="X368" s="21"/>
      <c r="Y368" s="21"/>
      <c r="Z368" s="21"/>
      <c r="AA368" s="21"/>
    </row>
    <row r="369" spans="2:27" ht="15.75" thickBot="1" x14ac:dyDescent="0.3"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10"/>
      <c r="T369" s="11"/>
      <c r="U369" s="11"/>
      <c r="V369" s="11"/>
      <c r="W369" s="21"/>
      <c r="X369" s="21"/>
      <c r="Y369" s="21"/>
      <c r="Z369" s="21"/>
      <c r="AA369" s="21"/>
    </row>
    <row r="370" spans="2:27" ht="15.75" thickBot="1" x14ac:dyDescent="0.3"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10"/>
      <c r="T370" s="11"/>
      <c r="U370" s="11"/>
      <c r="V370" s="11"/>
      <c r="W370" s="21"/>
      <c r="X370" s="21"/>
      <c r="Y370" s="21"/>
      <c r="Z370" s="21"/>
      <c r="AA370" s="21"/>
    </row>
    <row r="371" spans="2:27" ht="15.75" thickBot="1" x14ac:dyDescent="0.3"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10"/>
      <c r="T371" s="11"/>
      <c r="U371" s="11"/>
      <c r="V371" s="11"/>
      <c r="W371" s="21"/>
      <c r="X371" s="21"/>
      <c r="Y371" s="21"/>
      <c r="Z371" s="21"/>
      <c r="AA371" s="21"/>
    </row>
    <row r="372" spans="2:27" ht="15.75" thickBot="1" x14ac:dyDescent="0.3"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10"/>
      <c r="T372" s="11"/>
      <c r="U372" s="11"/>
      <c r="V372" s="11"/>
      <c r="W372" s="21"/>
      <c r="X372" s="21"/>
      <c r="Y372" s="21"/>
      <c r="Z372" s="21"/>
      <c r="AA372" s="21"/>
    </row>
    <row r="373" spans="2:27" ht="15.75" thickBot="1" x14ac:dyDescent="0.3"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10"/>
      <c r="T373" s="11"/>
      <c r="U373" s="11"/>
      <c r="V373" s="11"/>
      <c r="W373" s="21"/>
      <c r="X373" s="21"/>
      <c r="Y373" s="21"/>
      <c r="Z373" s="21"/>
      <c r="AA373" s="21"/>
    </row>
    <row r="374" spans="2:27" ht="15.75" thickBot="1" x14ac:dyDescent="0.3"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10"/>
      <c r="T374" s="11"/>
      <c r="U374" s="11"/>
      <c r="V374" s="11"/>
      <c r="W374" s="21"/>
      <c r="X374" s="21"/>
      <c r="Y374" s="21"/>
      <c r="Z374" s="21"/>
      <c r="AA374" s="21"/>
    </row>
    <row r="375" spans="2:27" ht="15.75" thickBot="1" x14ac:dyDescent="0.3"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10"/>
      <c r="T375" s="11"/>
      <c r="U375" s="11"/>
      <c r="V375" s="11"/>
      <c r="W375" s="21"/>
      <c r="X375" s="21"/>
      <c r="Y375" s="21"/>
      <c r="Z375" s="21"/>
      <c r="AA375" s="21"/>
    </row>
    <row r="376" spans="2:27" ht="15.75" thickBot="1" x14ac:dyDescent="0.3"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10"/>
      <c r="T376" s="11"/>
      <c r="U376" s="11"/>
      <c r="V376" s="11"/>
      <c r="W376" s="21"/>
      <c r="X376" s="21"/>
      <c r="Y376" s="21"/>
      <c r="Z376" s="21"/>
      <c r="AA376" s="21"/>
    </row>
    <row r="377" spans="2:27" ht="15.75" thickBot="1" x14ac:dyDescent="0.3"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10"/>
      <c r="T377" s="11"/>
      <c r="U377" s="11"/>
      <c r="V377" s="11"/>
      <c r="W377" s="21"/>
      <c r="X377" s="21"/>
      <c r="Y377" s="21"/>
      <c r="Z377" s="21"/>
      <c r="AA377" s="21"/>
    </row>
    <row r="378" spans="2:27" ht="15.75" thickBot="1" x14ac:dyDescent="0.3"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10"/>
      <c r="T378" s="11"/>
      <c r="U378" s="11"/>
      <c r="V378" s="11"/>
      <c r="W378" s="21"/>
      <c r="X378" s="21"/>
      <c r="Y378" s="21"/>
      <c r="Z378" s="21"/>
      <c r="AA378" s="21"/>
    </row>
    <row r="379" spans="2:27" ht="15.75" thickBot="1" x14ac:dyDescent="0.3"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10"/>
      <c r="T379" s="11"/>
      <c r="U379" s="11"/>
      <c r="V379" s="11"/>
      <c r="W379" s="21"/>
      <c r="X379" s="21"/>
      <c r="Y379" s="21"/>
      <c r="Z379" s="21"/>
      <c r="AA379" s="21"/>
    </row>
    <row r="380" spans="2:27" ht="15.75" thickBot="1" x14ac:dyDescent="0.3"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10"/>
      <c r="T380" s="11"/>
      <c r="U380" s="11"/>
      <c r="V380" s="11"/>
      <c r="W380" s="21"/>
      <c r="X380" s="21"/>
      <c r="Y380" s="21"/>
      <c r="Z380" s="21"/>
      <c r="AA380" s="21"/>
    </row>
    <row r="381" spans="2:27" ht="15.75" thickBot="1" x14ac:dyDescent="0.3"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10"/>
      <c r="T381" s="11"/>
      <c r="U381" s="11"/>
      <c r="V381" s="11"/>
      <c r="W381" s="21"/>
      <c r="X381" s="21"/>
      <c r="Y381" s="21"/>
      <c r="Z381" s="21"/>
      <c r="AA381" s="21"/>
    </row>
    <row r="382" spans="2:27" ht="15.75" thickBot="1" x14ac:dyDescent="0.3"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10"/>
      <c r="T382" s="11"/>
      <c r="U382" s="11"/>
      <c r="V382" s="11"/>
      <c r="W382" s="21"/>
      <c r="X382" s="21"/>
      <c r="Y382" s="21"/>
      <c r="Z382" s="21"/>
      <c r="AA382" s="21"/>
    </row>
    <row r="383" spans="2:27" ht="15.75" thickBot="1" x14ac:dyDescent="0.3"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10"/>
      <c r="T383" s="11"/>
      <c r="U383" s="11"/>
      <c r="V383" s="11"/>
      <c r="W383" s="21"/>
      <c r="X383" s="21"/>
      <c r="Y383" s="21"/>
      <c r="Z383" s="21"/>
      <c r="AA383" s="21"/>
    </row>
    <row r="384" spans="2:27" ht="15.75" thickBot="1" x14ac:dyDescent="0.3"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10"/>
      <c r="T384" s="11"/>
      <c r="U384" s="11"/>
      <c r="V384" s="11"/>
      <c r="W384" s="21"/>
      <c r="X384" s="21"/>
      <c r="Y384" s="21"/>
      <c r="Z384" s="21"/>
      <c r="AA384" s="21"/>
    </row>
    <row r="385" spans="2:27" ht="15.75" thickBot="1" x14ac:dyDescent="0.3"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10"/>
      <c r="T385" s="11"/>
      <c r="U385" s="11"/>
      <c r="V385" s="11"/>
      <c r="W385" s="21"/>
      <c r="X385" s="21"/>
      <c r="Y385" s="21"/>
      <c r="Z385" s="21"/>
      <c r="AA385" s="21"/>
    </row>
    <row r="386" spans="2:27" ht="15.75" thickBot="1" x14ac:dyDescent="0.3"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10"/>
      <c r="T386" s="11"/>
      <c r="U386" s="11"/>
      <c r="V386" s="11"/>
      <c r="W386" s="21"/>
      <c r="X386" s="21"/>
      <c r="Y386" s="21"/>
      <c r="Z386" s="21"/>
      <c r="AA386" s="21"/>
    </row>
    <row r="387" spans="2:27" ht="15.75" thickBot="1" x14ac:dyDescent="0.3"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10"/>
      <c r="T387" s="11"/>
      <c r="U387" s="11"/>
      <c r="V387" s="11"/>
      <c r="W387" s="21"/>
      <c r="X387" s="21"/>
      <c r="Y387" s="21"/>
      <c r="Z387" s="21"/>
      <c r="AA387" s="21"/>
    </row>
    <row r="388" spans="2:27" ht="15.75" thickBot="1" x14ac:dyDescent="0.3"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10"/>
      <c r="T388" s="11"/>
      <c r="U388" s="11"/>
      <c r="V388" s="11"/>
      <c r="W388" s="21"/>
      <c r="X388" s="21"/>
      <c r="Y388" s="21"/>
      <c r="Z388" s="21"/>
      <c r="AA388" s="21"/>
    </row>
    <row r="389" spans="2:27" ht="15.75" thickBot="1" x14ac:dyDescent="0.3"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10"/>
      <c r="T389" s="11"/>
      <c r="U389" s="11"/>
      <c r="V389" s="11"/>
      <c r="W389" s="21"/>
      <c r="X389" s="21"/>
      <c r="Y389" s="21"/>
      <c r="Z389" s="21"/>
      <c r="AA389" s="21"/>
    </row>
    <row r="390" spans="2:27" ht="15.75" thickBot="1" x14ac:dyDescent="0.3"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10"/>
      <c r="T390" s="11"/>
      <c r="U390" s="11"/>
      <c r="V390" s="11"/>
      <c r="W390" s="21"/>
      <c r="X390" s="21"/>
      <c r="Y390" s="21"/>
      <c r="Z390" s="21"/>
      <c r="AA390" s="21"/>
    </row>
    <row r="391" spans="2:27" ht="15.75" thickBot="1" x14ac:dyDescent="0.3"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10"/>
      <c r="T391" s="11"/>
      <c r="U391" s="11"/>
      <c r="V391" s="11"/>
      <c r="W391" s="21"/>
      <c r="X391" s="21"/>
      <c r="Y391" s="21"/>
      <c r="Z391" s="21"/>
      <c r="AA391" s="21"/>
    </row>
    <row r="392" spans="2:27" ht="15.75" thickBot="1" x14ac:dyDescent="0.3"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10"/>
      <c r="T392" s="11"/>
      <c r="U392" s="11"/>
      <c r="V392" s="11"/>
      <c r="W392" s="21"/>
      <c r="X392" s="21"/>
      <c r="Y392" s="21"/>
      <c r="Z392" s="21"/>
      <c r="AA392" s="21"/>
    </row>
    <row r="393" spans="2:27" ht="15.75" thickBot="1" x14ac:dyDescent="0.3"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10"/>
      <c r="T393" s="11"/>
      <c r="U393" s="11"/>
      <c r="V393" s="11"/>
      <c r="W393" s="21"/>
      <c r="X393" s="21"/>
      <c r="Y393" s="21"/>
      <c r="Z393" s="21"/>
      <c r="AA393" s="21"/>
    </row>
    <row r="394" spans="2:27" ht="15.75" thickBot="1" x14ac:dyDescent="0.3"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10"/>
      <c r="T394" s="11"/>
      <c r="U394" s="11"/>
      <c r="V394" s="11"/>
      <c r="W394" s="21"/>
      <c r="X394" s="21"/>
      <c r="Y394" s="21"/>
      <c r="Z394" s="21"/>
      <c r="AA394" s="21"/>
    </row>
    <row r="395" spans="2:27" ht="15.75" thickBot="1" x14ac:dyDescent="0.3"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10"/>
      <c r="T395" s="11"/>
      <c r="U395" s="11"/>
      <c r="V395" s="11"/>
      <c r="W395" s="21"/>
      <c r="X395" s="21"/>
      <c r="Y395" s="21"/>
      <c r="Z395" s="21"/>
      <c r="AA395" s="21"/>
    </row>
    <row r="396" spans="2:27" ht="15.75" thickBot="1" x14ac:dyDescent="0.3"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10"/>
      <c r="T396" s="11"/>
      <c r="U396" s="11"/>
      <c r="V396" s="11"/>
      <c r="W396" s="21"/>
      <c r="X396" s="21"/>
      <c r="Y396" s="21"/>
      <c r="Z396" s="21"/>
      <c r="AA396" s="21"/>
    </row>
    <row r="397" spans="2:27" ht="15.75" thickBot="1" x14ac:dyDescent="0.3"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10"/>
      <c r="T397" s="11"/>
      <c r="U397" s="11"/>
      <c r="V397" s="11"/>
      <c r="W397" s="21"/>
      <c r="X397" s="21"/>
      <c r="Y397" s="21"/>
      <c r="Z397" s="21"/>
      <c r="AA397" s="21"/>
    </row>
    <row r="398" spans="2:27" ht="15.75" thickBot="1" x14ac:dyDescent="0.3"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10"/>
      <c r="T398" s="11"/>
      <c r="U398" s="11"/>
      <c r="V398" s="11"/>
      <c r="W398" s="21"/>
      <c r="X398" s="21"/>
      <c r="Y398" s="21"/>
      <c r="Z398" s="21"/>
      <c r="AA398" s="21"/>
    </row>
    <row r="399" spans="2:27" ht="15.75" thickBot="1" x14ac:dyDescent="0.3"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10"/>
      <c r="T399" s="11"/>
      <c r="U399" s="11"/>
      <c r="V399" s="11"/>
      <c r="W399" s="21"/>
      <c r="X399" s="21"/>
      <c r="Y399" s="21"/>
      <c r="Z399" s="21"/>
      <c r="AA399" s="21"/>
    </row>
    <row r="400" spans="2:27" ht="15.75" thickBot="1" x14ac:dyDescent="0.3"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10"/>
      <c r="T400" s="11"/>
      <c r="U400" s="11"/>
      <c r="V400" s="11"/>
      <c r="W400" s="21"/>
      <c r="X400" s="21"/>
      <c r="Y400" s="21"/>
      <c r="Z400" s="21"/>
      <c r="AA400" s="21"/>
    </row>
    <row r="401" spans="2:27" ht="15.75" thickBot="1" x14ac:dyDescent="0.3"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10"/>
      <c r="T401" s="11"/>
      <c r="U401" s="11"/>
      <c r="V401" s="11"/>
      <c r="W401" s="21"/>
      <c r="X401" s="21"/>
      <c r="Y401" s="21"/>
      <c r="Z401" s="21"/>
      <c r="AA401" s="21"/>
    </row>
    <row r="402" spans="2:27" ht="15.75" thickBot="1" x14ac:dyDescent="0.3"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10"/>
      <c r="T402" s="11"/>
      <c r="U402" s="11"/>
      <c r="V402" s="11"/>
      <c r="W402" s="21"/>
      <c r="X402" s="21"/>
      <c r="Y402" s="21"/>
      <c r="Z402" s="21"/>
      <c r="AA402" s="21"/>
    </row>
    <row r="403" spans="2:27" ht="15.75" thickBot="1" x14ac:dyDescent="0.3"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10"/>
      <c r="T403" s="11"/>
      <c r="U403" s="11"/>
      <c r="V403" s="11"/>
      <c r="W403" s="21"/>
      <c r="X403" s="21"/>
      <c r="Y403" s="21"/>
      <c r="Z403" s="21"/>
      <c r="AA403" s="21"/>
    </row>
    <row r="404" spans="2:27" ht="15.75" thickBot="1" x14ac:dyDescent="0.3"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10"/>
      <c r="T404" s="11"/>
      <c r="U404" s="11"/>
      <c r="V404" s="11"/>
      <c r="W404" s="21"/>
      <c r="X404" s="21"/>
      <c r="Y404" s="21"/>
      <c r="Z404" s="21"/>
      <c r="AA404" s="21"/>
    </row>
    <row r="405" spans="2:27" ht="15.75" thickBot="1" x14ac:dyDescent="0.3"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10"/>
      <c r="T405" s="11"/>
      <c r="U405" s="11"/>
      <c r="V405" s="11"/>
      <c r="W405" s="21"/>
      <c r="X405" s="21"/>
      <c r="Y405" s="21"/>
      <c r="Z405" s="21"/>
      <c r="AA405" s="21"/>
    </row>
    <row r="406" spans="2:27" ht="15.75" thickBot="1" x14ac:dyDescent="0.3"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10"/>
      <c r="T406" s="11"/>
      <c r="U406" s="11"/>
      <c r="V406" s="11"/>
      <c r="W406" s="21"/>
      <c r="X406" s="21"/>
      <c r="Y406" s="21"/>
      <c r="Z406" s="21"/>
      <c r="AA406" s="21"/>
    </row>
    <row r="407" spans="2:27" ht="15.75" thickBot="1" x14ac:dyDescent="0.3"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10"/>
      <c r="T407" s="11"/>
      <c r="U407" s="11"/>
      <c r="V407" s="11"/>
      <c r="W407" s="21"/>
      <c r="X407" s="21"/>
      <c r="Y407" s="21"/>
      <c r="Z407" s="21"/>
      <c r="AA407" s="21"/>
    </row>
    <row r="408" spans="2:27" ht="15.75" thickBot="1" x14ac:dyDescent="0.3"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10"/>
      <c r="T408" s="11"/>
      <c r="U408" s="11"/>
      <c r="V408" s="11"/>
      <c r="W408" s="21"/>
      <c r="X408" s="21"/>
      <c r="Y408" s="21"/>
      <c r="Z408" s="21"/>
      <c r="AA408" s="21"/>
    </row>
    <row r="409" spans="2:27" ht="15.75" thickBot="1" x14ac:dyDescent="0.3"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10"/>
      <c r="T409" s="11"/>
      <c r="U409" s="11"/>
      <c r="V409" s="11"/>
      <c r="W409" s="21"/>
      <c r="X409" s="21"/>
      <c r="Y409" s="21"/>
      <c r="Z409" s="21"/>
      <c r="AA409" s="21"/>
    </row>
    <row r="410" spans="2:27" ht="15.75" thickBot="1" x14ac:dyDescent="0.3"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10"/>
      <c r="T410" s="11"/>
      <c r="U410" s="11"/>
      <c r="V410" s="11"/>
      <c r="W410" s="21"/>
      <c r="X410" s="21"/>
      <c r="Y410" s="21"/>
      <c r="Z410" s="21"/>
      <c r="AA410" s="21"/>
    </row>
    <row r="411" spans="2:27" ht="15.75" thickBot="1" x14ac:dyDescent="0.3"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10"/>
      <c r="T411" s="11"/>
      <c r="U411" s="11"/>
      <c r="V411" s="11"/>
      <c r="W411" s="21"/>
      <c r="X411" s="21"/>
      <c r="Y411" s="21"/>
      <c r="Z411" s="21"/>
      <c r="AA411" s="21"/>
    </row>
    <row r="412" spans="2:27" ht="15.75" thickBot="1" x14ac:dyDescent="0.3"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10"/>
      <c r="T412" s="11"/>
      <c r="U412" s="11"/>
      <c r="V412" s="11"/>
      <c r="W412" s="21"/>
      <c r="X412" s="21"/>
      <c r="Y412" s="21"/>
      <c r="Z412" s="21"/>
      <c r="AA412" s="21"/>
    </row>
    <row r="413" spans="2:27" ht="15.75" thickBot="1" x14ac:dyDescent="0.3"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10"/>
      <c r="T413" s="11"/>
      <c r="U413" s="11"/>
      <c r="V413" s="11"/>
      <c r="W413" s="21"/>
      <c r="X413" s="21"/>
      <c r="Y413" s="21"/>
      <c r="Z413" s="21"/>
      <c r="AA413" s="21"/>
    </row>
    <row r="414" spans="2:27" ht="15.75" thickBot="1" x14ac:dyDescent="0.3"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10"/>
      <c r="T414" s="11"/>
      <c r="U414" s="11"/>
      <c r="V414" s="11"/>
      <c r="W414" s="21"/>
      <c r="X414" s="21"/>
      <c r="Y414" s="21"/>
      <c r="Z414" s="21"/>
      <c r="AA414" s="21"/>
    </row>
    <row r="415" spans="2:27" ht="15.75" thickBot="1" x14ac:dyDescent="0.3"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10"/>
      <c r="T415" s="11"/>
      <c r="U415" s="11"/>
      <c r="V415" s="11"/>
      <c r="W415" s="21"/>
      <c r="X415" s="21"/>
      <c r="Y415" s="21"/>
      <c r="Z415" s="21"/>
      <c r="AA415" s="21"/>
    </row>
    <row r="416" spans="2:27" ht="15.75" thickBot="1" x14ac:dyDescent="0.3"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10"/>
      <c r="T416" s="11"/>
      <c r="U416" s="11"/>
      <c r="V416" s="11"/>
      <c r="W416" s="21"/>
      <c r="X416" s="21"/>
      <c r="Y416" s="21"/>
      <c r="Z416" s="21"/>
      <c r="AA416" s="21"/>
    </row>
    <row r="417" spans="2:27" ht="15.75" thickBot="1" x14ac:dyDescent="0.3"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10"/>
      <c r="T417" s="11"/>
      <c r="U417" s="11"/>
      <c r="V417" s="11"/>
      <c r="W417" s="21"/>
      <c r="X417" s="21"/>
      <c r="Y417" s="21"/>
      <c r="Z417" s="21"/>
      <c r="AA417" s="21"/>
    </row>
    <row r="418" spans="2:27" ht="15.75" thickBot="1" x14ac:dyDescent="0.3"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10"/>
      <c r="T418" s="11"/>
      <c r="U418" s="11"/>
      <c r="V418" s="11"/>
      <c r="W418" s="21"/>
      <c r="X418" s="21"/>
      <c r="Y418" s="21"/>
      <c r="Z418" s="21"/>
      <c r="AA418" s="21"/>
    </row>
    <row r="419" spans="2:27" ht="15.75" thickBot="1" x14ac:dyDescent="0.3"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10"/>
      <c r="T419" s="11"/>
      <c r="U419" s="11"/>
      <c r="V419" s="11"/>
      <c r="W419" s="21"/>
      <c r="X419" s="21"/>
      <c r="Y419" s="21"/>
      <c r="Z419" s="21"/>
      <c r="AA419" s="21"/>
    </row>
    <row r="420" spans="2:27" ht="15.75" thickBot="1" x14ac:dyDescent="0.3"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10"/>
      <c r="T420" s="11"/>
      <c r="U420" s="11"/>
      <c r="V420" s="11"/>
      <c r="W420" s="21"/>
      <c r="X420" s="21"/>
      <c r="Y420" s="21"/>
      <c r="Z420" s="21"/>
      <c r="AA420" s="21"/>
    </row>
    <row r="421" spans="2:27" ht="15.75" thickBot="1" x14ac:dyDescent="0.3"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10"/>
      <c r="T421" s="11"/>
      <c r="U421" s="11"/>
      <c r="V421" s="11"/>
      <c r="W421" s="21"/>
      <c r="X421" s="21"/>
      <c r="Y421" s="21"/>
      <c r="Z421" s="21"/>
      <c r="AA421" s="21"/>
    </row>
    <row r="422" spans="2:27" ht="15.75" thickBot="1" x14ac:dyDescent="0.3"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10"/>
      <c r="T422" s="11"/>
      <c r="U422" s="11"/>
      <c r="V422" s="11"/>
      <c r="W422" s="21"/>
      <c r="X422" s="21"/>
      <c r="Y422" s="21"/>
      <c r="Z422" s="21"/>
      <c r="AA422" s="21"/>
    </row>
    <row r="423" spans="2:27" ht="15.75" thickBot="1" x14ac:dyDescent="0.3"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10"/>
      <c r="T423" s="11"/>
      <c r="U423" s="11"/>
      <c r="V423" s="11"/>
      <c r="W423" s="21"/>
      <c r="X423" s="21"/>
      <c r="Y423" s="21"/>
      <c r="Z423" s="21"/>
      <c r="AA423" s="21"/>
    </row>
    <row r="424" spans="2:27" ht="15.75" thickBot="1" x14ac:dyDescent="0.3"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10"/>
      <c r="T424" s="11"/>
      <c r="U424" s="11"/>
      <c r="V424" s="11"/>
      <c r="W424" s="21"/>
      <c r="X424" s="21"/>
      <c r="Y424" s="21"/>
      <c r="Z424" s="21"/>
      <c r="AA424" s="21"/>
    </row>
    <row r="425" spans="2:27" ht="15.75" thickBot="1" x14ac:dyDescent="0.3"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10"/>
      <c r="T425" s="11"/>
      <c r="U425" s="11"/>
      <c r="V425" s="11"/>
      <c r="W425" s="21"/>
      <c r="X425" s="21"/>
      <c r="Y425" s="21"/>
      <c r="Z425" s="21"/>
      <c r="AA425" s="21"/>
    </row>
    <row r="426" spans="2:27" ht="15.75" thickBot="1" x14ac:dyDescent="0.3"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10"/>
      <c r="T426" s="11"/>
      <c r="U426" s="11"/>
      <c r="V426" s="11"/>
      <c r="W426" s="21"/>
      <c r="X426" s="21"/>
      <c r="Y426" s="21"/>
      <c r="Z426" s="21"/>
      <c r="AA426" s="21"/>
    </row>
    <row r="427" spans="2:27" ht="15.75" thickBot="1" x14ac:dyDescent="0.3"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10"/>
      <c r="T427" s="11"/>
      <c r="U427" s="11"/>
      <c r="V427" s="11"/>
      <c r="W427" s="21"/>
      <c r="X427" s="21"/>
      <c r="Y427" s="21"/>
      <c r="Z427" s="21"/>
      <c r="AA427" s="21"/>
    </row>
    <row r="428" spans="2:27" ht="15.75" thickBot="1" x14ac:dyDescent="0.3"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10"/>
      <c r="T428" s="11"/>
      <c r="U428" s="11"/>
      <c r="V428" s="11"/>
      <c r="W428" s="21"/>
      <c r="X428" s="21"/>
      <c r="Y428" s="21"/>
      <c r="Z428" s="21"/>
      <c r="AA428" s="21"/>
    </row>
    <row r="429" spans="2:27" ht="15.75" thickBot="1" x14ac:dyDescent="0.3"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10"/>
      <c r="T429" s="11"/>
      <c r="U429" s="11"/>
      <c r="V429" s="11"/>
      <c r="W429" s="21"/>
      <c r="X429" s="21"/>
      <c r="Y429" s="21"/>
      <c r="Z429" s="21"/>
      <c r="AA429" s="21"/>
    </row>
    <row r="430" spans="2:27" ht="15.75" thickBot="1" x14ac:dyDescent="0.3"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10"/>
      <c r="T430" s="11"/>
      <c r="U430" s="11"/>
      <c r="V430" s="11"/>
      <c r="W430" s="21"/>
      <c r="X430" s="21"/>
      <c r="Y430" s="21"/>
      <c r="Z430" s="21"/>
      <c r="AA430" s="21"/>
    </row>
    <row r="431" spans="2:27" ht="15.75" thickBot="1" x14ac:dyDescent="0.3"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10"/>
      <c r="T431" s="11"/>
      <c r="U431" s="11"/>
      <c r="V431" s="11"/>
      <c r="W431" s="21"/>
      <c r="X431" s="21"/>
      <c r="Y431" s="21"/>
      <c r="Z431" s="21"/>
      <c r="AA431" s="21"/>
    </row>
    <row r="432" spans="2:27" ht="15.75" thickBot="1" x14ac:dyDescent="0.3"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10"/>
      <c r="T432" s="11"/>
      <c r="U432" s="11"/>
      <c r="V432" s="11"/>
      <c r="W432" s="21"/>
      <c r="X432" s="21"/>
      <c r="Y432" s="21"/>
      <c r="Z432" s="21"/>
      <c r="AA432" s="21"/>
    </row>
    <row r="433" spans="2:27" ht="15.75" thickBot="1" x14ac:dyDescent="0.3"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10"/>
      <c r="T433" s="11"/>
      <c r="U433" s="11"/>
      <c r="V433" s="11"/>
      <c r="W433" s="21"/>
      <c r="X433" s="21"/>
      <c r="Y433" s="21"/>
      <c r="Z433" s="21"/>
      <c r="AA433" s="21"/>
    </row>
    <row r="434" spans="2:27" ht="15.75" thickBot="1" x14ac:dyDescent="0.3"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10"/>
      <c r="T434" s="11"/>
      <c r="U434" s="11"/>
      <c r="V434" s="11"/>
      <c r="W434" s="21"/>
      <c r="X434" s="21"/>
      <c r="Y434" s="21"/>
      <c r="Z434" s="21"/>
      <c r="AA434" s="21"/>
    </row>
    <row r="435" spans="2:27" ht="15.75" thickBot="1" x14ac:dyDescent="0.3"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10"/>
      <c r="T435" s="11"/>
      <c r="U435" s="11"/>
      <c r="V435" s="11"/>
      <c r="W435" s="21"/>
      <c r="X435" s="21"/>
      <c r="Y435" s="21"/>
      <c r="Z435" s="21"/>
      <c r="AA435" s="21"/>
    </row>
    <row r="436" spans="2:27" ht="15.75" thickBot="1" x14ac:dyDescent="0.3"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10"/>
      <c r="T436" s="11"/>
      <c r="U436" s="11"/>
      <c r="V436" s="11"/>
      <c r="W436" s="21"/>
      <c r="X436" s="21"/>
      <c r="Y436" s="21"/>
      <c r="Z436" s="21"/>
      <c r="AA436" s="21"/>
    </row>
    <row r="437" spans="2:27" ht="15.75" thickBot="1" x14ac:dyDescent="0.3"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10"/>
      <c r="T437" s="11"/>
      <c r="U437" s="11"/>
      <c r="V437" s="11"/>
      <c r="W437" s="21"/>
      <c r="X437" s="21"/>
      <c r="Y437" s="21"/>
      <c r="Z437" s="21"/>
      <c r="AA437" s="21"/>
    </row>
    <row r="438" spans="2:27" ht="15.75" thickBot="1" x14ac:dyDescent="0.3"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10"/>
      <c r="T438" s="11"/>
      <c r="U438" s="11"/>
      <c r="V438" s="11"/>
      <c r="W438" s="21"/>
      <c r="X438" s="21"/>
      <c r="Y438" s="21"/>
      <c r="Z438" s="21"/>
      <c r="AA438" s="21"/>
    </row>
    <row r="439" spans="2:27" ht="15.75" thickBot="1" x14ac:dyDescent="0.3"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10"/>
      <c r="T439" s="11"/>
      <c r="U439" s="11"/>
      <c r="V439" s="11"/>
      <c r="W439" s="21"/>
      <c r="X439" s="21"/>
      <c r="Y439" s="21"/>
      <c r="Z439" s="21"/>
      <c r="AA439" s="21"/>
    </row>
    <row r="440" spans="2:27" ht="15.75" thickBot="1" x14ac:dyDescent="0.3"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10"/>
      <c r="T440" s="11"/>
      <c r="U440" s="11"/>
      <c r="V440" s="11"/>
      <c r="W440" s="21"/>
      <c r="X440" s="21"/>
      <c r="Y440" s="21"/>
      <c r="Z440" s="21"/>
      <c r="AA440" s="21"/>
    </row>
    <row r="441" spans="2:27" ht="15.75" thickBot="1" x14ac:dyDescent="0.3"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10"/>
      <c r="T441" s="11"/>
      <c r="U441" s="11"/>
      <c r="V441" s="11"/>
      <c r="W441" s="21"/>
      <c r="X441" s="21"/>
      <c r="Y441" s="21"/>
      <c r="Z441" s="21"/>
      <c r="AA441" s="21"/>
    </row>
    <row r="442" spans="2:27" ht="15.75" thickBot="1" x14ac:dyDescent="0.3"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10"/>
      <c r="T442" s="11"/>
      <c r="U442" s="11"/>
      <c r="V442" s="11"/>
      <c r="W442" s="21"/>
      <c r="X442" s="21"/>
      <c r="Y442" s="21"/>
      <c r="Z442" s="21"/>
      <c r="AA442" s="21"/>
    </row>
    <row r="443" spans="2:27" ht="15.75" thickBot="1" x14ac:dyDescent="0.3"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10"/>
      <c r="T443" s="11"/>
      <c r="U443" s="11"/>
      <c r="V443" s="11"/>
      <c r="W443" s="21"/>
      <c r="X443" s="21"/>
      <c r="Y443" s="21"/>
      <c r="Z443" s="21"/>
      <c r="AA443" s="21"/>
    </row>
    <row r="444" spans="2:27" ht="15.75" thickBot="1" x14ac:dyDescent="0.3"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10"/>
      <c r="T444" s="11"/>
      <c r="U444" s="11"/>
      <c r="V444" s="11"/>
      <c r="W444" s="21"/>
      <c r="X444" s="21"/>
      <c r="Y444" s="21"/>
      <c r="Z444" s="21"/>
      <c r="AA444" s="21"/>
    </row>
    <row r="445" spans="2:27" ht="15.75" thickBot="1" x14ac:dyDescent="0.3"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10"/>
      <c r="T445" s="11"/>
      <c r="U445" s="11"/>
      <c r="V445" s="11"/>
      <c r="W445" s="21"/>
      <c r="X445" s="21"/>
      <c r="Y445" s="21"/>
      <c r="Z445" s="21"/>
      <c r="AA445" s="21"/>
    </row>
    <row r="446" spans="2:27" ht="15.75" thickBot="1" x14ac:dyDescent="0.3"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10"/>
      <c r="T446" s="11"/>
      <c r="U446" s="11"/>
      <c r="V446" s="11"/>
      <c r="W446" s="21"/>
      <c r="X446" s="21"/>
      <c r="Y446" s="21"/>
      <c r="Z446" s="21"/>
      <c r="AA446" s="21"/>
    </row>
    <row r="447" spans="2:27" ht="15.75" thickBot="1" x14ac:dyDescent="0.3"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10"/>
      <c r="T447" s="11"/>
      <c r="U447" s="11"/>
      <c r="V447" s="11"/>
      <c r="W447" s="21"/>
      <c r="X447" s="21"/>
      <c r="Y447" s="21"/>
      <c r="Z447" s="21"/>
      <c r="AA447" s="21"/>
    </row>
    <row r="448" spans="2:27" ht="15.75" thickBot="1" x14ac:dyDescent="0.3"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10"/>
      <c r="T448" s="11"/>
      <c r="U448" s="11"/>
      <c r="V448" s="11"/>
      <c r="W448" s="21"/>
      <c r="X448" s="21"/>
      <c r="Y448" s="21"/>
      <c r="Z448" s="21"/>
      <c r="AA448" s="21"/>
    </row>
    <row r="449" spans="2:27" ht="15.75" thickBot="1" x14ac:dyDescent="0.3"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10"/>
      <c r="T449" s="11"/>
      <c r="U449" s="11"/>
      <c r="V449" s="11"/>
      <c r="W449" s="21"/>
      <c r="X449" s="21"/>
      <c r="Y449" s="21"/>
      <c r="Z449" s="21"/>
      <c r="AA449" s="21"/>
    </row>
    <row r="450" spans="2:27" ht="15.75" thickBot="1" x14ac:dyDescent="0.3"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10"/>
      <c r="T450" s="11"/>
      <c r="U450" s="11"/>
      <c r="V450" s="11"/>
      <c r="W450" s="21"/>
      <c r="X450" s="21"/>
      <c r="Y450" s="21"/>
      <c r="Z450" s="21"/>
      <c r="AA450" s="21"/>
    </row>
    <row r="451" spans="2:27" ht="15.75" thickBot="1" x14ac:dyDescent="0.3"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10"/>
      <c r="T451" s="11"/>
      <c r="U451" s="11"/>
      <c r="V451" s="11"/>
      <c r="W451" s="21"/>
      <c r="X451" s="21"/>
      <c r="Y451" s="21"/>
      <c r="Z451" s="21"/>
      <c r="AA451" s="21"/>
    </row>
    <row r="452" spans="2:27" ht="15.75" thickBot="1" x14ac:dyDescent="0.3"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10"/>
      <c r="T452" s="11"/>
      <c r="U452" s="11"/>
      <c r="V452" s="11"/>
      <c r="W452" s="21"/>
      <c r="X452" s="21"/>
      <c r="Y452" s="21"/>
      <c r="Z452" s="21"/>
      <c r="AA452" s="21"/>
    </row>
    <row r="453" spans="2:27" ht="15.75" thickBot="1" x14ac:dyDescent="0.3"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10"/>
      <c r="T453" s="11"/>
      <c r="U453" s="11"/>
      <c r="V453" s="11"/>
      <c r="W453" s="21"/>
      <c r="X453" s="21"/>
      <c r="Y453" s="21"/>
      <c r="Z453" s="21"/>
      <c r="AA453" s="21"/>
    </row>
    <row r="454" spans="2:27" ht="15.75" thickBot="1" x14ac:dyDescent="0.3"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10"/>
      <c r="T454" s="11"/>
      <c r="U454" s="11"/>
      <c r="V454" s="11"/>
      <c r="W454" s="21"/>
      <c r="X454" s="21"/>
      <c r="Y454" s="21"/>
      <c r="Z454" s="21"/>
      <c r="AA454" s="21"/>
    </row>
    <row r="455" spans="2:27" ht="15.75" thickBot="1" x14ac:dyDescent="0.3"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10"/>
      <c r="T455" s="11"/>
      <c r="U455" s="11"/>
      <c r="V455" s="11"/>
      <c r="W455" s="21"/>
      <c r="X455" s="21"/>
      <c r="Y455" s="21"/>
      <c r="Z455" s="21"/>
      <c r="AA455" s="21"/>
    </row>
    <row r="456" spans="2:27" ht="15.75" thickBot="1" x14ac:dyDescent="0.3"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10"/>
      <c r="T456" s="11"/>
      <c r="U456" s="11"/>
      <c r="V456" s="11"/>
      <c r="W456" s="21"/>
      <c r="X456" s="21"/>
      <c r="Y456" s="21"/>
      <c r="Z456" s="21"/>
      <c r="AA456" s="21"/>
    </row>
    <row r="457" spans="2:27" ht="15.75" thickBot="1" x14ac:dyDescent="0.3"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10"/>
      <c r="T457" s="11"/>
      <c r="U457" s="11"/>
      <c r="V457" s="11"/>
      <c r="W457" s="21"/>
      <c r="X457" s="21"/>
      <c r="Y457" s="21"/>
      <c r="Z457" s="21"/>
      <c r="AA457" s="21"/>
    </row>
    <row r="458" spans="2:27" ht="15.75" thickBot="1" x14ac:dyDescent="0.3"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10"/>
      <c r="T458" s="11"/>
      <c r="U458" s="11"/>
      <c r="V458" s="11"/>
      <c r="W458" s="21"/>
      <c r="X458" s="21"/>
      <c r="Y458" s="21"/>
      <c r="Z458" s="21"/>
      <c r="AA458" s="21"/>
    </row>
    <row r="459" spans="2:27" ht="15.75" thickBot="1" x14ac:dyDescent="0.3"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10"/>
      <c r="T459" s="11"/>
      <c r="U459" s="11"/>
      <c r="V459" s="11"/>
      <c r="W459" s="21"/>
      <c r="X459" s="21"/>
      <c r="Y459" s="21"/>
      <c r="Z459" s="21"/>
      <c r="AA459" s="21"/>
    </row>
    <row r="460" spans="2:27" ht="15.75" thickBot="1" x14ac:dyDescent="0.3"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10"/>
      <c r="T460" s="11"/>
      <c r="U460" s="11"/>
      <c r="V460" s="11"/>
      <c r="W460" s="21"/>
      <c r="X460" s="21"/>
      <c r="Y460" s="21"/>
      <c r="Z460" s="21"/>
      <c r="AA460" s="21"/>
    </row>
    <row r="461" spans="2:27" ht="15.75" thickBot="1" x14ac:dyDescent="0.3"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10"/>
      <c r="T461" s="11"/>
      <c r="U461" s="11"/>
      <c r="V461" s="11"/>
      <c r="W461" s="21"/>
      <c r="X461" s="21"/>
      <c r="Y461" s="21"/>
      <c r="Z461" s="21"/>
      <c r="AA461" s="21"/>
    </row>
    <row r="462" spans="2:27" ht="15.75" thickBot="1" x14ac:dyDescent="0.3"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10"/>
      <c r="T462" s="11"/>
      <c r="U462" s="11"/>
      <c r="V462" s="11"/>
      <c r="W462" s="21"/>
      <c r="X462" s="21"/>
      <c r="Y462" s="21"/>
      <c r="Z462" s="21"/>
      <c r="AA462" s="21"/>
    </row>
    <row r="463" spans="2:27" ht="15.75" thickBot="1" x14ac:dyDescent="0.3"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10"/>
      <c r="T463" s="11"/>
      <c r="U463" s="11"/>
      <c r="V463" s="11"/>
      <c r="W463" s="21"/>
      <c r="X463" s="21"/>
      <c r="Y463" s="21"/>
      <c r="Z463" s="21"/>
      <c r="AA463" s="21"/>
    </row>
    <row r="464" spans="2:27" ht="15.75" thickBot="1" x14ac:dyDescent="0.3"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10"/>
      <c r="T464" s="11"/>
      <c r="U464" s="11"/>
      <c r="V464" s="11"/>
      <c r="W464" s="21"/>
      <c r="X464" s="21"/>
      <c r="Y464" s="21"/>
      <c r="Z464" s="21"/>
      <c r="AA464" s="21"/>
    </row>
    <row r="465" spans="2:27" ht="15.75" thickBot="1" x14ac:dyDescent="0.3"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10"/>
      <c r="T465" s="11"/>
      <c r="U465" s="11"/>
      <c r="V465" s="11"/>
      <c r="W465" s="21"/>
      <c r="X465" s="21"/>
      <c r="Y465" s="21"/>
      <c r="Z465" s="21"/>
      <c r="AA465" s="21"/>
    </row>
    <row r="466" spans="2:27" ht="15.75" thickBot="1" x14ac:dyDescent="0.3"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10"/>
      <c r="T466" s="11"/>
      <c r="U466" s="11"/>
      <c r="V466" s="11"/>
      <c r="W466" s="21"/>
      <c r="X466" s="21"/>
      <c r="Y466" s="21"/>
      <c r="Z466" s="21"/>
      <c r="AA466" s="21"/>
    </row>
    <row r="467" spans="2:27" ht="15.75" thickBot="1" x14ac:dyDescent="0.3"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10"/>
      <c r="T467" s="11"/>
      <c r="U467" s="11"/>
      <c r="V467" s="11"/>
      <c r="W467" s="21"/>
      <c r="X467" s="21"/>
      <c r="Y467" s="21"/>
      <c r="Z467" s="21"/>
      <c r="AA467" s="21"/>
    </row>
    <row r="468" spans="2:27" ht="15.75" thickBot="1" x14ac:dyDescent="0.3"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10"/>
      <c r="T468" s="11"/>
      <c r="U468" s="11"/>
      <c r="V468" s="11"/>
      <c r="W468" s="21"/>
      <c r="X468" s="21"/>
      <c r="Y468" s="21"/>
      <c r="Z468" s="21"/>
      <c r="AA468" s="21"/>
    </row>
    <row r="469" spans="2:27" ht="15.75" thickBot="1" x14ac:dyDescent="0.3"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10"/>
      <c r="T469" s="11"/>
      <c r="U469" s="11"/>
      <c r="V469" s="11"/>
      <c r="W469" s="21"/>
      <c r="X469" s="21"/>
      <c r="Y469" s="21"/>
      <c r="Z469" s="21"/>
      <c r="AA469" s="21"/>
    </row>
    <row r="470" spans="2:27" ht="15.75" thickBot="1" x14ac:dyDescent="0.3"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10"/>
      <c r="T470" s="11"/>
      <c r="U470" s="11"/>
      <c r="V470" s="11"/>
      <c r="W470" s="21"/>
      <c r="X470" s="21"/>
      <c r="Y470" s="21"/>
      <c r="Z470" s="21"/>
      <c r="AA470" s="21"/>
    </row>
    <row r="471" spans="2:27" ht="15.75" thickBot="1" x14ac:dyDescent="0.3"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10"/>
      <c r="T471" s="11"/>
      <c r="U471" s="11"/>
      <c r="V471" s="11"/>
      <c r="W471" s="21"/>
      <c r="X471" s="21"/>
      <c r="Y471" s="21"/>
      <c r="Z471" s="21"/>
      <c r="AA471" s="21"/>
    </row>
    <row r="472" spans="2:27" ht="15.75" thickBot="1" x14ac:dyDescent="0.3"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10"/>
      <c r="T472" s="11"/>
      <c r="U472" s="11"/>
      <c r="V472" s="11"/>
      <c r="W472" s="21"/>
      <c r="X472" s="21"/>
      <c r="Y472" s="21"/>
      <c r="Z472" s="21"/>
      <c r="AA472" s="21"/>
    </row>
    <row r="473" spans="2:27" ht="15.75" thickBot="1" x14ac:dyDescent="0.3"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10"/>
      <c r="T473" s="11"/>
      <c r="U473" s="11"/>
      <c r="V473" s="11"/>
      <c r="W473" s="21"/>
      <c r="X473" s="21"/>
      <c r="Y473" s="21"/>
      <c r="Z473" s="21"/>
      <c r="AA473" s="21"/>
    </row>
    <row r="474" spans="2:27" ht="15.75" thickBot="1" x14ac:dyDescent="0.3"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10"/>
      <c r="T474" s="11"/>
      <c r="U474" s="11"/>
      <c r="V474" s="11"/>
      <c r="W474" s="21"/>
      <c r="X474" s="21"/>
      <c r="Y474" s="21"/>
      <c r="Z474" s="21"/>
      <c r="AA474" s="21"/>
    </row>
    <row r="475" spans="2:27" ht="15.75" thickBot="1" x14ac:dyDescent="0.3"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10"/>
      <c r="T475" s="11"/>
      <c r="U475" s="11"/>
      <c r="V475" s="11"/>
      <c r="W475" s="21"/>
      <c r="X475" s="21"/>
      <c r="Y475" s="21"/>
      <c r="Z475" s="21"/>
      <c r="AA475" s="21"/>
    </row>
    <row r="476" spans="2:27" ht="15.75" thickBot="1" x14ac:dyDescent="0.3"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10"/>
      <c r="T476" s="11"/>
      <c r="U476" s="11"/>
      <c r="V476" s="11"/>
      <c r="W476" s="21"/>
      <c r="X476" s="21"/>
      <c r="Y476" s="21"/>
      <c r="Z476" s="21"/>
      <c r="AA476" s="21"/>
    </row>
    <row r="477" spans="2:27" ht="15.75" thickBot="1" x14ac:dyDescent="0.3"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10"/>
      <c r="T477" s="11"/>
      <c r="U477" s="11"/>
      <c r="V477" s="11"/>
      <c r="W477" s="21"/>
      <c r="X477" s="21"/>
      <c r="Y477" s="21"/>
      <c r="Z477" s="21"/>
      <c r="AA477" s="21"/>
    </row>
    <row r="478" spans="2:27" ht="15.75" thickBot="1" x14ac:dyDescent="0.3"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10"/>
      <c r="T478" s="11"/>
      <c r="U478" s="11"/>
      <c r="V478" s="11"/>
      <c r="W478" s="21"/>
      <c r="X478" s="21"/>
      <c r="Y478" s="21"/>
      <c r="Z478" s="21"/>
      <c r="AA478" s="21"/>
    </row>
    <row r="479" spans="2:27" ht="15.75" thickBot="1" x14ac:dyDescent="0.3"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10"/>
      <c r="T479" s="11"/>
      <c r="U479" s="11"/>
      <c r="V479" s="11"/>
      <c r="W479" s="21"/>
      <c r="X479" s="21"/>
      <c r="Y479" s="21"/>
      <c r="Z479" s="21"/>
      <c r="AA479" s="21"/>
    </row>
    <row r="480" spans="2:27" ht="15.75" thickBot="1" x14ac:dyDescent="0.3"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10"/>
      <c r="T480" s="11"/>
      <c r="U480" s="11"/>
      <c r="V480" s="11"/>
      <c r="W480" s="21"/>
      <c r="X480" s="21"/>
      <c r="Y480" s="21"/>
      <c r="Z480" s="21"/>
      <c r="AA480" s="21"/>
    </row>
    <row r="481" spans="2:27" ht="15.75" thickBot="1" x14ac:dyDescent="0.3"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10"/>
      <c r="T481" s="11"/>
      <c r="U481" s="11"/>
      <c r="V481" s="11"/>
      <c r="W481" s="21"/>
      <c r="X481" s="21"/>
      <c r="Y481" s="21"/>
      <c r="Z481" s="21"/>
      <c r="AA481" s="21"/>
    </row>
    <row r="482" spans="2:27" ht="15.75" thickBot="1" x14ac:dyDescent="0.3"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10"/>
      <c r="T482" s="11"/>
      <c r="U482" s="11"/>
      <c r="V482" s="11"/>
      <c r="W482" s="21"/>
      <c r="X482" s="21"/>
      <c r="Y482" s="21"/>
      <c r="Z482" s="21"/>
      <c r="AA482" s="21"/>
    </row>
    <row r="483" spans="2:27" ht="15.75" thickBot="1" x14ac:dyDescent="0.3"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10"/>
      <c r="T483" s="11"/>
      <c r="U483" s="11"/>
      <c r="V483" s="11"/>
      <c r="W483" s="21"/>
      <c r="X483" s="21"/>
      <c r="Y483" s="21"/>
      <c r="Z483" s="21"/>
      <c r="AA483" s="21"/>
    </row>
    <row r="484" spans="2:27" ht="15.75" thickBot="1" x14ac:dyDescent="0.3"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10"/>
      <c r="T484" s="11"/>
      <c r="U484" s="11"/>
      <c r="V484" s="11"/>
      <c r="W484" s="21"/>
      <c r="X484" s="21"/>
      <c r="Y484" s="21"/>
      <c r="Z484" s="21"/>
      <c r="AA484" s="21"/>
    </row>
    <row r="485" spans="2:27" ht="15.75" thickBot="1" x14ac:dyDescent="0.3"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10"/>
      <c r="T485" s="11"/>
      <c r="U485" s="11"/>
      <c r="V485" s="11"/>
      <c r="W485" s="21"/>
      <c r="X485" s="21"/>
      <c r="Y485" s="21"/>
      <c r="Z485" s="21"/>
      <c r="AA485" s="21"/>
    </row>
    <row r="486" spans="2:27" ht="15.75" thickBot="1" x14ac:dyDescent="0.3"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10"/>
      <c r="T486" s="11"/>
      <c r="U486" s="11"/>
      <c r="V486" s="11"/>
      <c r="W486" s="21"/>
      <c r="X486" s="21"/>
      <c r="Y486" s="21"/>
      <c r="Z486" s="21"/>
      <c r="AA486" s="21"/>
    </row>
    <row r="487" spans="2:27" ht="15.75" thickBot="1" x14ac:dyDescent="0.3"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10"/>
      <c r="T487" s="11"/>
      <c r="U487" s="11"/>
      <c r="V487" s="11"/>
      <c r="W487" s="21"/>
      <c r="X487" s="21"/>
      <c r="Y487" s="21"/>
      <c r="Z487" s="21"/>
      <c r="AA487" s="21"/>
    </row>
    <row r="488" spans="2:27" ht="15.75" thickBot="1" x14ac:dyDescent="0.3"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10"/>
      <c r="T488" s="11"/>
      <c r="U488" s="11"/>
      <c r="V488" s="11"/>
      <c r="W488" s="21"/>
      <c r="X488" s="21"/>
      <c r="Y488" s="21"/>
      <c r="Z488" s="21"/>
      <c r="AA488" s="21"/>
    </row>
    <row r="489" spans="2:27" ht="15.75" thickBot="1" x14ac:dyDescent="0.3"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10"/>
      <c r="T489" s="11"/>
      <c r="U489" s="11"/>
      <c r="V489" s="11"/>
      <c r="W489" s="21"/>
      <c r="X489" s="21"/>
      <c r="Y489" s="21"/>
      <c r="Z489" s="21"/>
      <c r="AA489" s="21"/>
    </row>
    <row r="490" spans="2:27" ht="15.75" thickBot="1" x14ac:dyDescent="0.3"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10"/>
      <c r="T490" s="11"/>
      <c r="U490" s="11"/>
      <c r="V490" s="11"/>
      <c r="W490" s="21"/>
      <c r="X490" s="21"/>
      <c r="Y490" s="21"/>
      <c r="Z490" s="21"/>
      <c r="AA490" s="21"/>
    </row>
    <row r="491" spans="2:27" ht="15.75" thickBot="1" x14ac:dyDescent="0.3"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10"/>
      <c r="T491" s="11"/>
      <c r="U491" s="11"/>
      <c r="V491" s="11"/>
      <c r="W491" s="21"/>
      <c r="X491" s="21"/>
      <c r="Y491" s="21"/>
      <c r="Z491" s="21"/>
      <c r="AA491" s="21"/>
    </row>
    <row r="492" spans="2:27" ht="15.75" thickBot="1" x14ac:dyDescent="0.3"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10"/>
      <c r="T492" s="11"/>
      <c r="U492" s="11"/>
      <c r="V492" s="11"/>
      <c r="W492" s="21"/>
      <c r="X492" s="21"/>
      <c r="Y492" s="21"/>
      <c r="Z492" s="21"/>
      <c r="AA492" s="21"/>
    </row>
    <row r="493" spans="2:27" ht="15.75" thickBot="1" x14ac:dyDescent="0.3"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10"/>
      <c r="T493" s="11"/>
      <c r="U493" s="11"/>
      <c r="V493" s="11"/>
      <c r="W493" s="21"/>
      <c r="X493" s="21"/>
      <c r="Y493" s="21"/>
      <c r="Z493" s="21"/>
      <c r="AA493" s="21"/>
    </row>
    <row r="494" spans="2:27" ht="15.75" thickBot="1" x14ac:dyDescent="0.3"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10"/>
      <c r="T494" s="11"/>
      <c r="U494" s="11"/>
      <c r="V494" s="11"/>
      <c r="W494" s="21"/>
      <c r="X494" s="21"/>
      <c r="Y494" s="21"/>
      <c r="Z494" s="21"/>
      <c r="AA494" s="21"/>
    </row>
    <row r="495" spans="2:27" ht="15.75" thickBot="1" x14ac:dyDescent="0.3"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10"/>
      <c r="T495" s="11"/>
      <c r="U495" s="11"/>
      <c r="V495" s="11"/>
      <c r="W495" s="21"/>
      <c r="X495" s="21"/>
      <c r="Y495" s="21"/>
      <c r="Z495" s="21"/>
      <c r="AA495" s="21"/>
    </row>
    <row r="496" spans="2:27" ht="15.75" thickBot="1" x14ac:dyDescent="0.3"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10"/>
      <c r="T496" s="11"/>
      <c r="U496" s="11"/>
      <c r="V496" s="11"/>
      <c r="W496" s="21"/>
      <c r="X496" s="21"/>
      <c r="Y496" s="21"/>
      <c r="Z496" s="21"/>
      <c r="AA496" s="21"/>
    </row>
    <row r="497" spans="2:27" ht="15.75" thickBot="1" x14ac:dyDescent="0.3"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10"/>
      <c r="T497" s="11"/>
      <c r="U497" s="11"/>
      <c r="V497" s="11"/>
      <c r="W497" s="21"/>
      <c r="X497" s="21"/>
      <c r="Y497" s="21"/>
      <c r="Z497" s="21"/>
      <c r="AA497" s="21"/>
    </row>
    <row r="498" spans="2:27" ht="15.75" thickBot="1" x14ac:dyDescent="0.3"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10"/>
      <c r="T498" s="11"/>
      <c r="U498" s="11"/>
      <c r="V498" s="11"/>
      <c r="W498" s="21"/>
      <c r="X498" s="21"/>
      <c r="Y498" s="21"/>
      <c r="Z498" s="21"/>
      <c r="AA498" s="21"/>
    </row>
    <row r="499" spans="2:27" ht="15.75" thickBot="1" x14ac:dyDescent="0.3"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10"/>
      <c r="T499" s="11"/>
      <c r="U499" s="11"/>
      <c r="V499" s="11"/>
      <c r="W499" s="21"/>
      <c r="X499" s="21"/>
      <c r="Y499" s="21"/>
      <c r="Z499" s="21"/>
      <c r="AA499" s="21"/>
    </row>
    <row r="500" spans="2:27" ht="15.75" thickBot="1" x14ac:dyDescent="0.3"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10"/>
      <c r="T500" s="11"/>
      <c r="U500" s="11"/>
      <c r="V500" s="11"/>
      <c r="W500" s="21"/>
      <c r="X500" s="21"/>
      <c r="Y500" s="21"/>
      <c r="Z500" s="21"/>
      <c r="AA500" s="21"/>
    </row>
    <row r="501" spans="2:27" ht="15.75" thickBot="1" x14ac:dyDescent="0.3"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10"/>
      <c r="T501" s="11"/>
      <c r="U501" s="11"/>
      <c r="V501" s="11"/>
      <c r="W501" s="21"/>
      <c r="X501" s="21"/>
      <c r="Y501" s="21"/>
      <c r="Z501" s="21"/>
      <c r="AA501" s="21"/>
    </row>
    <row r="502" spans="2:27" ht="15.75" thickBot="1" x14ac:dyDescent="0.3"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10"/>
      <c r="T502" s="11"/>
      <c r="U502" s="11"/>
      <c r="V502" s="11"/>
      <c r="W502" s="21"/>
      <c r="X502" s="21"/>
      <c r="Y502" s="21"/>
      <c r="Z502" s="21"/>
      <c r="AA502" s="21"/>
    </row>
    <row r="503" spans="2:27" ht="15.75" thickBot="1" x14ac:dyDescent="0.3"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10"/>
      <c r="T503" s="11"/>
      <c r="U503" s="11"/>
      <c r="V503" s="11"/>
      <c r="W503" s="21"/>
      <c r="X503" s="21"/>
      <c r="Y503" s="21"/>
      <c r="Z503" s="21"/>
      <c r="AA503" s="21"/>
    </row>
    <row r="504" spans="2:27" ht="15.75" thickBot="1" x14ac:dyDescent="0.3"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10"/>
      <c r="T504" s="11"/>
      <c r="U504" s="11"/>
      <c r="V504" s="11"/>
      <c r="W504" s="21"/>
      <c r="X504" s="21"/>
      <c r="Y504" s="21"/>
      <c r="Z504" s="21"/>
      <c r="AA504" s="21"/>
    </row>
    <row r="505" spans="2:27" ht="15.75" thickBot="1" x14ac:dyDescent="0.3"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10"/>
      <c r="T505" s="11"/>
      <c r="U505" s="11"/>
      <c r="V505" s="11"/>
      <c r="W505" s="21"/>
      <c r="X505" s="21"/>
      <c r="Y505" s="21"/>
      <c r="Z505" s="21"/>
      <c r="AA505" s="21"/>
    </row>
    <row r="506" spans="2:27" ht="15.75" thickBot="1" x14ac:dyDescent="0.3"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10"/>
      <c r="T506" s="11"/>
      <c r="U506" s="11"/>
      <c r="V506" s="11"/>
      <c r="W506" s="21"/>
      <c r="X506" s="21"/>
      <c r="Y506" s="21"/>
      <c r="Z506" s="21"/>
      <c r="AA506" s="21"/>
    </row>
    <row r="507" spans="2:27" ht="15.75" thickBot="1" x14ac:dyDescent="0.3"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10"/>
      <c r="T507" s="11"/>
      <c r="U507" s="11"/>
      <c r="V507" s="11"/>
      <c r="W507" s="21"/>
      <c r="X507" s="21"/>
      <c r="Y507" s="21"/>
      <c r="Z507" s="21"/>
      <c r="AA507" s="21"/>
    </row>
    <row r="508" spans="2:27" ht="15.75" thickBot="1" x14ac:dyDescent="0.3"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10"/>
      <c r="T508" s="11"/>
      <c r="U508" s="11"/>
      <c r="V508" s="11"/>
      <c r="W508" s="21"/>
      <c r="X508" s="21"/>
      <c r="Y508" s="21"/>
      <c r="Z508" s="21"/>
      <c r="AA508" s="21"/>
    </row>
    <row r="509" spans="2:27" ht="15.75" thickBot="1" x14ac:dyDescent="0.3"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10"/>
      <c r="T509" s="11"/>
      <c r="U509" s="11"/>
      <c r="V509" s="11"/>
      <c r="W509" s="21"/>
      <c r="X509" s="21"/>
      <c r="Y509" s="21"/>
      <c r="Z509" s="21"/>
      <c r="AA509" s="21"/>
    </row>
    <row r="510" spans="2:27" ht="15.75" thickBot="1" x14ac:dyDescent="0.3"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10"/>
      <c r="T510" s="11"/>
      <c r="U510" s="11"/>
      <c r="V510" s="11"/>
      <c r="W510" s="21"/>
      <c r="X510" s="21"/>
      <c r="Y510" s="21"/>
      <c r="Z510" s="21"/>
      <c r="AA510" s="21"/>
    </row>
    <row r="511" spans="2:27" ht="15.75" thickBot="1" x14ac:dyDescent="0.3"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10"/>
      <c r="T511" s="11"/>
      <c r="U511" s="11"/>
      <c r="V511" s="11"/>
      <c r="W511" s="21"/>
      <c r="X511" s="21"/>
      <c r="Y511" s="21"/>
      <c r="Z511" s="21"/>
      <c r="AA511" s="21"/>
    </row>
    <row r="512" spans="2:27" ht="15.75" thickBot="1" x14ac:dyDescent="0.3"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10"/>
      <c r="T512" s="11"/>
      <c r="U512" s="11"/>
      <c r="V512" s="11"/>
      <c r="W512" s="21"/>
      <c r="X512" s="21"/>
      <c r="Y512" s="21"/>
      <c r="Z512" s="21"/>
      <c r="AA512" s="21"/>
    </row>
    <row r="513" spans="2:27" ht="15.75" thickBot="1" x14ac:dyDescent="0.3"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10"/>
      <c r="T513" s="11"/>
      <c r="U513" s="11"/>
      <c r="V513" s="11"/>
      <c r="W513" s="21"/>
      <c r="X513" s="21"/>
      <c r="Y513" s="21"/>
      <c r="Z513" s="21"/>
      <c r="AA513" s="21"/>
    </row>
    <row r="514" spans="2:27" ht="15.75" thickBot="1" x14ac:dyDescent="0.3"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10"/>
      <c r="T514" s="11"/>
      <c r="U514" s="11"/>
      <c r="V514" s="11"/>
      <c r="W514" s="21"/>
      <c r="X514" s="21"/>
      <c r="Y514" s="21"/>
      <c r="Z514" s="21"/>
      <c r="AA514" s="21"/>
    </row>
    <row r="515" spans="2:27" ht="15.75" thickBot="1" x14ac:dyDescent="0.3"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10"/>
      <c r="T515" s="11"/>
      <c r="U515" s="11"/>
      <c r="V515" s="11"/>
      <c r="W515" s="21"/>
      <c r="X515" s="21"/>
      <c r="Y515" s="21"/>
      <c r="Z515" s="21"/>
      <c r="AA515" s="21"/>
    </row>
    <row r="516" spans="2:27" ht="15.75" thickBot="1" x14ac:dyDescent="0.3"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10"/>
      <c r="T516" s="11"/>
      <c r="U516" s="11"/>
      <c r="V516" s="11"/>
      <c r="W516" s="21"/>
      <c r="X516" s="21"/>
      <c r="Y516" s="21"/>
      <c r="Z516" s="21"/>
      <c r="AA516" s="21"/>
    </row>
    <row r="517" spans="2:27" ht="15.75" thickBot="1" x14ac:dyDescent="0.3"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10"/>
      <c r="T517" s="11"/>
      <c r="U517" s="11"/>
      <c r="V517" s="11"/>
      <c r="W517" s="21"/>
      <c r="X517" s="21"/>
      <c r="Y517" s="21"/>
      <c r="Z517" s="21"/>
      <c r="AA517" s="21"/>
    </row>
    <row r="518" spans="2:27" ht="15.75" thickBot="1" x14ac:dyDescent="0.3"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10"/>
      <c r="T518" s="11"/>
      <c r="U518" s="11"/>
      <c r="V518" s="11"/>
      <c r="W518" s="21"/>
      <c r="X518" s="21"/>
      <c r="Y518" s="21"/>
      <c r="Z518" s="21"/>
      <c r="AA518" s="21"/>
    </row>
    <row r="519" spans="2:27" ht="15.75" thickBot="1" x14ac:dyDescent="0.3"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10"/>
      <c r="T519" s="11"/>
      <c r="U519" s="11"/>
      <c r="V519" s="11"/>
      <c r="W519" s="21"/>
      <c r="X519" s="21"/>
      <c r="Y519" s="21"/>
      <c r="Z519" s="21"/>
      <c r="AA519" s="21"/>
    </row>
    <row r="520" spans="2:27" ht="15.75" thickBot="1" x14ac:dyDescent="0.3"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10"/>
      <c r="T520" s="11"/>
      <c r="U520" s="11"/>
      <c r="V520" s="11"/>
      <c r="W520" s="21"/>
      <c r="X520" s="21"/>
      <c r="Y520" s="21"/>
      <c r="Z520" s="21"/>
      <c r="AA520" s="21"/>
    </row>
    <row r="521" spans="2:27" ht="15.75" thickBot="1" x14ac:dyDescent="0.3"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10"/>
      <c r="T521" s="11"/>
      <c r="U521" s="11"/>
      <c r="V521" s="11"/>
      <c r="W521" s="21"/>
      <c r="X521" s="21"/>
      <c r="Y521" s="21"/>
      <c r="Z521" s="21"/>
      <c r="AA521" s="21"/>
    </row>
    <row r="522" spans="2:27" ht="15.75" thickBot="1" x14ac:dyDescent="0.3"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10"/>
      <c r="T522" s="11"/>
      <c r="U522" s="11"/>
      <c r="V522" s="11"/>
      <c r="W522" s="21"/>
      <c r="X522" s="21"/>
      <c r="Y522" s="21"/>
      <c r="Z522" s="21"/>
      <c r="AA522" s="21"/>
    </row>
    <row r="523" spans="2:27" ht="15.75" thickBot="1" x14ac:dyDescent="0.3"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10"/>
      <c r="T523" s="11"/>
      <c r="U523" s="11"/>
      <c r="V523" s="11"/>
      <c r="W523" s="21"/>
      <c r="X523" s="21"/>
      <c r="Y523" s="21"/>
      <c r="Z523" s="21"/>
      <c r="AA523" s="21"/>
    </row>
    <row r="524" spans="2:27" ht="15.75" thickBot="1" x14ac:dyDescent="0.3"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10"/>
      <c r="T524" s="11"/>
      <c r="U524" s="11"/>
      <c r="V524" s="11"/>
      <c r="W524" s="21"/>
      <c r="X524" s="21"/>
      <c r="Y524" s="21"/>
      <c r="Z524" s="21"/>
      <c r="AA524" s="21"/>
    </row>
    <row r="525" spans="2:27" ht="15.75" thickBot="1" x14ac:dyDescent="0.3"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10"/>
      <c r="T525" s="11"/>
      <c r="U525" s="11"/>
      <c r="V525" s="11"/>
      <c r="W525" s="21"/>
      <c r="X525" s="21"/>
      <c r="Y525" s="21"/>
      <c r="Z525" s="21"/>
      <c r="AA525" s="21"/>
    </row>
    <row r="526" spans="2:27" ht="15.75" thickBot="1" x14ac:dyDescent="0.3"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10"/>
      <c r="T526" s="11"/>
      <c r="U526" s="11"/>
      <c r="V526" s="11"/>
      <c r="W526" s="21"/>
      <c r="X526" s="21"/>
      <c r="Y526" s="21"/>
      <c r="Z526" s="21"/>
      <c r="AA526" s="21"/>
    </row>
    <row r="527" spans="2:27" ht="15.75" thickBot="1" x14ac:dyDescent="0.3"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10"/>
      <c r="T527" s="11"/>
      <c r="U527" s="11"/>
      <c r="V527" s="11"/>
      <c r="W527" s="21"/>
      <c r="X527" s="21"/>
      <c r="Y527" s="21"/>
      <c r="Z527" s="21"/>
      <c r="AA527" s="21"/>
    </row>
    <row r="528" spans="2:27" ht="15.75" thickBot="1" x14ac:dyDescent="0.3"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10"/>
      <c r="T528" s="11"/>
      <c r="U528" s="11"/>
      <c r="V528" s="11"/>
      <c r="W528" s="21"/>
      <c r="X528" s="21"/>
      <c r="Y528" s="21"/>
      <c r="Z528" s="21"/>
      <c r="AA528" s="21"/>
    </row>
    <row r="529" spans="2:27" ht="15.75" thickBot="1" x14ac:dyDescent="0.3"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10"/>
      <c r="T529" s="11"/>
      <c r="U529" s="11"/>
      <c r="V529" s="11"/>
      <c r="W529" s="21"/>
      <c r="X529" s="21"/>
      <c r="Y529" s="21"/>
      <c r="Z529" s="21"/>
      <c r="AA529" s="21"/>
    </row>
    <row r="530" spans="2:27" ht="15.75" thickBot="1" x14ac:dyDescent="0.3"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10"/>
      <c r="T530" s="11"/>
      <c r="U530" s="11"/>
      <c r="V530" s="11"/>
      <c r="W530" s="21"/>
      <c r="X530" s="21"/>
      <c r="Y530" s="21"/>
      <c r="Z530" s="21"/>
      <c r="AA530" s="21"/>
    </row>
    <row r="531" spans="2:27" ht="15.75" thickBot="1" x14ac:dyDescent="0.3"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10"/>
      <c r="T531" s="11"/>
      <c r="U531" s="11"/>
      <c r="V531" s="11"/>
      <c r="W531" s="21"/>
      <c r="X531" s="21"/>
      <c r="Y531" s="21"/>
      <c r="Z531" s="21"/>
      <c r="AA531" s="21"/>
    </row>
    <row r="532" spans="2:27" ht="15.75" thickBot="1" x14ac:dyDescent="0.3"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10"/>
      <c r="T532" s="11"/>
      <c r="U532" s="11"/>
      <c r="V532" s="11"/>
      <c r="W532" s="21"/>
      <c r="X532" s="21"/>
      <c r="Y532" s="21"/>
      <c r="Z532" s="21"/>
      <c r="AA532" s="21"/>
    </row>
    <row r="533" spans="2:27" ht="15.75" thickBot="1" x14ac:dyDescent="0.3"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10"/>
      <c r="T533" s="11"/>
      <c r="U533" s="11"/>
      <c r="V533" s="11"/>
      <c r="W533" s="21"/>
      <c r="X533" s="21"/>
      <c r="Y533" s="21"/>
      <c r="Z533" s="21"/>
      <c r="AA533" s="21"/>
    </row>
    <row r="534" spans="2:27" ht="15.75" thickBot="1" x14ac:dyDescent="0.3"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10"/>
      <c r="T534" s="11"/>
      <c r="U534" s="11"/>
      <c r="V534" s="11"/>
      <c r="W534" s="21"/>
      <c r="X534" s="21"/>
      <c r="Y534" s="21"/>
      <c r="Z534" s="21"/>
      <c r="AA534" s="21"/>
    </row>
    <row r="535" spans="2:27" ht="15.75" thickBot="1" x14ac:dyDescent="0.3"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10"/>
      <c r="T535" s="11"/>
      <c r="U535" s="11"/>
      <c r="V535" s="11"/>
      <c r="W535" s="21"/>
      <c r="X535" s="21"/>
      <c r="Y535" s="21"/>
      <c r="Z535" s="21"/>
      <c r="AA535" s="21"/>
    </row>
    <row r="536" spans="2:27" ht="15.75" thickBot="1" x14ac:dyDescent="0.3"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10"/>
      <c r="T536" s="11"/>
      <c r="U536" s="11"/>
      <c r="V536" s="11"/>
      <c r="W536" s="21"/>
      <c r="X536" s="21"/>
      <c r="Y536" s="21"/>
      <c r="Z536" s="21"/>
      <c r="AA536" s="21"/>
    </row>
    <row r="537" spans="2:27" ht="15.75" thickBot="1" x14ac:dyDescent="0.3"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10"/>
      <c r="T537" s="11"/>
      <c r="U537" s="11"/>
      <c r="V537" s="11"/>
      <c r="W537" s="21"/>
      <c r="X537" s="21"/>
      <c r="Y537" s="21"/>
      <c r="Z537" s="21"/>
      <c r="AA537" s="21"/>
    </row>
    <row r="538" spans="2:27" ht="15.75" thickBot="1" x14ac:dyDescent="0.3"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10"/>
      <c r="T538" s="11"/>
      <c r="U538" s="11"/>
      <c r="V538" s="11"/>
      <c r="W538" s="21"/>
      <c r="X538" s="21"/>
      <c r="Y538" s="21"/>
      <c r="Z538" s="21"/>
      <c r="AA538" s="21"/>
    </row>
    <row r="539" spans="2:27" ht="15.75" thickBot="1" x14ac:dyDescent="0.3"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10"/>
      <c r="T539" s="11"/>
      <c r="U539" s="11"/>
      <c r="V539" s="11"/>
      <c r="W539" s="21"/>
      <c r="X539" s="21"/>
      <c r="Y539" s="21"/>
      <c r="Z539" s="21"/>
      <c r="AA539" s="21"/>
    </row>
    <row r="540" spans="2:27" ht="15.75" thickBot="1" x14ac:dyDescent="0.3"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10"/>
      <c r="T540" s="11"/>
      <c r="U540" s="11"/>
      <c r="V540" s="11"/>
      <c r="W540" s="21"/>
      <c r="X540" s="21"/>
      <c r="Y540" s="21"/>
      <c r="Z540" s="21"/>
      <c r="AA540" s="21"/>
    </row>
    <row r="541" spans="2:27" ht="15.75" thickBot="1" x14ac:dyDescent="0.3"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10"/>
      <c r="T541" s="11"/>
      <c r="U541" s="11"/>
      <c r="V541" s="11"/>
      <c r="W541" s="21"/>
      <c r="X541" s="21"/>
      <c r="Y541" s="21"/>
      <c r="Z541" s="21"/>
      <c r="AA541" s="21"/>
    </row>
    <row r="542" spans="2:27" ht="15.75" thickBot="1" x14ac:dyDescent="0.3"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10"/>
      <c r="T542" s="11"/>
      <c r="U542" s="11"/>
      <c r="V542" s="11"/>
      <c r="W542" s="21"/>
      <c r="X542" s="21"/>
      <c r="Y542" s="21"/>
      <c r="Z542" s="21"/>
      <c r="AA542" s="21"/>
    </row>
    <row r="543" spans="2:27" ht="15.75" thickBot="1" x14ac:dyDescent="0.3"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10"/>
      <c r="T543" s="11"/>
      <c r="U543" s="11"/>
      <c r="V543" s="11"/>
      <c r="W543" s="21"/>
      <c r="X543" s="21"/>
      <c r="Y543" s="21"/>
      <c r="Z543" s="21"/>
      <c r="AA543" s="21"/>
    </row>
    <row r="544" spans="2:27" ht="15.75" thickBot="1" x14ac:dyDescent="0.3"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10"/>
      <c r="T544" s="11"/>
      <c r="U544" s="11"/>
      <c r="V544" s="11"/>
      <c r="W544" s="21"/>
      <c r="X544" s="21"/>
      <c r="Y544" s="21"/>
      <c r="Z544" s="21"/>
      <c r="AA544" s="21"/>
    </row>
    <row r="545" spans="2:27" ht="15.75" thickBot="1" x14ac:dyDescent="0.3"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10"/>
      <c r="T545" s="11"/>
      <c r="U545" s="11"/>
      <c r="V545" s="11"/>
      <c r="W545" s="21"/>
      <c r="X545" s="21"/>
      <c r="Y545" s="21"/>
      <c r="Z545" s="21"/>
      <c r="AA545" s="21"/>
    </row>
    <row r="546" spans="2:27" ht="15.75" thickBot="1" x14ac:dyDescent="0.3"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10"/>
      <c r="T546" s="11"/>
      <c r="U546" s="11"/>
      <c r="V546" s="11"/>
      <c r="W546" s="21"/>
      <c r="X546" s="21"/>
      <c r="Y546" s="21"/>
      <c r="Z546" s="21"/>
      <c r="AA546" s="21"/>
    </row>
    <row r="547" spans="2:27" ht="15.75" thickBot="1" x14ac:dyDescent="0.3"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10"/>
      <c r="T547" s="11"/>
      <c r="U547" s="11"/>
      <c r="V547" s="11"/>
      <c r="W547" s="21"/>
      <c r="X547" s="21"/>
      <c r="Y547" s="21"/>
      <c r="Z547" s="21"/>
      <c r="AA547" s="21"/>
    </row>
    <row r="548" spans="2:27" ht="15.75" thickBot="1" x14ac:dyDescent="0.3"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10"/>
      <c r="T548" s="11"/>
      <c r="U548" s="11"/>
      <c r="V548" s="11"/>
      <c r="W548" s="21"/>
      <c r="X548" s="21"/>
      <c r="Y548" s="21"/>
      <c r="Z548" s="21"/>
      <c r="AA548" s="21"/>
    </row>
    <row r="549" spans="2:27" ht="15.75" thickBot="1" x14ac:dyDescent="0.3"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10"/>
      <c r="T549" s="11"/>
      <c r="U549" s="11"/>
      <c r="V549" s="11"/>
      <c r="W549" s="21"/>
      <c r="X549" s="21"/>
      <c r="Y549" s="21"/>
      <c r="Z549" s="21"/>
      <c r="AA549" s="21"/>
    </row>
    <row r="550" spans="2:27" ht="15.75" thickBot="1" x14ac:dyDescent="0.3"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10"/>
      <c r="T550" s="11"/>
      <c r="U550" s="11"/>
      <c r="V550" s="11"/>
      <c r="W550" s="21"/>
      <c r="X550" s="21"/>
      <c r="Y550" s="21"/>
      <c r="Z550" s="21"/>
      <c r="AA550" s="21"/>
    </row>
    <row r="551" spans="2:27" ht="15.75" thickBot="1" x14ac:dyDescent="0.3"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10"/>
      <c r="T551" s="11"/>
      <c r="U551" s="11"/>
      <c r="V551" s="11"/>
      <c r="W551" s="21"/>
      <c r="X551" s="21"/>
      <c r="Y551" s="21"/>
      <c r="Z551" s="21"/>
      <c r="AA551" s="21"/>
    </row>
    <row r="552" spans="2:27" ht="15.75" thickBot="1" x14ac:dyDescent="0.3"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10"/>
      <c r="T552" s="11"/>
      <c r="U552" s="11"/>
      <c r="V552" s="11"/>
      <c r="W552" s="21"/>
      <c r="X552" s="21"/>
      <c r="Y552" s="21"/>
      <c r="Z552" s="21"/>
      <c r="AA552" s="21"/>
    </row>
    <row r="553" spans="2:27" ht="15.75" thickBot="1" x14ac:dyDescent="0.3"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10"/>
      <c r="T553" s="11"/>
      <c r="U553" s="11"/>
      <c r="V553" s="11"/>
      <c r="W553" s="21"/>
      <c r="X553" s="21"/>
      <c r="Y553" s="21"/>
      <c r="Z553" s="21"/>
      <c r="AA553" s="21"/>
    </row>
    <row r="554" spans="2:27" ht="15.75" thickBot="1" x14ac:dyDescent="0.3"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10"/>
      <c r="T554" s="11"/>
      <c r="U554" s="11"/>
      <c r="V554" s="11"/>
      <c r="W554" s="21"/>
      <c r="X554" s="21"/>
      <c r="Y554" s="21"/>
      <c r="Z554" s="21"/>
      <c r="AA554" s="21"/>
    </row>
    <row r="555" spans="2:27" ht="15.75" thickBot="1" x14ac:dyDescent="0.3"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10"/>
      <c r="T555" s="11"/>
      <c r="U555" s="11"/>
      <c r="V555" s="11"/>
      <c r="W555" s="21"/>
      <c r="X555" s="21"/>
      <c r="Y555" s="21"/>
      <c r="Z555" s="21"/>
      <c r="AA555" s="21"/>
    </row>
    <row r="556" spans="2:27" ht="15.75" thickBot="1" x14ac:dyDescent="0.3"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10"/>
      <c r="T556" s="11"/>
      <c r="U556" s="11"/>
      <c r="V556" s="11"/>
      <c r="W556" s="21"/>
      <c r="X556" s="21"/>
      <c r="Y556" s="21"/>
      <c r="Z556" s="21"/>
      <c r="AA556" s="21"/>
    </row>
    <row r="557" spans="2:27" ht="15.75" thickBot="1" x14ac:dyDescent="0.3"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10"/>
      <c r="T557" s="11"/>
      <c r="U557" s="11"/>
      <c r="V557" s="11"/>
      <c r="W557" s="21"/>
      <c r="X557" s="21"/>
      <c r="Y557" s="21"/>
      <c r="Z557" s="21"/>
      <c r="AA557" s="21"/>
    </row>
    <row r="558" spans="2:27" ht="15.75" thickBot="1" x14ac:dyDescent="0.3"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10"/>
      <c r="T558" s="11"/>
      <c r="U558" s="11"/>
      <c r="V558" s="11"/>
      <c r="W558" s="21"/>
      <c r="X558" s="21"/>
      <c r="Y558" s="21"/>
      <c r="Z558" s="21"/>
      <c r="AA558" s="21"/>
    </row>
    <row r="559" spans="2:27" ht="15.75" thickBot="1" x14ac:dyDescent="0.3"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10"/>
      <c r="T559" s="11"/>
      <c r="U559" s="11"/>
      <c r="V559" s="11"/>
      <c r="W559" s="21"/>
      <c r="X559" s="21"/>
      <c r="Y559" s="21"/>
      <c r="Z559" s="21"/>
      <c r="AA559" s="21"/>
    </row>
    <row r="560" spans="2:27" ht="15.75" thickBot="1" x14ac:dyDescent="0.3"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10"/>
      <c r="T560" s="11"/>
      <c r="U560" s="11"/>
      <c r="V560" s="11"/>
      <c r="W560" s="21"/>
      <c r="X560" s="21"/>
      <c r="Y560" s="21"/>
      <c r="Z560" s="21"/>
      <c r="AA560" s="21"/>
    </row>
    <row r="561" spans="2:27" ht="15.75" thickBot="1" x14ac:dyDescent="0.3"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10"/>
      <c r="T561" s="11"/>
      <c r="U561" s="11"/>
      <c r="V561" s="11"/>
      <c r="W561" s="21"/>
      <c r="X561" s="21"/>
      <c r="Y561" s="21"/>
      <c r="Z561" s="21"/>
      <c r="AA561" s="21"/>
    </row>
    <row r="562" spans="2:27" ht="15.75" thickBot="1" x14ac:dyDescent="0.3"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10"/>
      <c r="T562" s="11"/>
      <c r="U562" s="11"/>
      <c r="V562" s="11"/>
      <c r="W562" s="21"/>
      <c r="X562" s="21"/>
      <c r="Y562" s="21"/>
      <c r="Z562" s="21"/>
      <c r="AA562" s="21"/>
    </row>
    <row r="563" spans="2:27" ht="15.75" thickBot="1" x14ac:dyDescent="0.3"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10"/>
      <c r="T563" s="11"/>
      <c r="U563" s="11"/>
      <c r="V563" s="11"/>
      <c r="W563" s="21"/>
      <c r="X563" s="21"/>
      <c r="Y563" s="21"/>
      <c r="Z563" s="21"/>
      <c r="AA563" s="21"/>
    </row>
    <row r="564" spans="2:27" ht="15.75" thickBot="1" x14ac:dyDescent="0.3"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10"/>
      <c r="T564" s="11"/>
      <c r="U564" s="11"/>
      <c r="V564" s="11"/>
      <c r="W564" s="21"/>
      <c r="X564" s="21"/>
      <c r="Y564" s="21"/>
      <c r="Z564" s="21"/>
      <c r="AA564" s="21"/>
    </row>
    <row r="565" spans="2:27" ht="15.75" thickBot="1" x14ac:dyDescent="0.3"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10"/>
      <c r="T565" s="11"/>
      <c r="U565" s="11"/>
      <c r="V565" s="11"/>
      <c r="W565" s="21"/>
      <c r="X565" s="21"/>
      <c r="Y565" s="21"/>
      <c r="Z565" s="21"/>
      <c r="AA565" s="21"/>
    </row>
    <row r="566" spans="2:27" ht="15.75" thickBot="1" x14ac:dyDescent="0.3"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10"/>
      <c r="T566" s="11"/>
      <c r="U566" s="11"/>
      <c r="V566" s="11"/>
      <c r="W566" s="21"/>
      <c r="X566" s="21"/>
      <c r="Y566" s="21"/>
      <c r="Z566" s="21"/>
      <c r="AA566" s="21"/>
    </row>
    <row r="567" spans="2:27" ht="15.75" thickBot="1" x14ac:dyDescent="0.3"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10"/>
      <c r="T567" s="11"/>
      <c r="U567" s="11"/>
      <c r="V567" s="11"/>
      <c r="W567" s="21"/>
      <c r="X567" s="21"/>
      <c r="Y567" s="21"/>
      <c r="Z567" s="21"/>
      <c r="AA567" s="21"/>
    </row>
    <row r="568" spans="2:27" ht="15.75" thickBot="1" x14ac:dyDescent="0.3"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10"/>
      <c r="T568" s="11"/>
      <c r="U568" s="11"/>
      <c r="V568" s="11"/>
      <c r="W568" s="21"/>
      <c r="X568" s="21"/>
      <c r="Y568" s="21"/>
      <c r="Z568" s="21"/>
      <c r="AA568" s="21"/>
    </row>
    <row r="569" spans="2:27" ht="15.75" thickBot="1" x14ac:dyDescent="0.3"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10"/>
      <c r="T569" s="11"/>
      <c r="U569" s="11"/>
      <c r="V569" s="11"/>
      <c r="W569" s="21"/>
      <c r="X569" s="21"/>
      <c r="Y569" s="21"/>
      <c r="Z569" s="21"/>
      <c r="AA569" s="21"/>
    </row>
    <row r="570" spans="2:27" ht="15.75" thickBot="1" x14ac:dyDescent="0.3"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10"/>
      <c r="T570" s="11"/>
      <c r="U570" s="11"/>
      <c r="V570" s="11"/>
      <c r="W570" s="21"/>
      <c r="X570" s="21"/>
      <c r="Y570" s="21"/>
      <c r="Z570" s="21"/>
      <c r="AA570" s="21"/>
    </row>
    <row r="571" spans="2:27" ht="15.75" thickBot="1" x14ac:dyDescent="0.3"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10"/>
      <c r="T571" s="11"/>
      <c r="U571" s="11"/>
      <c r="V571" s="11"/>
      <c r="W571" s="21"/>
      <c r="X571" s="21"/>
      <c r="Y571" s="21"/>
      <c r="Z571" s="21"/>
      <c r="AA571" s="21"/>
    </row>
    <row r="572" spans="2:27" ht="15.75" thickBot="1" x14ac:dyDescent="0.3"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10"/>
      <c r="T572" s="11"/>
      <c r="U572" s="11"/>
      <c r="V572" s="11"/>
      <c r="W572" s="21"/>
      <c r="X572" s="21"/>
      <c r="Y572" s="21"/>
      <c r="Z572" s="21"/>
      <c r="AA572" s="21"/>
    </row>
    <row r="573" spans="2:27" ht="15.75" thickBot="1" x14ac:dyDescent="0.3"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10"/>
      <c r="T573" s="11"/>
      <c r="U573" s="11"/>
      <c r="V573" s="11"/>
      <c r="W573" s="21"/>
      <c r="X573" s="21"/>
      <c r="Y573" s="21"/>
      <c r="Z573" s="21"/>
      <c r="AA573" s="21"/>
    </row>
    <row r="574" spans="2:27" ht="15.75" thickBot="1" x14ac:dyDescent="0.3"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10"/>
      <c r="T574" s="11"/>
      <c r="U574" s="11"/>
      <c r="V574" s="11"/>
      <c r="W574" s="21"/>
      <c r="X574" s="21"/>
      <c r="Y574" s="21"/>
      <c r="Z574" s="21"/>
      <c r="AA574" s="21"/>
    </row>
    <row r="575" spans="2:27" ht="15.75" thickBot="1" x14ac:dyDescent="0.3"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10"/>
      <c r="T575" s="11"/>
      <c r="U575" s="11"/>
      <c r="V575" s="11"/>
      <c r="W575" s="21"/>
      <c r="X575" s="21"/>
      <c r="Y575" s="21"/>
      <c r="Z575" s="21"/>
      <c r="AA575" s="21"/>
    </row>
    <row r="576" spans="2:27" ht="15.75" thickBot="1" x14ac:dyDescent="0.3"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10"/>
      <c r="T576" s="11"/>
      <c r="U576" s="11"/>
      <c r="V576" s="11"/>
      <c r="W576" s="21"/>
      <c r="X576" s="21"/>
      <c r="Y576" s="21"/>
      <c r="Z576" s="21"/>
      <c r="AA576" s="21"/>
    </row>
    <row r="577" spans="2:27" ht="15.75" thickBot="1" x14ac:dyDescent="0.3"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10"/>
      <c r="T577" s="11"/>
      <c r="U577" s="11"/>
      <c r="V577" s="11"/>
      <c r="W577" s="21"/>
      <c r="X577" s="21"/>
      <c r="Y577" s="21"/>
      <c r="Z577" s="21"/>
      <c r="AA577" s="21"/>
    </row>
    <row r="578" spans="2:27" ht="15.75" thickBot="1" x14ac:dyDescent="0.3"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10"/>
      <c r="T578" s="11"/>
      <c r="U578" s="11"/>
      <c r="V578" s="11"/>
      <c r="W578" s="21"/>
      <c r="X578" s="21"/>
      <c r="Y578" s="21"/>
      <c r="Z578" s="21"/>
      <c r="AA578" s="21"/>
    </row>
    <row r="579" spans="2:27" ht="15.75" thickBot="1" x14ac:dyDescent="0.3"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10"/>
      <c r="T579" s="11"/>
      <c r="U579" s="11"/>
      <c r="V579" s="11"/>
      <c r="W579" s="21"/>
      <c r="X579" s="21"/>
      <c r="Y579" s="21"/>
      <c r="Z579" s="21"/>
      <c r="AA579" s="21"/>
    </row>
    <row r="580" spans="2:27" ht="15.75" thickBot="1" x14ac:dyDescent="0.3"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10"/>
      <c r="T580" s="11"/>
      <c r="U580" s="11"/>
      <c r="V580" s="11"/>
      <c r="W580" s="21"/>
      <c r="X580" s="21"/>
      <c r="Y580" s="21"/>
      <c r="Z580" s="21"/>
      <c r="AA580" s="21"/>
    </row>
    <row r="581" spans="2:27" ht="15.75" thickBot="1" x14ac:dyDescent="0.3"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10"/>
      <c r="T581" s="11"/>
      <c r="U581" s="11"/>
      <c r="V581" s="11"/>
      <c r="W581" s="21"/>
      <c r="X581" s="21"/>
      <c r="Y581" s="21"/>
      <c r="Z581" s="21"/>
      <c r="AA581" s="21"/>
    </row>
    <row r="582" spans="2:27" ht="15.75" thickBot="1" x14ac:dyDescent="0.3"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10"/>
      <c r="T582" s="11"/>
      <c r="U582" s="11"/>
      <c r="V582" s="11"/>
      <c r="W582" s="21"/>
      <c r="X582" s="21"/>
      <c r="Y582" s="21"/>
      <c r="Z582" s="21"/>
      <c r="AA582" s="21"/>
    </row>
    <row r="583" spans="2:27" ht="15.75" thickBot="1" x14ac:dyDescent="0.3"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10"/>
      <c r="T583" s="11"/>
      <c r="U583" s="11"/>
      <c r="V583" s="11"/>
      <c r="W583" s="21"/>
      <c r="X583" s="21"/>
      <c r="Y583" s="21"/>
      <c r="Z583" s="21"/>
      <c r="AA583" s="21"/>
    </row>
    <row r="584" spans="2:27" ht="15.75" thickBot="1" x14ac:dyDescent="0.3"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10"/>
      <c r="T584" s="11"/>
      <c r="U584" s="11"/>
      <c r="V584" s="11"/>
      <c r="W584" s="21"/>
      <c r="X584" s="21"/>
      <c r="Y584" s="21"/>
      <c r="Z584" s="21"/>
      <c r="AA584" s="21"/>
    </row>
    <row r="585" spans="2:27" ht="15.75" thickBot="1" x14ac:dyDescent="0.3"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10"/>
      <c r="T585" s="11"/>
      <c r="U585" s="11"/>
      <c r="V585" s="11"/>
      <c r="W585" s="21"/>
      <c r="X585" s="21"/>
      <c r="Y585" s="21"/>
      <c r="Z585" s="21"/>
      <c r="AA585" s="21"/>
    </row>
    <row r="586" spans="2:27" ht="15.75" thickBot="1" x14ac:dyDescent="0.3"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10"/>
      <c r="T586" s="11"/>
      <c r="U586" s="11"/>
      <c r="V586" s="11"/>
      <c r="W586" s="21"/>
      <c r="X586" s="21"/>
      <c r="Y586" s="21"/>
      <c r="Z586" s="21"/>
      <c r="AA586" s="21"/>
    </row>
    <row r="587" spans="2:27" ht="15.75" thickBot="1" x14ac:dyDescent="0.3"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10"/>
      <c r="T587" s="11"/>
      <c r="U587" s="11"/>
      <c r="V587" s="11"/>
      <c r="W587" s="21"/>
      <c r="X587" s="21"/>
      <c r="Y587" s="21"/>
      <c r="Z587" s="21"/>
      <c r="AA587" s="21"/>
    </row>
    <row r="588" spans="2:27" ht="15.75" thickBot="1" x14ac:dyDescent="0.3"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10"/>
      <c r="T588" s="11"/>
      <c r="U588" s="11"/>
      <c r="V588" s="11"/>
      <c r="W588" s="21"/>
      <c r="X588" s="21"/>
      <c r="Y588" s="21"/>
      <c r="Z588" s="21"/>
      <c r="AA588" s="21"/>
    </row>
    <row r="589" spans="2:27" ht="15.75" thickBot="1" x14ac:dyDescent="0.3"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10"/>
      <c r="T589" s="11"/>
      <c r="U589" s="11"/>
      <c r="V589" s="11"/>
      <c r="W589" s="21"/>
      <c r="X589" s="21"/>
      <c r="Y589" s="21"/>
      <c r="Z589" s="21"/>
      <c r="AA589" s="21"/>
    </row>
    <row r="590" spans="2:27" ht="15.75" thickBot="1" x14ac:dyDescent="0.3"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10"/>
      <c r="T590" s="11"/>
      <c r="U590" s="11"/>
      <c r="V590" s="11"/>
      <c r="W590" s="21"/>
      <c r="X590" s="21"/>
      <c r="Y590" s="21"/>
      <c r="Z590" s="21"/>
      <c r="AA590" s="21"/>
    </row>
    <row r="591" spans="2:27" ht="15.75" thickBot="1" x14ac:dyDescent="0.3"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10"/>
      <c r="T591" s="11"/>
      <c r="U591" s="11"/>
      <c r="V591" s="11"/>
      <c r="W591" s="21"/>
      <c r="X591" s="21"/>
      <c r="Y591" s="21"/>
      <c r="Z591" s="21"/>
      <c r="AA591" s="21"/>
    </row>
    <row r="592" spans="2:27" ht="15.75" thickBot="1" x14ac:dyDescent="0.3"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10"/>
      <c r="T592" s="11"/>
      <c r="U592" s="11"/>
      <c r="V592" s="11"/>
      <c r="W592" s="21"/>
      <c r="X592" s="21"/>
      <c r="Y592" s="21"/>
      <c r="Z592" s="21"/>
      <c r="AA592" s="21"/>
    </row>
    <row r="593" spans="2:27" ht="15.75" thickBot="1" x14ac:dyDescent="0.3"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10"/>
      <c r="T593" s="11"/>
      <c r="U593" s="11"/>
      <c r="V593" s="11"/>
      <c r="W593" s="21"/>
      <c r="X593" s="21"/>
      <c r="Y593" s="21"/>
      <c r="Z593" s="21"/>
      <c r="AA593" s="21"/>
    </row>
    <row r="594" spans="2:27" ht="15.75" thickBot="1" x14ac:dyDescent="0.3"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10"/>
      <c r="T594" s="11"/>
      <c r="U594" s="11"/>
      <c r="V594" s="11"/>
      <c r="W594" s="21"/>
      <c r="X594" s="21"/>
      <c r="Y594" s="21"/>
      <c r="Z594" s="21"/>
      <c r="AA594" s="21"/>
    </row>
    <row r="595" spans="2:27" ht="15.75" thickBot="1" x14ac:dyDescent="0.3"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10"/>
      <c r="T595" s="11"/>
      <c r="U595" s="11"/>
      <c r="V595" s="11"/>
      <c r="W595" s="21"/>
      <c r="X595" s="21"/>
      <c r="Y595" s="21"/>
      <c r="Z595" s="21"/>
      <c r="AA595" s="21"/>
    </row>
    <row r="596" spans="2:27" ht="15.75" thickBot="1" x14ac:dyDescent="0.3"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10"/>
      <c r="T596" s="11"/>
      <c r="U596" s="11"/>
      <c r="V596" s="11"/>
      <c r="W596" s="21"/>
      <c r="X596" s="21"/>
      <c r="Y596" s="21"/>
      <c r="Z596" s="21"/>
      <c r="AA596" s="21"/>
    </row>
    <row r="597" spans="2:27" ht="15.75" thickBot="1" x14ac:dyDescent="0.3"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10"/>
      <c r="T597" s="11"/>
      <c r="U597" s="11"/>
      <c r="V597" s="11"/>
      <c r="W597" s="21"/>
      <c r="X597" s="21"/>
      <c r="Y597" s="21"/>
      <c r="Z597" s="21"/>
      <c r="AA597" s="21"/>
    </row>
    <row r="598" spans="2:27" ht="15.75" thickBot="1" x14ac:dyDescent="0.3"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10"/>
      <c r="T598" s="11"/>
      <c r="U598" s="11"/>
      <c r="V598" s="11"/>
      <c r="W598" s="21"/>
      <c r="X598" s="21"/>
      <c r="Y598" s="21"/>
      <c r="Z598" s="21"/>
      <c r="AA598" s="21"/>
    </row>
    <row r="599" spans="2:27" ht="15.75" thickBot="1" x14ac:dyDescent="0.3"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10"/>
      <c r="T599" s="11"/>
      <c r="U599" s="11"/>
      <c r="V599" s="11"/>
      <c r="W599" s="21"/>
      <c r="X599" s="21"/>
      <c r="Y599" s="21"/>
      <c r="Z599" s="21"/>
      <c r="AA599" s="21"/>
    </row>
    <row r="600" spans="2:27" ht="15.75" thickBot="1" x14ac:dyDescent="0.3"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10"/>
      <c r="T600" s="11"/>
      <c r="U600" s="11"/>
      <c r="V600" s="11"/>
      <c r="W600" s="21"/>
      <c r="X600" s="21"/>
      <c r="Y600" s="21"/>
      <c r="Z600" s="21"/>
      <c r="AA600" s="21"/>
    </row>
    <row r="601" spans="2:27" ht="15.75" thickBot="1" x14ac:dyDescent="0.3"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10"/>
      <c r="T601" s="11"/>
      <c r="U601" s="11"/>
      <c r="V601" s="11"/>
      <c r="W601" s="21"/>
      <c r="X601" s="21"/>
      <c r="Y601" s="21"/>
      <c r="Z601" s="21"/>
      <c r="AA601" s="21"/>
    </row>
    <row r="602" spans="2:27" ht="15.75" thickBot="1" x14ac:dyDescent="0.3"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10"/>
      <c r="T602" s="11"/>
      <c r="U602" s="11"/>
      <c r="V602" s="11"/>
      <c r="W602" s="21"/>
      <c r="X602" s="21"/>
      <c r="Y602" s="21"/>
      <c r="Z602" s="21"/>
      <c r="AA602" s="21"/>
    </row>
    <row r="603" spans="2:27" ht="15.75" thickBot="1" x14ac:dyDescent="0.3"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10"/>
      <c r="T603" s="11"/>
      <c r="U603" s="11"/>
      <c r="V603" s="11"/>
      <c r="W603" s="21"/>
      <c r="X603" s="21"/>
      <c r="Y603" s="21"/>
      <c r="Z603" s="21"/>
      <c r="AA603" s="21"/>
    </row>
    <row r="604" spans="2:27" ht="15.75" thickBot="1" x14ac:dyDescent="0.3"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10"/>
      <c r="T604" s="11"/>
      <c r="U604" s="11"/>
      <c r="V604" s="11"/>
      <c r="W604" s="21"/>
      <c r="X604" s="21"/>
      <c r="Y604" s="21"/>
      <c r="Z604" s="21"/>
      <c r="AA604" s="21"/>
    </row>
    <row r="605" spans="2:27" ht="15.75" thickBot="1" x14ac:dyDescent="0.3"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10"/>
      <c r="T605" s="11"/>
      <c r="U605" s="11"/>
      <c r="V605" s="11"/>
      <c r="W605" s="21"/>
      <c r="X605" s="21"/>
      <c r="Y605" s="21"/>
      <c r="Z605" s="21"/>
      <c r="AA605" s="21"/>
    </row>
    <row r="606" spans="2:27" ht="15.75" thickBot="1" x14ac:dyDescent="0.3"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10"/>
      <c r="T606" s="11"/>
      <c r="U606" s="11"/>
      <c r="V606" s="11"/>
      <c r="W606" s="21"/>
      <c r="X606" s="21"/>
      <c r="Y606" s="21"/>
      <c r="Z606" s="21"/>
      <c r="AA606" s="21"/>
    </row>
    <row r="607" spans="2:27" ht="15.75" thickBot="1" x14ac:dyDescent="0.3"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10"/>
      <c r="T607" s="11"/>
      <c r="U607" s="11"/>
      <c r="V607" s="11"/>
      <c r="W607" s="21"/>
      <c r="X607" s="21"/>
      <c r="Y607" s="21"/>
      <c r="Z607" s="21"/>
      <c r="AA607" s="21"/>
    </row>
    <row r="608" spans="2:27" ht="15.75" thickBot="1" x14ac:dyDescent="0.3"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10"/>
      <c r="T608" s="11"/>
      <c r="U608" s="11"/>
      <c r="V608" s="11"/>
      <c r="W608" s="21"/>
      <c r="X608" s="21"/>
      <c r="Y608" s="21"/>
      <c r="Z608" s="21"/>
      <c r="AA608" s="21"/>
    </row>
    <row r="609" spans="2:27" ht="15.75" thickBot="1" x14ac:dyDescent="0.3"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10"/>
      <c r="T609" s="11"/>
      <c r="U609" s="11"/>
      <c r="V609" s="11"/>
      <c r="W609" s="21"/>
      <c r="X609" s="21"/>
      <c r="Y609" s="21"/>
      <c r="Z609" s="21"/>
      <c r="AA609" s="21"/>
    </row>
    <row r="610" spans="2:27" ht="15.75" thickBot="1" x14ac:dyDescent="0.3"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10"/>
      <c r="T610" s="11"/>
      <c r="U610" s="11"/>
      <c r="V610" s="11"/>
      <c r="W610" s="21"/>
      <c r="X610" s="21"/>
      <c r="Y610" s="21"/>
      <c r="Z610" s="21"/>
      <c r="AA610" s="21"/>
    </row>
    <row r="611" spans="2:27" ht="15.75" thickBot="1" x14ac:dyDescent="0.3"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10"/>
      <c r="T611" s="11"/>
      <c r="U611" s="11"/>
      <c r="V611" s="11"/>
      <c r="W611" s="21"/>
      <c r="X611" s="21"/>
      <c r="Y611" s="21"/>
      <c r="Z611" s="21"/>
      <c r="AA611" s="21"/>
    </row>
    <row r="612" spans="2:27" ht="15.75" thickBot="1" x14ac:dyDescent="0.3"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10"/>
      <c r="T612" s="11"/>
      <c r="U612" s="11"/>
      <c r="V612" s="11"/>
      <c r="W612" s="21"/>
      <c r="X612" s="21"/>
      <c r="Y612" s="21"/>
      <c r="Z612" s="21"/>
      <c r="AA612" s="21"/>
    </row>
    <row r="613" spans="2:27" ht="15.75" thickBot="1" x14ac:dyDescent="0.3"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10"/>
      <c r="T613" s="11"/>
      <c r="U613" s="11"/>
      <c r="V613" s="11"/>
      <c r="W613" s="21"/>
      <c r="X613" s="21"/>
      <c r="Y613" s="21"/>
      <c r="Z613" s="21"/>
      <c r="AA613" s="21"/>
    </row>
    <row r="614" spans="2:27" ht="15.75" thickBot="1" x14ac:dyDescent="0.3"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10"/>
      <c r="T614" s="11"/>
      <c r="U614" s="11"/>
      <c r="V614" s="11"/>
      <c r="W614" s="21"/>
      <c r="X614" s="21"/>
      <c r="Y614" s="21"/>
      <c r="Z614" s="21"/>
      <c r="AA614" s="21"/>
    </row>
    <row r="615" spans="2:27" ht="15.75" thickBot="1" x14ac:dyDescent="0.3"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10"/>
      <c r="T615" s="11"/>
      <c r="U615" s="11"/>
      <c r="V615" s="11"/>
      <c r="W615" s="21"/>
      <c r="X615" s="21"/>
      <c r="Y615" s="21"/>
      <c r="Z615" s="21"/>
      <c r="AA615" s="21"/>
    </row>
    <row r="616" spans="2:27" ht="15.75" thickBot="1" x14ac:dyDescent="0.3"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10"/>
      <c r="T616" s="11"/>
      <c r="U616" s="11"/>
      <c r="V616" s="11"/>
      <c r="W616" s="21"/>
      <c r="X616" s="21"/>
      <c r="Y616" s="21"/>
      <c r="Z616" s="21"/>
      <c r="AA616" s="21"/>
    </row>
    <row r="617" spans="2:27" ht="15.75" thickBot="1" x14ac:dyDescent="0.3"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10"/>
      <c r="T617" s="11"/>
      <c r="U617" s="11"/>
      <c r="V617" s="11"/>
      <c r="W617" s="21"/>
      <c r="X617" s="21"/>
      <c r="Y617" s="21"/>
      <c r="Z617" s="21"/>
      <c r="AA617" s="21"/>
    </row>
    <row r="618" spans="2:27" ht="15.75" thickBot="1" x14ac:dyDescent="0.3"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10"/>
      <c r="T618" s="11"/>
      <c r="U618" s="11"/>
      <c r="V618" s="11"/>
      <c r="W618" s="21"/>
      <c r="X618" s="21"/>
      <c r="Y618" s="21"/>
      <c r="Z618" s="21"/>
      <c r="AA618" s="21"/>
    </row>
    <row r="619" spans="2:27" ht="15.75" thickBot="1" x14ac:dyDescent="0.3"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10"/>
      <c r="T619" s="11"/>
      <c r="U619" s="11"/>
      <c r="V619" s="11"/>
      <c r="W619" s="21"/>
      <c r="X619" s="21"/>
      <c r="Y619" s="21"/>
      <c r="Z619" s="21"/>
      <c r="AA619" s="21"/>
    </row>
    <row r="620" spans="2:27" ht="15.75" thickBot="1" x14ac:dyDescent="0.3"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10"/>
      <c r="T620" s="11"/>
      <c r="U620" s="11"/>
      <c r="V620" s="11"/>
      <c r="W620" s="21"/>
      <c r="X620" s="21"/>
      <c r="Y620" s="21"/>
      <c r="Z620" s="21"/>
      <c r="AA620" s="21"/>
    </row>
    <row r="621" spans="2:27" ht="15.75" thickBot="1" x14ac:dyDescent="0.3"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10"/>
      <c r="T621" s="11"/>
      <c r="U621" s="11"/>
      <c r="V621" s="11"/>
      <c r="W621" s="21"/>
      <c r="X621" s="21"/>
      <c r="Y621" s="21"/>
      <c r="Z621" s="21"/>
      <c r="AA621" s="21"/>
    </row>
    <row r="622" spans="2:27" ht="15.75" thickBot="1" x14ac:dyDescent="0.3"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10"/>
      <c r="T622" s="11"/>
      <c r="U622" s="11"/>
      <c r="V622" s="11"/>
      <c r="W622" s="21"/>
      <c r="X622" s="21"/>
      <c r="Y622" s="21"/>
      <c r="Z622" s="21"/>
      <c r="AA622" s="21"/>
    </row>
    <row r="623" spans="2:27" ht="15.75" thickBot="1" x14ac:dyDescent="0.3"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10"/>
      <c r="T623" s="11"/>
      <c r="U623" s="11"/>
      <c r="V623" s="11"/>
      <c r="W623" s="21"/>
      <c r="X623" s="21"/>
      <c r="Y623" s="21"/>
      <c r="Z623" s="21"/>
      <c r="AA623" s="21"/>
    </row>
    <row r="624" spans="2:27" ht="15.75" thickBot="1" x14ac:dyDescent="0.3"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10"/>
      <c r="T624" s="11"/>
      <c r="U624" s="11"/>
      <c r="V624" s="11"/>
      <c r="W624" s="21"/>
      <c r="X624" s="21"/>
      <c r="Y624" s="21"/>
      <c r="Z624" s="21"/>
      <c r="AA624" s="21"/>
    </row>
    <row r="625" spans="2:27" ht="15.75" thickBot="1" x14ac:dyDescent="0.3"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10"/>
      <c r="T625" s="11"/>
      <c r="U625" s="11"/>
      <c r="V625" s="11"/>
      <c r="W625" s="21"/>
      <c r="X625" s="21"/>
      <c r="Y625" s="21"/>
      <c r="Z625" s="21"/>
      <c r="AA625" s="21"/>
    </row>
    <row r="626" spans="2:27" ht="15.75" thickBot="1" x14ac:dyDescent="0.3"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10"/>
      <c r="T626" s="11"/>
      <c r="U626" s="11"/>
      <c r="V626" s="11"/>
      <c r="W626" s="21"/>
      <c r="X626" s="21"/>
      <c r="Y626" s="21"/>
      <c r="Z626" s="21"/>
      <c r="AA626" s="21"/>
    </row>
    <row r="627" spans="2:27" ht="15.75" thickBot="1" x14ac:dyDescent="0.3"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10"/>
      <c r="T627" s="11"/>
      <c r="U627" s="11"/>
      <c r="V627" s="11"/>
      <c r="W627" s="21"/>
      <c r="X627" s="21"/>
      <c r="Y627" s="21"/>
      <c r="Z627" s="21"/>
      <c r="AA627" s="21"/>
    </row>
    <row r="628" spans="2:27" ht="15.75" thickBot="1" x14ac:dyDescent="0.3"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10"/>
      <c r="T628" s="11"/>
      <c r="U628" s="11"/>
      <c r="V628" s="11"/>
      <c r="W628" s="21"/>
      <c r="X628" s="21"/>
      <c r="Y628" s="21"/>
      <c r="Z628" s="21"/>
      <c r="AA628" s="21"/>
    </row>
    <row r="629" spans="2:27" ht="15.75" thickBot="1" x14ac:dyDescent="0.3"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10"/>
      <c r="T629" s="11"/>
      <c r="U629" s="11"/>
      <c r="V629" s="11"/>
      <c r="W629" s="21"/>
      <c r="X629" s="21"/>
      <c r="Y629" s="21"/>
      <c r="Z629" s="21"/>
      <c r="AA629" s="21"/>
    </row>
    <row r="630" spans="2:27" ht="15.75" thickBot="1" x14ac:dyDescent="0.3"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10"/>
      <c r="T630" s="11"/>
      <c r="U630" s="11"/>
      <c r="V630" s="11"/>
      <c r="W630" s="21"/>
      <c r="X630" s="21"/>
      <c r="Y630" s="21"/>
      <c r="Z630" s="21"/>
      <c r="AA630" s="21"/>
    </row>
    <row r="631" spans="2:27" ht="15.75" thickBot="1" x14ac:dyDescent="0.3"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10"/>
      <c r="T631" s="11"/>
      <c r="U631" s="11"/>
      <c r="V631" s="11"/>
      <c r="W631" s="21"/>
      <c r="X631" s="21"/>
      <c r="Y631" s="21"/>
      <c r="Z631" s="21"/>
      <c r="AA631" s="21"/>
    </row>
    <row r="632" spans="2:27" ht="15.75" thickBot="1" x14ac:dyDescent="0.3"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10"/>
      <c r="T632" s="11"/>
      <c r="U632" s="11"/>
      <c r="V632" s="11"/>
      <c r="W632" s="21"/>
      <c r="X632" s="21"/>
      <c r="Y632" s="21"/>
      <c r="Z632" s="21"/>
      <c r="AA632" s="21"/>
    </row>
    <row r="633" spans="2:27" ht="15.75" thickBot="1" x14ac:dyDescent="0.3"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10"/>
      <c r="T633" s="11"/>
      <c r="U633" s="11"/>
      <c r="V633" s="11"/>
      <c r="W633" s="21"/>
      <c r="X633" s="21"/>
      <c r="Y633" s="21"/>
      <c r="Z633" s="21"/>
      <c r="AA633" s="21"/>
    </row>
    <row r="634" spans="2:27" ht="15.75" thickBot="1" x14ac:dyDescent="0.3"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10"/>
      <c r="T634" s="11"/>
      <c r="U634" s="11"/>
      <c r="V634" s="11"/>
      <c r="W634" s="21"/>
      <c r="X634" s="21"/>
      <c r="Y634" s="21"/>
      <c r="Z634" s="21"/>
      <c r="AA634" s="21"/>
    </row>
    <row r="635" spans="2:27" ht="15.75" thickBot="1" x14ac:dyDescent="0.3"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10"/>
      <c r="T635" s="11"/>
      <c r="U635" s="11"/>
      <c r="V635" s="11"/>
      <c r="W635" s="21"/>
      <c r="X635" s="21"/>
      <c r="Y635" s="21"/>
      <c r="Z635" s="21"/>
      <c r="AA635" s="21"/>
    </row>
    <row r="636" spans="2:27" ht="15.75" thickBot="1" x14ac:dyDescent="0.3"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10"/>
      <c r="T636" s="11"/>
      <c r="U636" s="11"/>
      <c r="V636" s="11"/>
      <c r="W636" s="21"/>
      <c r="X636" s="21"/>
      <c r="Y636" s="21"/>
      <c r="Z636" s="21"/>
      <c r="AA636" s="21"/>
    </row>
    <row r="637" spans="2:27" ht="15.75" thickBot="1" x14ac:dyDescent="0.3"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10"/>
      <c r="T637" s="11"/>
      <c r="U637" s="11"/>
      <c r="V637" s="11"/>
      <c r="W637" s="21"/>
      <c r="X637" s="21"/>
      <c r="Y637" s="21"/>
      <c r="Z637" s="21"/>
      <c r="AA637" s="21"/>
    </row>
    <row r="638" spans="2:27" ht="15.75" thickBot="1" x14ac:dyDescent="0.3"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10"/>
      <c r="T638" s="11"/>
      <c r="U638" s="11"/>
      <c r="V638" s="11"/>
      <c r="W638" s="21"/>
      <c r="X638" s="21"/>
      <c r="Y638" s="21"/>
      <c r="Z638" s="21"/>
      <c r="AA638" s="21"/>
    </row>
    <row r="639" spans="2:27" ht="15.75" thickBot="1" x14ac:dyDescent="0.3"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10"/>
      <c r="T639" s="11"/>
      <c r="U639" s="11"/>
      <c r="V639" s="11"/>
      <c r="W639" s="21"/>
      <c r="X639" s="21"/>
      <c r="Y639" s="21"/>
      <c r="Z639" s="21"/>
      <c r="AA639" s="21"/>
    </row>
    <row r="640" spans="2:27" ht="15.75" thickBot="1" x14ac:dyDescent="0.3"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10"/>
      <c r="T640" s="11"/>
      <c r="U640" s="11"/>
      <c r="V640" s="11"/>
      <c r="W640" s="21"/>
      <c r="X640" s="21"/>
      <c r="Y640" s="21"/>
      <c r="Z640" s="21"/>
      <c r="AA640" s="21"/>
    </row>
    <row r="641" spans="2:27" ht="15.75" thickBot="1" x14ac:dyDescent="0.3"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10"/>
      <c r="T641" s="11"/>
      <c r="U641" s="11"/>
      <c r="V641" s="11"/>
      <c r="W641" s="21"/>
      <c r="X641" s="21"/>
      <c r="Y641" s="21"/>
      <c r="Z641" s="21"/>
      <c r="AA641" s="21"/>
    </row>
    <row r="642" spans="2:27" ht="15.75" thickBot="1" x14ac:dyDescent="0.3"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10"/>
      <c r="T642" s="11"/>
      <c r="U642" s="11"/>
      <c r="V642" s="11"/>
      <c r="W642" s="21"/>
      <c r="X642" s="21"/>
      <c r="Y642" s="21"/>
      <c r="Z642" s="21"/>
      <c r="AA642" s="21"/>
    </row>
    <row r="643" spans="2:27" ht="15.75" thickBot="1" x14ac:dyDescent="0.3"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10"/>
      <c r="T643" s="11"/>
      <c r="U643" s="11"/>
      <c r="V643" s="11"/>
      <c r="W643" s="21"/>
      <c r="X643" s="21"/>
      <c r="Y643" s="21"/>
      <c r="Z643" s="21"/>
      <c r="AA643" s="21"/>
    </row>
    <row r="644" spans="2:27" ht="15.75" thickBot="1" x14ac:dyDescent="0.3"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10"/>
      <c r="T644" s="11"/>
      <c r="U644" s="11"/>
      <c r="V644" s="11"/>
      <c r="W644" s="21"/>
      <c r="X644" s="21"/>
      <c r="Y644" s="21"/>
      <c r="Z644" s="21"/>
      <c r="AA644" s="21"/>
    </row>
    <row r="645" spans="2:27" ht="15.75" thickBot="1" x14ac:dyDescent="0.3"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10"/>
      <c r="T645" s="11"/>
      <c r="U645" s="11"/>
      <c r="V645" s="11"/>
      <c r="W645" s="21"/>
      <c r="X645" s="21"/>
      <c r="Y645" s="21"/>
      <c r="Z645" s="21"/>
      <c r="AA645" s="21"/>
    </row>
    <row r="646" spans="2:27" ht="15.75" thickBot="1" x14ac:dyDescent="0.3"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10"/>
      <c r="T646" s="11"/>
      <c r="U646" s="11"/>
      <c r="V646" s="11"/>
      <c r="W646" s="21"/>
      <c r="X646" s="21"/>
      <c r="Y646" s="21"/>
      <c r="Z646" s="21"/>
      <c r="AA646" s="21"/>
    </row>
    <row r="647" spans="2:27" ht="15.75" thickBot="1" x14ac:dyDescent="0.3"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10"/>
      <c r="T647" s="11"/>
      <c r="U647" s="11"/>
      <c r="V647" s="11"/>
      <c r="W647" s="21"/>
      <c r="X647" s="21"/>
      <c r="Y647" s="21"/>
      <c r="Z647" s="21"/>
      <c r="AA647" s="21"/>
    </row>
    <row r="648" spans="2:27" ht="15.75" thickBot="1" x14ac:dyDescent="0.3"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10"/>
      <c r="T648" s="11"/>
      <c r="U648" s="11"/>
      <c r="V648" s="11"/>
      <c r="W648" s="21"/>
      <c r="X648" s="21"/>
      <c r="Y648" s="21"/>
      <c r="Z648" s="21"/>
      <c r="AA648" s="21"/>
    </row>
    <row r="649" spans="2:27" ht="15.75" thickBot="1" x14ac:dyDescent="0.3"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10"/>
      <c r="T649" s="11"/>
      <c r="U649" s="11"/>
      <c r="V649" s="11"/>
      <c r="W649" s="21"/>
      <c r="X649" s="21"/>
      <c r="Y649" s="21"/>
      <c r="Z649" s="21"/>
      <c r="AA649" s="21"/>
    </row>
    <row r="650" spans="2:27" ht="15.75" thickBot="1" x14ac:dyDescent="0.3"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10"/>
      <c r="T650" s="11"/>
      <c r="U650" s="11"/>
      <c r="V650" s="11"/>
      <c r="W650" s="21"/>
      <c r="X650" s="21"/>
      <c r="Y650" s="21"/>
      <c r="Z650" s="21"/>
      <c r="AA650" s="21"/>
    </row>
    <row r="651" spans="2:27" ht="15.75" thickBot="1" x14ac:dyDescent="0.3"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10"/>
      <c r="T651" s="11"/>
      <c r="U651" s="11"/>
      <c r="V651" s="11"/>
      <c r="W651" s="21"/>
      <c r="X651" s="21"/>
      <c r="Y651" s="21"/>
      <c r="Z651" s="21"/>
      <c r="AA651" s="21"/>
    </row>
    <row r="652" spans="2:27" ht="15.75" thickBot="1" x14ac:dyDescent="0.3"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10"/>
      <c r="T652" s="11"/>
      <c r="U652" s="11"/>
      <c r="V652" s="11"/>
      <c r="W652" s="21"/>
      <c r="X652" s="21"/>
      <c r="Y652" s="21"/>
      <c r="Z652" s="21"/>
      <c r="AA652" s="21"/>
    </row>
    <row r="653" spans="2:27" ht="15.75" thickBot="1" x14ac:dyDescent="0.3"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10"/>
      <c r="T653" s="11"/>
      <c r="U653" s="11"/>
      <c r="V653" s="11"/>
      <c r="W653" s="21"/>
      <c r="X653" s="21"/>
      <c r="Y653" s="21"/>
      <c r="Z653" s="21"/>
      <c r="AA653" s="21"/>
    </row>
    <row r="654" spans="2:27" ht="15.75" thickBot="1" x14ac:dyDescent="0.3"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10"/>
      <c r="T654" s="11"/>
      <c r="U654" s="11"/>
      <c r="V654" s="11"/>
      <c r="W654" s="21"/>
      <c r="X654" s="21"/>
      <c r="Y654" s="21"/>
      <c r="Z654" s="21"/>
      <c r="AA654" s="21"/>
    </row>
    <row r="655" spans="2:27" ht="15.75" thickBot="1" x14ac:dyDescent="0.3"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10"/>
      <c r="T655" s="11"/>
      <c r="U655" s="11"/>
      <c r="V655" s="11"/>
      <c r="W655" s="21"/>
      <c r="X655" s="21"/>
      <c r="Y655" s="21"/>
      <c r="Z655" s="21"/>
      <c r="AA655" s="21"/>
    </row>
    <row r="656" spans="2:27" ht="15.75" thickBot="1" x14ac:dyDescent="0.3"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10"/>
      <c r="T656" s="11"/>
      <c r="U656" s="11"/>
      <c r="V656" s="11"/>
      <c r="W656" s="21"/>
      <c r="X656" s="21"/>
      <c r="Y656" s="21"/>
      <c r="Z656" s="21"/>
      <c r="AA656" s="21"/>
    </row>
    <row r="657" spans="2:27" ht="15.75" thickBot="1" x14ac:dyDescent="0.3"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10"/>
      <c r="T657" s="11"/>
      <c r="U657" s="11"/>
      <c r="V657" s="11"/>
      <c r="W657" s="21"/>
      <c r="X657" s="21"/>
      <c r="Y657" s="21"/>
      <c r="Z657" s="21"/>
      <c r="AA657" s="21"/>
    </row>
    <row r="658" spans="2:27" ht="15.75" thickBot="1" x14ac:dyDescent="0.3"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10"/>
      <c r="T658" s="11"/>
      <c r="U658" s="11"/>
      <c r="V658" s="11"/>
      <c r="W658" s="21"/>
      <c r="X658" s="21"/>
      <c r="Y658" s="21"/>
      <c r="Z658" s="21"/>
      <c r="AA658" s="21"/>
    </row>
    <row r="659" spans="2:27" ht="15.75" thickBot="1" x14ac:dyDescent="0.3"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10"/>
      <c r="T659" s="11"/>
      <c r="U659" s="11"/>
      <c r="V659" s="11"/>
      <c r="W659" s="21"/>
      <c r="X659" s="21"/>
      <c r="Y659" s="21"/>
      <c r="Z659" s="21"/>
      <c r="AA659" s="21"/>
    </row>
    <row r="660" spans="2:27" ht="15.75" thickBot="1" x14ac:dyDescent="0.3"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10"/>
      <c r="T660" s="11"/>
      <c r="U660" s="11"/>
      <c r="V660" s="11"/>
      <c r="W660" s="21"/>
      <c r="X660" s="21"/>
      <c r="Y660" s="21"/>
      <c r="Z660" s="21"/>
      <c r="AA660" s="21"/>
    </row>
    <row r="661" spans="2:27" ht="15.75" thickBot="1" x14ac:dyDescent="0.3"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10"/>
      <c r="T661" s="11"/>
      <c r="U661" s="11"/>
      <c r="V661" s="11"/>
      <c r="W661" s="21"/>
      <c r="X661" s="21"/>
      <c r="Y661" s="21"/>
      <c r="Z661" s="21"/>
      <c r="AA661" s="21"/>
    </row>
    <row r="662" spans="2:27" ht="15.75" thickBot="1" x14ac:dyDescent="0.3"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10"/>
      <c r="T662" s="11"/>
      <c r="U662" s="11"/>
      <c r="V662" s="11"/>
      <c r="W662" s="21"/>
      <c r="X662" s="21"/>
      <c r="Y662" s="21"/>
      <c r="Z662" s="21"/>
      <c r="AA662" s="21"/>
    </row>
    <row r="663" spans="2:27" ht="15.75" thickBot="1" x14ac:dyDescent="0.3"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10"/>
      <c r="T663" s="11"/>
      <c r="U663" s="11"/>
      <c r="V663" s="11"/>
      <c r="W663" s="21"/>
      <c r="X663" s="21"/>
      <c r="Y663" s="21"/>
      <c r="Z663" s="21"/>
      <c r="AA663" s="21"/>
    </row>
    <row r="664" spans="2:27" ht="15.75" thickBot="1" x14ac:dyDescent="0.3"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10"/>
      <c r="T664" s="11"/>
      <c r="U664" s="11"/>
      <c r="V664" s="11"/>
      <c r="W664" s="21"/>
      <c r="X664" s="21"/>
      <c r="Y664" s="21"/>
      <c r="Z664" s="21"/>
      <c r="AA664" s="21"/>
    </row>
    <row r="665" spans="2:27" ht="15.75" thickBot="1" x14ac:dyDescent="0.3"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10"/>
      <c r="T665" s="11"/>
      <c r="U665" s="11"/>
      <c r="V665" s="11"/>
      <c r="W665" s="21"/>
      <c r="X665" s="21"/>
      <c r="Y665" s="21"/>
      <c r="Z665" s="21"/>
      <c r="AA665" s="21"/>
    </row>
    <row r="666" spans="2:27" ht="15.75" thickBot="1" x14ac:dyDescent="0.3"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10"/>
      <c r="T666" s="11"/>
      <c r="U666" s="11"/>
      <c r="V666" s="11"/>
      <c r="W666" s="21"/>
      <c r="X666" s="21"/>
      <c r="Y666" s="21"/>
      <c r="Z666" s="21"/>
      <c r="AA666" s="21"/>
    </row>
    <row r="667" spans="2:27" ht="15.75" thickBot="1" x14ac:dyDescent="0.3"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10"/>
      <c r="T667" s="11"/>
      <c r="U667" s="11"/>
      <c r="V667" s="11"/>
      <c r="W667" s="21"/>
      <c r="X667" s="21"/>
      <c r="Y667" s="21"/>
      <c r="Z667" s="21"/>
      <c r="AA667" s="21"/>
    </row>
    <row r="668" spans="2:27" ht="15.75" thickBot="1" x14ac:dyDescent="0.3">
      <c r="B668" s="21"/>
      <c r="C668" s="21"/>
      <c r="D668" s="21"/>
      <c r="E668" s="21"/>
      <c r="F668" s="21"/>
      <c r="G668" s="21"/>
      <c r="H668" s="21"/>
      <c r="I668" s="21"/>
      <c r="W668" s="21"/>
      <c r="X668" s="21"/>
      <c r="Y668" s="21"/>
      <c r="Z668" s="21"/>
      <c r="AA668" s="21"/>
    </row>
    <row r="669" spans="2:27" ht="15.75" thickBot="1" x14ac:dyDescent="0.3">
      <c r="B669" s="21"/>
      <c r="C669" s="21"/>
      <c r="D669" s="21"/>
      <c r="E669" s="21"/>
      <c r="F669" s="21"/>
      <c r="G669" s="21"/>
      <c r="H669" s="21"/>
      <c r="I669" s="21"/>
      <c r="W669" s="21"/>
      <c r="X669" s="21"/>
      <c r="Y669" s="21"/>
      <c r="Z669" s="21"/>
      <c r="AA669" s="21"/>
    </row>
    <row r="670" spans="2:27" ht="15.75" thickBot="1" x14ac:dyDescent="0.3">
      <c r="B670" s="21"/>
      <c r="C670" s="21"/>
      <c r="D670" s="21"/>
      <c r="E670" s="21"/>
      <c r="F670" s="21"/>
      <c r="G670" s="21"/>
      <c r="H670" s="21"/>
      <c r="I670" s="21"/>
      <c r="W670" s="21"/>
      <c r="X670" s="21"/>
      <c r="Y670" s="21"/>
      <c r="Z670" s="21"/>
      <c r="AA670" s="21"/>
    </row>
    <row r="671" spans="2:27" ht="15.75" thickBot="1" x14ac:dyDescent="0.3">
      <c r="B671" s="21"/>
      <c r="C671" s="21"/>
      <c r="D671" s="21"/>
      <c r="E671" s="21"/>
      <c r="F671" s="21"/>
      <c r="G671" s="21"/>
      <c r="H671" s="21"/>
      <c r="I671" s="21"/>
      <c r="W671" s="21"/>
      <c r="X671" s="21"/>
      <c r="Y671" s="21"/>
      <c r="Z671" s="21"/>
      <c r="AA671" s="21"/>
    </row>
    <row r="672" spans="2:27" ht="15.75" thickBot="1" x14ac:dyDescent="0.3">
      <c r="B672" s="21"/>
      <c r="C672" s="21"/>
      <c r="D672" s="21"/>
      <c r="E672" s="21"/>
      <c r="F672" s="21"/>
      <c r="G672" s="21"/>
      <c r="H672" s="21"/>
      <c r="I672" s="21"/>
      <c r="W672" s="21"/>
      <c r="X672" s="21"/>
      <c r="Y672" s="21"/>
      <c r="Z672" s="21"/>
      <c r="AA672" s="21"/>
    </row>
    <row r="673" spans="2:27" ht="15.75" thickBot="1" x14ac:dyDescent="0.3">
      <c r="B673" s="21"/>
      <c r="C673" s="21"/>
      <c r="D673" s="21"/>
      <c r="E673" s="21"/>
      <c r="F673" s="21"/>
      <c r="G673" s="21"/>
      <c r="H673" s="21"/>
      <c r="I673" s="21"/>
      <c r="W673" s="21"/>
      <c r="X673" s="21"/>
      <c r="Y673" s="21"/>
      <c r="Z673" s="21"/>
      <c r="AA673" s="21"/>
    </row>
    <row r="674" spans="2:27" ht="15.75" thickBot="1" x14ac:dyDescent="0.3">
      <c r="B674" s="21"/>
      <c r="C674" s="21"/>
      <c r="D674" s="21"/>
      <c r="E674" s="21"/>
      <c r="F674" s="21"/>
      <c r="G674" s="21"/>
      <c r="H674" s="21"/>
      <c r="I674" s="21"/>
      <c r="W674" s="21"/>
      <c r="X674" s="21"/>
      <c r="Y674" s="21"/>
      <c r="Z674" s="21"/>
      <c r="AA674" s="21"/>
    </row>
    <row r="675" spans="2:27" ht="15.75" thickBot="1" x14ac:dyDescent="0.3">
      <c r="B675" s="21"/>
      <c r="C675" s="21"/>
      <c r="D675" s="21"/>
      <c r="E675" s="21"/>
      <c r="F675" s="21"/>
      <c r="G675" s="21"/>
      <c r="H675" s="21"/>
      <c r="I675" s="21"/>
      <c r="W675" s="21"/>
      <c r="X675" s="21"/>
      <c r="Y675" s="21"/>
      <c r="Z675" s="21"/>
      <c r="AA675" s="21"/>
    </row>
    <row r="676" spans="2:27" ht="15.75" thickBot="1" x14ac:dyDescent="0.3">
      <c r="B676" s="21"/>
      <c r="C676" s="21"/>
      <c r="D676" s="21"/>
      <c r="E676" s="21"/>
      <c r="F676" s="21"/>
      <c r="G676" s="21"/>
      <c r="H676" s="21"/>
      <c r="I676" s="21"/>
      <c r="W676" s="21"/>
      <c r="X676" s="21"/>
      <c r="Y676" s="21"/>
      <c r="Z676" s="21"/>
      <c r="AA676" s="21"/>
    </row>
    <row r="677" spans="2:27" ht="15.75" thickBot="1" x14ac:dyDescent="0.3">
      <c r="B677" s="21"/>
      <c r="C677" s="21"/>
      <c r="D677" s="21"/>
      <c r="E677" s="21"/>
      <c r="F677" s="21"/>
      <c r="G677" s="21"/>
      <c r="H677" s="21"/>
      <c r="I677" s="21"/>
      <c r="W677" s="21"/>
      <c r="X677" s="21"/>
      <c r="Y677" s="21"/>
      <c r="Z677" s="21"/>
      <c r="AA677" s="21"/>
    </row>
    <row r="678" spans="2:27" ht="15.75" thickBot="1" x14ac:dyDescent="0.3">
      <c r="B678" s="21"/>
      <c r="C678" s="21"/>
      <c r="D678" s="21"/>
      <c r="E678" s="21"/>
      <c r="F678" s="21"/>
      <c r="G678" s="21"/>
      <c r="H678" s="21"/>
      <c r="I678" s="21"/>
      <c r="W678" s="21"/>
      <c r="X678" s="21"/>
      <c r="Y678" s="21"/>
      <c r="Z678" s="21"/>
      <c r="AA678" s="21"/>
    </row>
    <row r="679" spans="2:27" ht="15.75" thickBot="1" x14ac:dyDescent="0.3">
      <c r="B679" s="21"/>
      <c r="C679" s="21"/>
      <c r="D679" s="21"/>
      <c r="E679" s="21"/>
      <c r="F679" s="21"/>
      <c r="G679" s="21"/>
      <c r="H679" s="21"/>
      <c r="I679" s="21"/>
      <c r="W679" s="21"/>
      <c r="X679" s="21"/>
      <c r="Y679" s="21"/>
      <c r="Z679" s="21"/>
      <c r="AA679" s="21"/>
    </row>
    <row r="680" spans="2:27" ht="15.75" thickBot="1" x14ac:dyDescent="0.3">
      <c r="B680" s="21"/>
      <c r="C680" s="21"/>
      <c r="D680" s="21"/>
      <c r="E680" s="21"/>
      <c r="F680" s="21"/>
      <c r="G680" s="21"/>
      <c r="H680" s="21"/>
      <c r="I680" s="21"/>
      <c r="W680" s="21"/>
      <c r="X680" s="21"/>
      <c r="Y680" s="21"/>
      <c r="Z680" s="21"/>
      <c r="AA680" s="21"/>
    </row>
    <row r="681" spans="2:27" ht="15.75" thickBot="1" x14ac:dyDescent="0.3">
      <c r="B681" s="21"/>
      <c r="C681" s="21"/>
      <c r="D681" s="21"/>
      <c r="E681" s="21"/>
      <c r="F681" s="21"/>
      <c r="G681" s="21"/>
      <c r="H681" s="21"/>
      <c r="I681" s="21"/>
      <c r="W681" s="21"/>
      <c r="X681" s="21"/>
      <c r="Y681" s="21"/>
      <c r="Z681" s="21"/>
      <c r="AA681" s="21"/>
    </row>
    <row r="682" spans="2:27" ht="15.75" thickBot="1" x14ac:dyDescent="0.3">
      <c r="B682" s="21"/>
      <c r="C682" s="21"/>
      <c r="D682" s="21"/>
      <c r="E682" s="21"/>
      <c r="F682" s="21"/>
      <c r="G682" s="21"/>
      <c r="H682" s="21"/>
      <c r="I682" s="21"/>
      <c r="W682" s="21"/>
      <c r="X682" s="21"/>
      <c r="Y682" s="21"/>
      <c r="Z682" s="21"/>
      <c r="AA682" s="21"/>
    </row>
    <row r="683" spans="2:27" ht="15.75" thickBot="1" x14ac:dyDescent="0.3">
      <c r="B683" s="21"/>
      <c r="C683" s="21"/>
      <c r="D683" s="21"/>
      <c r="E683" s="21"/>
      <c r="F683" s="21"/>
      <c r="G683" s="21"/>
      <c r="H683" s="21"/>
      <c r="I683" s="21"/>
      <c r="W683" s="21"/>
      <c r="X683" s="21"/>
      <c r="Y683" s="21"/>
      <c r="Z683" s="21"/>
      <c r="AA683" s="21"/>
    </row>
    <row r="684" spans="2:27" ht="15.75" thickBot="1" x14ac:dyDescent="0.3">
      <c r="B684" s="21"/>
      <c r="C684" s="21"/>
      <c r="D684" s="21"/>
      <c r="E684" s="21"/>
      <c r="F684" s="21"/>
      <c r="G684" s="21"/>
      <c r="H684" s="21"/>
      <c r="I684" s="21"/>
      <c r="W684" s="21"/>
      <c r="X684" s="21"/>
      <c r="Y684" s="21"/>
      <c r="Z684" s="21"/>
      <c r="AA684" s="21"/>
    </row>
    <row r="685" spans="2:27" ht="15.75" thickBot="1" x14ac:dyDescent="0.3">
      <c r="B685" s="21"/>
      <c r="C685" s="21"/>
      <c r="D685" s="21"/>
      <c r="E685" s="21"/>
      <c r="F685" s="21"/>
      <c r="G685" s="21"/>
      <c r="H685" s="21"/>
      <c r="I685" s="21"/>
      <c r="W685" s="21"/>
      <c r="X685" s="21"/>
      <c r="Y685" s="21"/>
      <c r="Z685" s="21"/>
      <c r="AA685" s="21"/>
    </row>
    <row r="686" spans="2:27" ht="15.75" thickBot="1" x14ac:dyDescent="0.3">
      <c r="B686" s="21"/>
      <c r="C686" s="21"/>
      <c r="D686" s="21"/>
      <c r="E686" s="21"/>
      <c r="F686" s="21"/>
      <c r="G686" s="21"/>
      <c r="H686" s="21"/>
      <c r="I686" s="21"/>
      <c r="W686" s="21"/>
      <c r="X686" s="21"/>
      <c r="Y686" s="21"/>
      <c r="Z686" s="21"/>
      <c r="AA686" s="21"/>
    </row>
    <row r="687" spans="2:27" ht="15.75" thickBot="1" x14ac:dyDescent="0.3">
      <c r="B687" s="21"/>
      <c r="C687" s="21"/>
      <c r="D687" s="21"/>
      <c r="E687" s="21"/>
      <c r="F687" s="21"/>
      <c r="G687" s="21"/>
      <c r="H687" s="21"/>
      <c r="I687" s="21"/>
      <c r="W687" s="21"/>
      <c r="X687" s="21"/>
      <c r="Y687" s="21"/>
      <c r="Z687" s="21"/>
      <c r="AA687" s="21"/>
    </row>
    <row r="688" spans="2:27" ht="15.75" thickBot="1" x14ac:dyDescent="0.3">
      <c r="B688" s="21"/>
      <c r="C688" s="21"/>
      <c r="D688" s="21"/>
      <c r="E688" s="21"/>
      <c r="F688" s="21"/>
      <c r="G688" s="21"/>
      <c r="H688" s="21"/>
      <c r="I688" s="21"/>
      <c r="W688" s="21"/>
      <c r="X688" s="21"/>
      <c r="Y688" s="21"/>
      <c r="Z688" s="21"/>
      <c r="AA688" s="21"/>
    </row>
    <row r="689" spans="2:27" ht="15.75" thickBot="1" x14ac:dyDescent="0.3">
      <c r="B689" s="21"/>
      <c r="C689" s="21"/>
      <c r="D689" s="21"/>
      <c r="E689" s="21"/>
      <c r="F689" s="21"/>
      <c r="G689" s="21"/>
      <c r="H689" s="21"/>
      <c r="I689" s="21"/>
      <c r="W689" s="21"/>
      <c r="X689" s="21"/>
      <c r="Y689" s="21"/>
      <c r="Z689" s="21"/>
      <c r="AA689" s="21"/>
    </row>
    <row r="690" spans="2:27" ht="15.75" thickBot="1" x14ac:dyDescent="0.3">
      <c r="B690" s="21"/>
      <c r="C690" s="21"/>
      <c r="D690" s="21"/>
      <c r="E690" s="21"/>
      <c r="F690" s="21"/>
      <c r="G690" s="21"/>
      <c r="H690" s="21"/>
      <c r="I690" s="21"/>
      <c r="W690" s="21"/>
      <c r="X690" s="21"/>
      <c r="Y690" s="21"/>
      <c r="Z690" s="21"/>
      <c r="AA690" s="21"/>
    </row>
    <row r="691" spans="2:27" ht="15.75" thickBot="1" x14ac:dyDescent="0.3">
      <c r="B691" s="21"/>
      <c r="C691" s="21"/>
      <c r="D691" s="21"/>
      <c r="E691" s="21"/>
      <c r="F691" s="21"/>
      <c r="G691" s="21"/>
      <c r="H691" s="21"/>
      <c r="I691" s="21"/>
      <c r="W691" s="21"/>
      <c r="X691" s="21"/>
      <c r="Y691" s="21"/>
      <c r="Z691" s="21"/>
      <c r="AA691" s="21"/>
    </row>
    <row r="692" spans="2:27" ht="15.75" thickBot="1" x14ac:dyDescent="0.3">
      <c r="B692" s="21"/>
      <c r="C692" s="21"/>
      <c r="D692" s="21"/>
      <c r="E692" s="21"/>
      <c r="F692" s="21"/>
      <c r="G692" s="21"/>
      <c r="H692" s="21"/>
      <c r="I692" s="21"/>
      <c r="W692" s="21"/>
      <c r="X692" s="21"/>
      <c r="Y692" s="21"/>
      <c r="Z692" s="21"/>
      <c r="AA692" s="21"/>
    </row>
    <row r="693" spans="2:27" ht="15.75" thickBot="1" x14ac:dyDescent="0.3">
      <c r="B693" s="21"/>
      <c r="C693" s="21"/>
      <c r="D693" s="21"/>
      <c r="E693" s="21"/>
      <c r="F693" s="21"/>
      <c r="G693" s="21"/>
      <c r="H693" s="21"/>
      <c r="I693" s="21"/>
      <c r="W693" s="21"/>
      <c r="X693" s="21"/>
      <c r="Y693" s="21"/>
      <c r="Z693" s="21"/>
      <c r="AA693" s="21"/>
    </row>
    <row r="694" spans="2:27" ht="15.75" thickBot="1" x14ac:dyDescent="0.3">
      <c r="B694" s="21"/>
      <c r="C694" s="21"/>
      <c r="D694" s="21"/>
      <c r="E694" s="21"/>
      <c r="F694" s="21"/>
      <c r="G694" s="21"/>
      <c r="H694" s="21"/>
      <c r="I694" s="21"/>
      <c r="W694" s="21"/>
      <c r="X694" s="21"/>
      <c r="Y694" s="21"/>
      <c r="Z694" s="21"/>
      <c r="AA694" s="21"/>
    </row>
    <row r="695" spans="2:27" ht="15.75" thickBot="1" x14ac:dyDescent="0.3">
      <c r="B695" s="21"/>
      <c r="C695" s="21"/>
      <c r="D695" s="21"/>
      <c r="E695" s="21"/>
      <c r="F695" s="21"/>
      <c r="G695" s="21"/>
      <c r="H695" s="21"/>
      <c r="I695" s="21"/>
      <c r="W695" s="21"/>
      <c r="X695" s="21"/>
      <c r="Y695" s="21"/>
      <c r="Z695" s="21"/>
      <c r="AA695" s="21"/>
    </row>
    <row r="696" spans="2:27" ht="15.75" thickBot="1" x14ac:dyDescent="0.3">
      <c r="B696" s="21"/>
      <c r="C696" s="21"/>
      <c r="D696" s="21"/>
      <c r="E696" s="21"/>
      <c r="F696" s="21"/>
      <c r="G696" s="21"/>
      <c r="H696" s="21"/>
      <c r="I696" s="21"/>
      <c r="W696" s="21"/>
      <c r="X696" s="21"/>
      <c r="Y696" s="21"/>
      <c r="Z696" s="21"/>
      <c r="AA696" s="21"/>
    </row>
    <row r="697" spans="2:27" ht="15.75" thickBot="1" x14ac:dyDescent="0.3">
      <c r="B697" s="21"/>
      <c r="C697" s="21"/>
      <c r="D697" s="21"/>
      <c r="E697" s="21"/>
      <c r="F697" s="21"/>
      <c r="G697" s="21"/>
      <c r="H697" s="21"/>
      <c r="I697" s="21"/>
      <c r="W697" s="21"/>
      <c r="X697" s="21"/>
      <c r="Y697" s="21"/>
      <c r="Z697" s="21"/>
      <c r="AA697" s="21"/>
    </row>
    <row r="698" spans="2:27" ht="15.75" thickBot="1" x14ac:dyDescent="0.3">
      <c r="B698" s="21"/>
      <c r="C698" s="21"/>
      <c r="D698" s="21"/>
      <c r="E698" s="21"/>
      <c r="F698" s="21"/>
      <c r="G698" s="21"/>
      <c r="H698" s="21"/>
      <c r="I698" s="21"/>
      <c r="W698" s="21"/>
      <c r="X698" s="21"/>
      <c r="Y698" s="21"/>
      <c r="Z698" s="21"/>
      <c r="AA698" s="21"/>
    </row>
    <row r="699" spans="2:27" ht="15.75" thickBot="1" x14ac:dyDescent="0.3">
      <c r="B699" s="21"/>
      <c r="C699" s="21"/>
      <c r="D699" s="21"/>
      <c r="E699" s="21"/>
      <c r="F699" s="21"/>
      <c r="G699" s="21"/>
      <c r="H699" s="21"/>
      <c r="I699" s="21"/>
      <c r="W699" s="21"/>
      <c r="X699" s="21"/>
      <c r="Y699" s="21"/>
      <c r="Z699" s="21"/>
      <c r="AA699" s="21"/>
    </row>
    <row r="700" spans="2:27" ht="15.75" thickBot="1" x14ac:dyDescent="0.3">
      <c r="B700" s="21"/>
      <c r="C700" s="21"/>
      <c r="D700" s="21"/>
      <c r="E700" s="21"/>
      <c r="F700" s="21"/>
      <c r="G700" s="21"/>
      <c r="H700" s="21"/>
      <c r="I700" s="21"/>
      <c r="W700" s="21"/>
      <c r="X700" s="21"/>
      <c r="Y700" s="21"/>
      <c r="Z700" s="21"/>
      <c r="AA700" s="21"/>
    </row>
    <row r="701" spans="2:27" ht="15.75" thickBot="1" x14ac:dyDescent="0.3">
      <c r="B701" s="21"/>
      <c r="C701" s="21"/>
      <c r="D701" s="21"/>
      <c r="E701" s="21"/>
      <c r="F701" s="21"/>
      <c r="G701" s="21"/>
      <c r="H701" s="21"/>
      <c r="I701" s="21"/>
      <c r="W701" s="21"/>
      <c r="X701" s="21"/>
      <c r="Y701" s="21"/>
      <c r="Z701" s="21"/>
      <c r="AA701" s="21"/>
    </row>
    <row r="702" spans="2:27" ht="15.75" thickBot="1" x14ac:dyDescent="0.3">
      <c r="B702" s="21"/>
      <c r="C702" s="21"/>
      <c r="D702" s="21"/>
      <c r="E702" s="21"/>
      <c r="F702" s="21"/>
      <c r="G702" s="21"/>
      <c r="H702" s="21"/>
      <c r="I702" s="21"/>
      <c r="W702" s="21"/>
      <c r="X702" s="21"/>
      <c r="Y702" s="21"/>
      <c r="Z702" s="21"/>
      <c r="AA702" s="21"/>
    </row>
    <row r="703" spans="2:27" ht="15.75" thickBot="1" x14ac:dyDescent="0.3">
      <c r="B703" s="21"/>
      <c r="C703" s="21"/>
      <c r="D703" s="21"/>
      <c r="E703" s="21"/>
      <c r="F703" s="21"/>
      <c r="G703" s="21"/>
      <c r="H703" s="21"/>
      <c r="I703" s="21"/>
      <c r="W703" s="21"/>
      <c r="X703" s="21"/>
      <c r="Y703" s="21"/>
      <c r="Z703" s="21"/>
      <c r="AA703" s="21"/>
    </row>
    <row r="704" spans="2:27" ht="15.75" thickBot="1" x14ac:dyDescent="0.3">
      <c r="B704" s="21"/>
      <c r="C704" s="21"/>
      <c r="D704" s="21"/>
      <c r="E704" s="21"/>
      <c r="F704" s="21"/>
      <c r="G704" s="21"/>
      <c r="H704" s="21"/>
      <c r="I704" s="21"/>
      <c r="W704" s="21"/>
      <c r="X704" s="21"/>
      <c r="Y704" s="21"/>
      <c r="Z704" s="21"/>
      <c r="AA704" s="21"/>
    </row>
    <row r="705" spans="2:27" ht="15.75" thickBot="1" x14ac:dyDescent="0.3">
      <c r="B705" s="21"/>
      <c r="C705" s="21"/>
      <c r="D705" s="21"/>
      <c r="E705" s="21"/>
      <c r="F705" s="21"/>
      <c r="G705" s="21"/>
      <c r="H705" s="21"/>
      <c r="I705" s="21"/>
      <c r="W705" s="21"/>
      <c r="X705" s="21"/>
      <c r="Y705" s="21"/>
      <c r="Z705" s="21"/>
      <c r="AA705" s="21"/>
    </row>
    <row r="706" spans="2:27" ht="15.75" thickBot="1" x14ac:dyDescent="0.3">
      <c r="B706" s="21"/>
      <c r="C706" s="21"/>
      <c r="D706" s="21"/>
      <c r="E706" s="21"/>
      <c r="F706" s="21"/>
      <c r="G706" s="21"/>
      <c r="H706" s="21"/>
      <c r="I706" s="21"/>
      <c r="W706" s="21"/>
      <c r="X706" s="21"/>
      <c r="Y706" s="21"/>
      <c r="Z706" s="21"/>
      <c r="AA706" s="21"/>
    </row>
    <row r="707" spans="2:27" ht="15.75" thickBot="1" x14ac:dyDescent="0.3">
      <c r="B707" s="21"/>
      <c r="C707" s="21"/>
      <c r="D707" s="21"/>
      <c r="E707" s="21"/>
      <c r="F707" s="21"/>
      <c r="G707" s="21"/>
      <c r="H707" s="21"/>
      <c r="I707" s="21"/>
      <c r="W707" s="21"/>
      <c r="X707" s="21"/>
      <c r="Y707" s="21"/>
      <c r="Z707" s="21"/>
      <c r="AA707" s="21"/>
    </row>
    <row r="708" spans="2:27" ht="15.75" thickBot="1" x14ac:dyDescent="0.3">
      <c r="B708" s="21"/>
      <c r="C708" s="21"/>
      <c r="D708" s="21"/>
      <c r="E708" s="21"/>
      <c r="F708" s="21"/>
      <c r="G708" s="21"/>
      <c r="H708" s="21"/>
      <c r="I708" s="21"/>
      <c r="W708" s="21"/>
      <c r="X708" s="21"/>
      <c r="Y708" s="21"/>
      <c r="Z708" s="21"/>
      <c r="AA708" s="21"/>
    </row>
    <row r="709" spans="2:27" ht="15.75" thickBot="1" x14ac:dyDescent="0.3">
      <c r="B709" s="21"/>
      <c r="C709" s="21"/>
      <c r="D709" s="21"/>
      <c r="E709" s="21"/>
      <c r="F709" s="21"/>
      <c r="G709" s="21"/>
      <c r="H709" s="21"/>
      <c r="I709" s="21"/>
      <c r="W709" s="21"/>
      <c r="X709" s="21"/>
      <c r="Y709" s="21"/>
      <c r="Z709" s="21"/>
      <c r="AA709" s="21"/>
    </row>
    <row r="710" spans="2:27" ht="15.75" thickBot="1" x14ac:dyDescent="0.3">
      <c r="B710" s="21"/>
      <c r="C710" s="21"/>
      <c r="D710" s="21"/>
      <c r="E710" s="21"/>
      <c r="F710" s="21"/>
      <c r="G710" s="21"/>
      <c r="H710" s="21"/>
      <c r="I710" s="21"/>
      <c r="W710" s="21"/>
      <c r="X710" s="21"/>
      <c r="Y710" s="21"/>
      <c r="Z710" s="21"/>
      <c r="AA710" s="21"/>
    </row>
    <row r="711" spans="2:27" ht="15.75" thickBot="1" x14ac:dyDescent="0.3">
      <c r="B711" s="21"/>
      <c r="C711" s="21"/>
      <c r="D711" s="21"/>
      <c r="E711" s="21"/>
      <c r="F711" s="21"/>
      <c r="G711" s="21"/>
      <c r="H711" s="21"/>
      <c r="I711" s="21"/>
      <c r="W711" s="21"/>
      <c r="X711" s="21"/>
      <c r="Y711" s="21"/>
      <c r="Z711" s="21"/>
      <c r="AA711" s="21"/>
    </row>
    <row r="712" spans="2:27" ht="15.75" thickBot="1" x14ac:dyDescent="0.3">
      <c r="B712" s="21"/>
      <c r="C712" s="21"/>
      <c r="D712" s="21"/>
      <c r="E712" s="21"/>
      <c r="F712" s="21"/>
      <c r="G712" s="21"/>
      <c r="H712" s="21"/>
      <c r="I712" s="21"/>
      <c r="W712" s="21"/>
      <c r="X712" s="21"/>
      <c r="Y712" s="21"/>
      <c r="Z712" s="21"/>
      <c r="AA712" s="21"/>
    </row>
    <row r="713" spans="2:27" ht="15.75" thickBot="1" x14ac:dyDescent="0.3">
      <c r="B713" s="21"/>
      <c r="C713" s="21"/>
      <c r="D713" s="21"/>
      <c r="E713" s="21"/>
      <c r="F713" s="21"/>
      <c r="G713" s="21"/>
      <c r="H713" s="21"/>
      <c r="I713" s="21"/>
      <c r="W713" s="21"/>
      <c r="X713" s="21"/>
      <c r="Y713" s="21"/>
      <c r="Z713" s="21"/>
      <c r="AA713" s="21"/>
    </row>
    <row r="714" spans="2:27" ht="15.75" thickBot="1" x14ac:dyDescent="0.3">
      <c r="B714" s="21"/>
      <c r="C714" s="21"/>
      <c r="D714" s="21"/>
      <c r="E714" s="21"/>
      <c r="F714" s="21"/>
      <c r="G714" s="21"/>
      <c r="H714" s="21"/>
      <c r="I714" s="21"/>
      <c r="W714" s="21"/>
      <c r="X714" s="21"/>
      <c r="Y714" s="21"/>
      <c r="Z714" s="21"/>
      <c r="AA714" s="21"/>
    </row>
    <row r="715" spans="2:27" ht="15.75" thickBot="1" x14ac:dyDescent="0.3">
      <c r="B715" s="21"/>
      <c r="C715" s="21"/>
      <c r="D715" s="21"/>
      <c r="E715" s="21"/>
      <c r="F715" s="21"/>
      <c r="G715" s="21"/>
      <c r="H715" s="21"/>
      <c r="I715" s="21"/>
      <c r="W715" s="21"/>
      <c r="X715" s="21"/>
      <c r="Y715" s="21"/>
      <c r="Z715" s="21"/>
      <c r="AA715" s="21"/>
    </row>
    <row r="716" spans="2:27" ht="15.75" thickBot="1" x14ac:dyDescent="0.3">
      <c r="B716" s="21"/>
      <c r="C716" s="21"/>
      <c r="D716" s="21"/>
      <c r="E716" s="21"/>
      <c r="F716" s="21"/>
      <c r="G716" s="21"/>
      <c r="H716" s="21"/>
      <c r="I716" s="21"/>
      <c r="W716" s="21"/>
      <c r="X716" s="21"/>
      <c r="Y716" s="21"/>
      <c r="Z716" s="21"/>
      <c r="AA716" s="21"/>
    </row>
    <row r="717" spans="2:27" ht="15.75" thickBot="1" x14ac:dyDescent="0.3">
      <c r="B717" s="21"/>
      <c r="C717" s="21"/>
      <c r="D717" s="21"/>
      <c r="E717" s="21"/>
      <c r="F717" s="21"/>
      <c r="G717" s="21"/>
      <c r="H717" s="21"/>
      <c r="I717" s="21"/>
      <c r="W717" s="21"/>
      <c r="X717" s="21"/>
      <c r="Y717" s="21"/>
      <c r="Z717" s="21"/>
      <c r="AA717" s="21"/>
    </row>
    <row r="718" spans="2:27" ht="15.75" thickBot="1" x14ac:dyDescent="0.3">
      <c r="B718" s="21"/>
      <c r="C718" s="21"/>
      <c r="D718" s="21"/>
      <c r="E718" s="21"/>
      <c r="F718" s="21"/>
      <c r="G718" s="21"/>
      <c r="H718" s="21"/>
      <c r="I718" s="21"/>
      <c r="W718" s="21"/>
      <c r="X718" s="21"/>
      <c r="Y718" s="21"/>
      <c r="Z718" s="21"/>
      <c r="AA718" s="21"/>
    </row>
    <row r="719" spans="2:27" ht="15.75" thickBot="1" x14ac:dyDescent="0.3">
      <c r="B719" s="21"/>
      <c r="C719" s="21"/>
      <c r="D719" s="21"/>
      <c r="E719" s="21"/>
      <c r="F719" s="21"/>
      <c r="G719" s="21"/>
      <c r="H719" s="21"/>
      <c r="I719" s="21"/>
      <c r="W719" s="21"/>
      <c r="X719" s="21"/>
      <c r="Y719" s="21"/>
      <c r="Z719" s="21"/>
      <c r="AA719" s="21"/>
    </row>
    <row r="720" spans="2:27" ht="15.75" thickBot="1" x14ac:dyDescent="0.3">
      <c r="B720" s="21"/>
      <c r="C720" s="21"/>
      <c r="D720" s="21"/>
      <c r="E720" s="21"/>
      <c r="F720" s="21"/>
      <c r="G720" s="21"/>
      <c r="H720" s="21"/>
      <c r="I720" s="21"/>
      <c r="W720" s="21"/>
      <c r="X720" s="21"/>
      <c r="Y720" s="21"/>
      <c r="Z720" s="21"/>
      <c r="AA720" s="21"/>
    </row>
    <row r="721" spans="2:27" ht="15.75" thickBot="1" x14ac:dyDescent="0.3">
      <c r="B721" s="21"/>
      <c r="C721" s="21"/>
      <c r="D721" s="21"/>
      <c r="E721" s="21"/>
      <c r="F721" s="21"/>
      <c r="G721" s="21"/>
      <c r="H721" s="21"/>
      <c r="I721" s="21"/>
      <c r="W721" s="21"/>
      <c r="X721" s="21"/>
      <c r="Y721" s="21"/>
      <c r="Z721" s="21"/>
      <c r="AA721" s="21"/>
    </row>
    <row r="722" spans="2:27" ht="15.75" thickBot="1" x14ac:dyDescent="0.3">
      <c r="B722" s="21"/>
      <c r="C722" s="21"/>
      <c r="D722" s="21"/>
      <c r="E722" s="21"/>
      <c r="F722" s="21"/>
      <c r="G722" s="21"/>
      <c r="H722" s="21"/>
      <c r="I722" s="21"/>
      <c r="W722" s="21"/>
      <c r="X722" s="21"/>
      <c r="Y722" s="21"/>
      <c r="Z722" s="21"/>
      <c r="AA722" s="21"/>
    </row>
    <row r="723" spans="2:27" ht="15.75" thickBot="1" x14ac:dyDescent="0.3">
      <c r="B723" s="21"/>
      <c r="C723" s="21"/>
      <c r="D723" s="21"/>
      <c r="E723" s="21"/>
      <c r="F723" s="21"/>
      <c r="G723" s="21"/>
      <c r="H723" s="21"/>
      <c r="I723" s="21"/>
      <c r="W723" s="21"/>
      <c r="X723" s="21"/>
      <c r="Y723" s="21"/>
      <c r="Z723" s="21"/>
      <c r="AA723" s="21"/>
    </row>
    <row r="724" spans="2:27" ht="15.75" thickBot="1" x14ac:dyDescent="0.3">
      <c r="B724" s="21"/>
      <c r="C724" s="21"/>
      <c r="D724" s="21"/>
      <c r="E724" s="21"/>
      <c r="F724" s="21"/>
      <c r="G724" s="21"/>
      <c r="H724" s="21"/>
      <c r="I724" s="21"/>
      <c r="W724" s="21"/>
      <c r="X724" s="21"/>
      <c r="Y724" s="21"/>
      <c r="Z724" s="21"/>
      <c r="AA724" s="21"/>
    </row>
    <row r="725" spans="2:27" ht="15.75" thickBot="1" x14ac:dyDescent="0.3">
      <c r="B725" s="21"/>
      <c r="C725" s="21"/>
      <c r="D725" s="21"/>
      <c r="E725" s="21"/>
      <c r="F725" s="21"/>
      <c r="G725" s="21"/>
      <c r="H725" s="21"/>
      <c r="I725" s="21"/>
      <c r="W725" s="21"/>
      <c r="X725" s="21"/>
      <c r="Y725" s="21"/>
      <c r="Z725" s="21"/>
      <c r="AA725" s="21"/>
    </row>
    <row r="726" spans="2:27" ht="15.75" thickBot="1" x14ac:dyDescent="0.3">
      <c r="B726" s="21"/>
      <c r="C726" s="21"/>
      <c r="D726" s="21"/>
      <c r="E726" s="21"/>
      <c r="F726" s="21"/>
      <c r="G726" s="21"/>
      <c r="H726" s="21"/>
      <c r="I726" s="21"/>
      <c r="W726" s="21"/>
      <c r="X726" s="21"/>
      <c r="Y726" s="21"/>
      <c r="Z726" s="21"/>
      <c r="AA726" s="21"/>
    </row>
    <row r="727" spans="2:27" ht="15.75" thickBot="1" x14ac:dyDescent="0.3">
      <c r="B727" s="21"/>
      <c r="C727" s="21"/>
      <c r="D727" s="21"/>
      <c r="E727" s="21"/>
      <c r="F727" s="21"/>
      <c r="G727" s="21"/>
      <c r="H727" s="21"/>
      <c r="I727" s="21"/>
      <c r="W727" s="21"/>
      <c r="X727" s="21"/>
      <c r="Y727" s="21"/>
      <c r="Z727" s="21"/>
      <c r="AA727" s="21"/>
    </row>
    <row r="728" spans="2:27" ht="15.75" thickBot="1" x14ac:dyDescent="0.3">
      <c r="B728" s="21"/>
      <c r="C728" s="21"/>
      <c r="D728" s="21"/>
      <c r="E728" s="21"/>
      <c r="F728" s="21"/>
      <c r="G728" s="21"/>
      <c r="H728" s="21"/>
      <c r="I728" s="21"/>
      <c r="W728" s="21"/>
      <c r="X728" s="21"/>
      <c r="Y728" s="21"/>
      <c r="Z728" s="21"/>
      <c r="AA728" s="21"/>
    </row>
    <row r="729" spans="2:27" ht="15.75" thickBot="1" x14ac:dyDescent="0.3">
      <c r="B729" s="21"/>
      <c r="C729" s="21"/>
      <c r="D729" s="21"/>
      <c r="E729" s="21"/>
      <c r="F729" s="21"/>
      <c r="G729" s="21"/>
      <c r="H729" s="21"/>
      <c r="I729" s="21"/>
      <c r="W729" s="21"/>
      <c r="X729" s="21"/>
      <c r="Y729" s="21"/>
      <c r="Z729" s="21"/>
      <c r="AA729" s="21"/>
    </row>
    <row r="730" spans="2:27" ht="15.75" thickBot="1" x14ac:dyDescent="0.3">
      <c r="B730" s="21"/>
      <c r="C730" s="21"/>
      <c r="D730" s="21"/>
      <c r="E730" s="21"/>
      <c r="F730" s="21"/>
      <c r="G730" s="21"/>
      <c r="H730" s="21"/>
      <c r="I730" s="21"/>
      <c r="W730" s="21"/>
      <c r="X730" s="21"/>
      <c r="Y730" s="21"/>
      <c r="Z730" s="21"/>
      <c r="AA730" s="21"/>
    </row>
    <row r="731" spans="2:27" ht="15.75" thickBot="1" x14ac:dyDescent="0.3">
      <c r="B731" s="21"/>
      <c r="C731" s="21"/>
      <c r="D731" s="21"/>
      <c r="E731" s="21"/>
      <c r="F731" s="21"/>
      <c r="G731" s="21"/>
      <c r="H731" s="21"/>
      <c r="I731" s="21"/>
      <c r="W731" s="21"/>
      <c r="X731" s="21"/>
      <c r="Y731" s="21"/>
      <c r="Z731" s="21"/>
      <c r="AA731" s="21"/>
    </row>
    <row r="732" spans="2:27" ht="15.75" thickBot="1" x14ac:dyDescent="0.3">
      <c r="B732" s="21"/>
      <c r="C732" s="21"/>
      <c r="D732" s="21"/>
      <c r="E732" s="21"/>
      <c r="F732" s="21"/>
      <c r="G732" s="21"/>
      <c r="H732" s="21"/>
      <c r="I732" s="21"/>
      <c r="W732" s="21"/>
      <c r="X732" s="21"/>
      <c r="Y732" s="21"/>
      <c r="Z732" s="21"/>
      <c r="AA732" s="21"/>
    </row>
    <row r="733" spans="2:27" ht="15.75" thickBot="1" x14ac:dyDescent="0.3">
      <c r="B733" s="21"/>
      <c r="C733" s="21"/>
      <c r="D733" s="21"/>
      <c r="E733" s="21"/>
      <c r="F733" s="21"/>
      <c r="G733" s="21"/>
      <c r="H733" s="21"/>
      <c r="I733" s="21"/>
      <c r="W733" s="21"/>
      <c r="X733" s="21"/>
      <c r="Y733" s="21"/>
      <c r="Z733" s="21"/>
      <c r="AA733" s="21"/>
    </row>
    <row r="734" spans="2:27" ht="15.75" thickBot="1" x14ac:dyDescent="0.3">
      <c r="B734" s="21"/>
      <c r="C734" s="21"/>
      <c r="D734" s="21"/>
      <c r="E734" s="21"/>
      <c r="F734" s="21"/>
      <c r="G734" s="21"/>
      <c r="H734" s="21"/>
      <c r="I734" s="21"/>
      <c r="W734" s="21"/>
      <c r="X734" s="21"/>
      <c r="Y734" s="21"/>
      <c r="Z734" s="21"/>
      <c r="AA734" s="21"/>
    </row>
    <row r="735" spans="2:27" ht="15.75" thickBot="1" x14ac:dyDescent="0.3">
      <c r="B735" s="21"/>
      <c r="C735" s="21"/>
      <c r="D735" s="21"/>
      <c r="E735" s="21"/>
      <c r="F735" s="21"/>
      <c r="G735" s="21"/>
      <c r="H735" s="21"/>
      <c r="I735" s="21"/>
      <c r="W735" s="21"/>
      <c r="X735" s="21"/>
      <c r="Y735" s="21"/>
      <c r="Z735" s="21"/>
      <c r="AA735" s="21"/>
    </row>
    <row r="736" spans="2:27" ht="15.75" thickBot="1" x14ac:dyDescent="0.3">
      <c r="B736" s="21"/>
      <c r="C736" s="21"/>
      <c r="D736" s="21"/>
      <c r="E736" s="21"/>
      <c r="F736" s="21"/>
      <c r="G736" s="21"/>
      <c r="H736" s="21"/>
      <c r="I736" s="21"/>
      <c r="W736" s="21"/>
      <c r="X736" s="21"/>
      <c r="Y736" s="21"/>
      <c r="Z736" s="21"/>
      <c r="AA736" s="21"/>
    </row>
    <row r="737" spans="2:27" ht="15.75" thickBot="1" x14ac:dyDescent="0.3">
      <c r="B737" s="21"/>
      <c r="C737" s="21"/>
      <c r="D737" s="21"/>
      <c r="E737" s="21"/>
      <c r="F737" s="21"/>
      <c r="G737" s="21"/>
      <c r="H737" s="21"/>
      <c r="I737" s="21"/>
      <c r="W737" s="21"/>
      <c r="X737" s="21"/>
      <c r="Y737" s="21"/>
      <c r="Z737" s="21"/>
      <c r="AA737" s="21"/>
    </row>
    <row r="738" spans="2:27" ht="15.75" thickBot="1" x14ac:dyDescent="0.3">
      <c r="B738" s="21"/>
      <c r="C738" s="21"/>
      <c r="D738" s="21"/>
      <c r="E738" s="21"/>
      <c r="F738" s="21"/>
      <c r="G738" s="21"/>
      <c r="H738" s="21"/>
      <c r="I738" s="21"/>
      <c r="W738" s="21"/>
      <c r="X738" s="21"/>
      <c r="Y738" s="21"/>
      <c r="Z738" s="21"/>
      <c r="AA738" s="21"/>
    </row>
    <row r="739" spans="2:27" ht="15.75" thickBot="1" x14ac:dyDescent="0.3">
      <c r="B739" s="21"/>
      <c r="C739" s="21"/>
      <c r="D739" s="21"/>
      <c r="E739" s="21"/>
      <c r="F739" s="21"/>
      <c r="G739" s="21"/>
      <c r="H739" s="21"/>
      <c r="I739" s="21"/>
      <c r="W739" s="21"/>
      <c r="X739" s="21"/>
      <c r="Y739" s="21"/>
      <c r="Z739" s="21"/>
      <c r="AA739" s="21"/>
    </row>
    <row r="740" spans="2:27" ht="15.75" thickBot="1" x14ac:dyDescent="0.3">
      <c r="B740" s="21"/>
      <c r="C740" s="21"/>
      <c r="D740" s="21"/>
      <c r="E740" s="21"/>
      <c r="F740" s="21"/>
      <c r="G740" s="21"/>
      <c r="H740" s="21"/>
      <c r="I740" s="21"/>
      <c r="W740" s="21"/>
      <c r="X740" s="21"/>
      <c r="Y740" s="21"/>
      <c r="Z740" s="21"/>
      <c r="AA740" s="21"/>
    </row>
    <row r="741" spans="2:27" ht="15.75" thickBot="1" x14ac:dyDescent="0.3">
      <c r="B741" s="21"/>
      <c r="C741" s="21"/>
      <c r="D741" s="21"/>
      <c r="E741" s="21"/>
      <c r="F741" s="21"/>
      <c r="G741" s="21"/>
      <c r="H741" s="21"/>
      <c r="I741" s="21"/>
      <c r="W741" s="21"/>
      <c r="X741" s="21"/>
      <c r="Y741" s="21"/>
      <c r="Z741" s="21"/>
      <c r="AA741" s="21"/>
    </row>
    <row r="742" spans="2:27" ht="15.75" thickBot="1" x14ac:dyDescent="0.3">
      <c r="B742" s="21"/>
      <c r="C742" s="21"/>
      <c r="D742" s="21"/>
      <c r="E742" s="21"/>
      <c r="F742" s="21"/>
      <c r="G742" s="21"/>
      <c r="H742" s="21"/>
      <c r="I742" s="21"/>
      <c r="W742" s="21"/>
      <c r="X742" s="21"/>
      <c r="Y742" s="21"/>
      <c r="Z742" s="21"/>
      <c r="AA742" s="21"/>
    </row>
    <row r="743" spans="2:27" ht="15.75" thickBot="1" x14ac:dyDescent="0.3">
      <c r="B743" s="21"/>
      <c r="C743" s="21"/>
      <c r="D743" s="21"/>
      <c r="E743" s="21"/>
      <c r="F743" s="21"/>
      <c r="G743" s="21"/>
      <c r="H743" s="21"/>
      <c r="I743" s="21"/>
      <c r="W743" s="21"/>
      <c r="X743" s="21"/>
      <c r="Y743" s="21"/>
      <c r="Z743" s="21"/>
      <c r="AA743" s="21"/>
    </row>
    <row r="744" spans="2:27" ht="15.75" thickBot="1" x14ac:dyDescent="0.3">
      <c r="B744" s="21"/>
      <c r="C744" s="21"/>
      <c r="D744" s="21"/>
      <c r="E744" s="21"/>
      <c r="F744" s="21"/>
      <c r="G744" s="21"/>
      <c r="H744" s="21"/>
      <c r="I744" s="21"/>
      <c r="W744" s="21"/>
      <c r="X744" s="21"/>
      <c r="Y744" s="21"/>
      <c r="Z744" s="21"/>
      <c r="AA744" s="21"/>
    </row>
    <row r="745" spans="2:27" ht="15.75" thickBot="1" x14ac:dyDescent="0.3">
      <c r="B745" s="21"/>
      <c r="C745" s="21"/>
      <c r="D745" s="21"/>
      <c r="E745" s="21"/>
      <c r="F745" s="21"/>
      <c r="G745" s="21"/>
      <c r="H745" s="21"/>
      <c r="I745" s="21"/>
      <c r="W745" s="21"/>
      <c r="X745" s="21"/>
      <c r="Y745" s="21"/>
      <c r="Z745" s="21"/>
      <c r="AA745" s="21"/>
    </row>
    <row r="746" spans="2:27" ht="15.75" thickBot="1" x14ac:dyDescent="0.3">
      <c r="B746" s="21"/>
      <c r="C746" s="21"/>
      <c r="D746" s="21"/>
      <c r="E746" s="21"/>
      <c r="F746" s="21"/>
      <c r="G746" s="21"/>
      <c r="H746" s="21"/>
      <c r="I746" s="21"/>
      <c r="W746" s="21"/>
      <c r="X746" s="21"/>
      <c r="Y746" s="21"/>
      <c r="Z746" s="21"/>
      <c r="AA746" s="21"/>
    </row>
    <row r="747" spans="2:27" ht="15.75" thickBot="1" x14ac:dyDescent="0.3">
      <c r="B747" s="21"/>
      <c r="C747" s="21"/>
      <c r="D747" s="21"/>
      <c r="E747" s="21"/>
      <c r="F747" s="21"/>
      <c r="G747" s="21"/>
      <c r="H747" s="21"/>
      <c r="I747" s="21"/>
      <c r="W747" s="21"/>
      <c r="X747" s="21"/>
      <c r="Y747" s="21"/>
      <c r="Z747" s="21"/>
      <c r="AA747" s="21"/>
    </row>
    <row r="748" spans="2:27" ht="15.75" thickBot="1" x14ac:dyDescent="0.3">
      <c r="B748" s="21"/>
      <c r="C748" s="21"/>
      <c r="D748" s="21"/>
      <c r="E748" s="21"/>
      <c r="F748" s="21"/>
      <c r="G748" s="21"/>
      <c r="H748" s="21"/>
      <c r="I748" s="21"/>
      <c r="W748" s="21"/>
      <c r="X748" s="21"/>
      <c r="Y748" s="21"/>
      <c r="Z748" s="21"/>
      <c r="AA748" s="21"/>
    </row>
    <row r="749" spans="2:27" ht="15.75" thickBot="1" x14ac:dyDescent="0.3">
      <c r="B749" s="21"/>
      <c r="C749" s="21"/>
      <c r="D749" s="21"/>
      <c r="E749" s="21"/>
      <c r="F749" s="21"/>
      <c r="G749" s="21"/>
      <c r="H749" s="21"/>
      <c r="I749" s="21"/>
      <c r="W749" s="21"/>
      <c r="X749" s="21"/>
      <c r="Y749" s="21"/>
      <c r="Z749" s="21"/>
      <c r="AA749" s="21"/>
    </row>
    <row r="750" spans="2:27" ht="15.75" thickBot="1" x14ac:dyDescent="0.3">
      <c r="B750" s="21"/>
      <c r="C750" s="21"/>
      <c r="D750" s="21"/>
      <c r="E750" s="21"/>
      <c r="F750" s="21"/>
      <c r="G750" s="21"/>
      <c r="H750" s="21"/>
      <c r="I750" s="21"/>
      <c r="W750" s="21"/>
      <c r="X750" s="21"/>
      <c r="Y750" s="21"/>
      <c r="Z750" s="21"/>
      <c r="AA750" s="21"/>
    </row>
    <row r="751" spans="2:27" ht="15.75" thickBot="1" x14ac:dyDescent="0.3">
      <c r="B751" s="21"/>
      <c r="C751" s="21"/>
      <c r="D751" s="21"/>
      <c r="E751" s="21"/>
      <c r="F751" s="21"/>
      <c r="G751" s="21"/>
      <c r="H751" s="21"/>
      <c r="I751" s="21"/>
      <c r="W751" s="21"/>
      <c r="X751" s="21"/>
      <c r="Y751" s="21"/>
      <c r="Z751" s="21"/>
      <c r="AA751" s="21"/>
    </row>
    <row r="752" spans="2:27" ht="15.75" thickBot="1" x14ac:dyDescent="0.3">
      <c r="B752" s="21"/>
      <c r="C752" s="21"/>
      <c r="D752" s="21"/>
      <c r="E752" s="21"/>
      <c r="F752" s="21"/>
      <c r="G752" s="21"/>
      <c r="H752" s="21"/>
      <c r="I752" s="21"/>
      <c r="W752" s="21"/>
      <c r="X752" s="21"/>
      <c r="Y752" s="21"/>
      <c r="Z752" s="21"/>
      <c r="AA752" s="21"/>
    </row>
    <row r="753" spans="2:27" ht="15.75" thickBot="1" x14ac:dyDescent="0.3">
      <c r="B753" s="21"/>
      <c r="C753" s="21"/>
      <c r="D753" s="21"/>
      <c r="E753" s="21"/>
      <c r="F753" s="21"/>
      <c r="G753" s="21"/>
      <c r="H753" s="21"/>
      <c r="I753" s="21"/>
      <c r="W753" s="21"/>
      <c r="X753" s="21"/>
      <c r="Y753" s="21"/>
      <c r="Z753" s="21"/>
      <c r="AA753" s="21"/>
    </row>
    <row r="754" spans="2:27" ht="15.75" thickBot="1" x14ac:dyDescent="0.3">
      <c r="B754" s="21"/>
      <c r="C754" s="21"/>
      <c r="D754" s="21"/>
      <c r="E754" s="21"/>
      <c r="F754" s="21"/>
      <c r="G754" s="21"/>
      <c r="H754" s="21"/>
      <c r="I754" s="21"/>
      <c r="W754" s="21"/>
      <c r="X754" s="21"/>
      <c r="Y754" s="21"/>
      <c r="Z754" s="21"/>
      <c r="AA754" s="21"/>
    </row>
    <row r="755" spans="2:27" ht="15.75" thickBot="1" x14ac:dyDescent="0.3">
      <c r="B755" s="21"/>
      <c r="C755" s="21"/>
      <c r="D755" s="21"/>
      <c r="E755" s="21"/>
      <c r="F755" s="21"/>
      <c r="G755" s="21"/>
      <c r="H755" s="21"/>
      <c r="I755" s="21"/>
      <c r="W755" s="21"/>
      <c r="X755" s="21"/>
      <c r="Y755" s="21"/>
      <c r="Z755" s="21"/>
      <c r="AA755" s="21"/>
    </row>
    <row r="756" spans="2:27" ht="15.75" thickBot="1" x14ac:dyDescent="0.3">
      <c r="B756" s="21"/>
      <c r="C756" s="21"/>
      <c r="D756" s="21"/>
      <c r="E756" s="21"/>
      <c r="F756" s="21"/>
      <c r="G756" s="21"/>
      <c r="H756" s="21"/>
      <c r="I756" s="21"/>
      <c r="W756" s="21"/>
      <c r="X756" s="21"/>
      <c r="Y756" s="21"/>
      <c r="Z756" s="21"/>
      <c r="AA756" s="21"/>
    </row>
    <row r="757" spans="2:27" ht="15.75" thickBot="1" x14ac:dyDescent="0.3">
      <c r="B757" s="21"/>
      <c r="C757" s="21"/>
      <c r="D757" s="21"/>
      <c r="E757" s="21"/>
      <c r="F757" s="21"/>
      <c r="G757" s="21"/>
      <c r="H757" s="21"/>
      <c r="I757" s="21"/>
      <c r="W757" s="21"/>
      <c r="X757" s="21"/>
      <c r="Y757" s="21"/>
      <c r="Z757" s="21"/>
      <c r="AA757" s="21"/>
    </row>
    <row r="758" spans="2:27" ht="15.75" thickBot="1" x14ac:dyDescent="0.3">
      <c r="B758" s="21"/>
      <c r="C758" s="21"/>
      <c r="D758" s="21"/>
      <c r="E758" s="21"/>
      <c r="F758" s="21"/>
      <c r="G758" s="21"/>
      <c r="H758" s="21"/>
      <c r="I758" s="21"/>
      <c r="W758" s="21"/>
      <c r="X758" s="21"/>
      <c r="Y758" s="21"/>
      <c r="Z758" s="21"/>
      <c r="AA758" s="21"/>
    </row>
    <row r="759" spans="2:27" ht="15.75" thickBot="1" x14ac:dyDescent="0.3">
      <c r="B759" s="21"/>
      <c r="C759" s="21"/>
      <c r="D759" s="21"/>
      <c r="E759" s="21"/>
      <c r="F759" s="21"/>
      <c r="G759" s="21"/>
      <c r="H759" s="21"/>
      <c r="I759" s="21"/>
      <c r="W759" s="21"/>
      <c r="X759" s="21"/>
      <c r="Y759" s="21"/>
      <c r="Z759" s="21"/>
      <c r="AA759" s="21"/>
    </row>
    <row r="760" spans="2:27" ht="15.75" thickBot="1" x14ac:dyDescent="0.3">
      <c r="B760" s="21"/>
      <c r="C760" s="21"/>
      <c r="D760" s="21"/>
      <c r="E760" s="21"/>
      <c r="F760" s="21"/>
      <c r="G760" s="21"/>
      <c r="H760" s="21"/>
      <c r="I760" s="21"/>
      <c r="W760" s="21"/>
      <c r="X760" s="21"/>
      <c r="Y760" s="21"/>
      <c r="Z760" s="21"/>
      <c r="AA760" s="21"/>
    </row>
    <row r="761" spans="2:27" ht="15.75" thickBot="1" x14ac:dyDescent="0.3">
      <c r="B761" s="21"/>
      <c r="C761" s="21"/>
      <c r="D761" s="21"/>
      <c r="E761" s="21"/>
      <c r="F761" s="21"/>
      <c r="G761" s="21"/>
      <c r="H761" s="21"/>
      <c r="I761" s="21"/>
      <c r="W761" s="21"/>
      <c r="X761" s="21"/>
      <c r="Y761" s="21"/>
      <c r="Z761" s="21"/>
      <c r="AA761" s="21"/>
    </row>
    <row r="762" spans="2:27" ht="15.75" thickBot="1" x14ac:dyDescent="0.3">
      <c r="B762" s="21"/>
      <c r="C762" s="21"/>
      <c r="D762" s="21"/>
      <c r="E762" s="21"/>
      <c r="F762" s="21"/>
      <c r="G762" s="21"/>
      <c r="H762" s="21"/>
      <c r="I762" s="21"/>
      <c r="W762" s="21"/>
      <c r="X762" s="21"/>
      <c r="Y762" s="21"/>
      <c r="Z762" s="21"/>
      <c r="AA762" s="21"/>
    </row>
    <row r="763" spans="2:27" ht="15.75" thickBot="1" x14ac:dyDescent="0.3">
      <c r="B763" s="21"/>
      <c r="C763" s="21"/>
      <c r="D763" s="21"/>
      <c r="E763" s="21"/>
      <c r="F763" s="21"/>
      <c r="G763" s="21"/>
      <c r="H763" s="21"/>
      <c r="I763" s="21"/>
      <c r="W763" s="21"/>
      <c r="X763" s="21"/>
      <c r="Y763" s="21"/>
      <c r="Z763" s="21"/>
      <c r="AA763" s="21"/>
    </row>
    <row r="764" spans="2:27" ht="15.75" thickBot="1" x14ac:dyDescent="0.3">
      <c r="B764" s="21"/>
      <c r="C764" s="21"/>
      <c r="D764" s="21"/>
      <c r="E764" s="21"/>
      <c r="F764" s="21"/>
      <c r="G764" s="21"/>
      <c r="H764" s="21"/>
      <c r="I764" s="21"/>
      <c r="W764" s="21"/>
      <c r="X764" s="21"/>
      <c r="Y764" s="21"/>
      <c r="Z764" s="21"/>
      <c r="AA764" s="21"/>
    </row>
    <row r="765" spans="2:27" ht="15.75" thickBot="1" x14ac:dyDescent="0.3">
      <c r="B765" s="21"/>
      <c r="C765" s="21"/>
      <c r="D765" s="21"/>
      <c r="E765" s="21"/>
      <c r="F765" s="21"/>
      <c r="G765" s="21"/>
      <c r="H765" s="21"/>
      <c r="I765" s="21"/>
      <c r="W765" s="21"/>
      <c r="X765" s="21"/>
      <c r="Y765" s="21"/>
      <c r="Z765" s="21"/>
      <c r="AA765" s="21"/>
    </row>
    <row r="766" spans="2:27" ht="15.75" thickBot="1" x14ac:dyDescent="0.3">
      <c r="B766" s="21"/>
      <c r="C766" s="21"/>
      <c r="D766" s="21"/>
      <c r="E766" s="21"/>
      <c r="F766" s="21"/>
      <c r="G766" s="21"/>
      <c r="H766" s="21"/>
      <c r="I766" s="21"/>
      <c r="W766" s="21"/>
      <c r="X766" s="21"/>
      <c r="Y766" s="21"/>
      <c r="Z766" s="21"/>
      <c r="AA766" s="21"/>
    </row>
    <row r="767" spans="2:27" ht="15.75" thickBot="1" x14ac:dyDescent="0.3">
      <c r="B767" s="21"/>
      <c r="C767" s="21"/>
      <c r="D767" s="21"/>
      <c r="E767" s="21"/>
      <c r="F767" s="21"/>
      <c r="G767" s="21"/>
      <c r="H767" s="21"/>
      <c r="I767" s="21"/>
      <c r="W767" s="21"/>
      <c r="X767" s="21"/>
      <c r="Y767" s="21"/>
      <c r="Z767" s="21"/>
      <c r="AA767" s="21"/>
    </row>
    <row r="768" spans="2:27" ht="15.75" thickBot="1" x14ac:dyDescent="0.3">
      <c r="B768" s="21"/>
      <c r="C768" s="21"/>
      <c r="D768" s="21"/>
      <c r="E768" s="21"/>
      <c r="F768" s="21"/>
      <c r="G768" s="21"/>
      <c r="H768" s="21"/>
      <c r="I768" s="21"/>
      <c r="W768" s="21"/>
      <c r="X768" s="21"/>
      <c r="Y768" s="21"/>
      <c r="Z768" s="21"/>
      <c r="AA768" s="21"/>
    </row>
    <row r="769" spans="2:27" ht="15.75" thickBot="1" x14ac:dyDescent="0.3">
      <c r="B769" s="21"/>
      <c r="C769" s="21"/>
      <c r="D769" s="21"/>
      <c r="E769" s="21"/>
      <c r="F769" s="21"/>
      <c r="G769" s="21"/>
      <c r="H769" s="21"/>
      <c r="I769" s="21"/>
      <c r="W769" s="21"/>
      <c r="X769" s="21"/>
      <c r="Y769" s="21"/>
      <c r="Z769" s="21"/>
      <c r="AA769" s="21"/>
    </row>
    <row r="770" spans="2:27" ht="15.75" thickBot="1" x14ac:dyDescent="0.3">
      <c r="B770" s="21"/>
      <c r="C770" s="21"/>
      <c r="D770" s="21"/>
      <c r="E770" s="21"/>
      <c r="F770" s="21"/>
      <c r="G770" s="21"/>
      <c r="H770" s="21"/>
      <c r="I770" s="21"/>
      <c r="W770" s="21"/>
      <c r="X770" s="21"/>
      <c r="Y770" s="21"/>
      <c r="Z770" s="21"/>
      <c r="AA770" s="21"/>
    </row>
    <row r="771" spans="2:27" ht="15.75" thickBot="1" x14ac:dyDescent="0.3">
      <c r="B771" s="21"/>
      <c r="C771" s="21"/>
      <c r="D771" s="21"/>
      <c r="E771" s="21"/>
      <c r="F771" s="21"/>
      <c r="G771" s="21"/>
      <c r="H771" s="21"/>
      <c r="I771" s="21"/>
      <c r="W771" s="21"/>
      <c r="X771" s="21"/>
      <c r="Y771" s="21"/>
      <c r="Z771" s="21"/>
      <c r="AA771" s="21"/>
    </row>
    <row r="772" spans="2:27" ht="15.75" thickBot="1" x14ac:dyDescent="0.3">
      <c r="B772" s="21"/>
      <c r="C772" s="21"/>
      <c r="D772" s="21"/>
      <c r="E772" s="21"/>
      <c r="F772" s="21"/>
      <c r="G772" s="21"/>
      <c r="H772" s="21"/>
      <c r="I772" s="21"/>
      <c r="W772" s="21"/>
      <c r="X772" s="21"/>
      <c r="Y772" s="21"/>
      <c r="Z772" s="21"/>
      <c r="AA772" s="21"/>
    </row>
    <row r="773" spans="2:27" ht="15.75" thickBot="1" x14ac:dyDescent="0.3">
      <c r="B773" s="21"/>
      <c r="C773" s="21"/>
      <c r="D773" s="21"/>
      <c r="E773" s="21"/>
      <c r="F773" s="21"/>
      <c r="G773" s="21"/>
      <c r="H773" s="21"/>
      <c r="I773" s="21"/>
      <c r="W773" s="21"/>
      <c r="X773" s="21"/>
      <c r="Y773" s="21"/>
      <c r="Z773" s="21"/>
      <c r="AA773" s="21"/>
    </row>
    <row r="774" spans="2:27" ht="15.75" thickBot="1" x14ac:dyDescent="0.3">
      <c r="B774" s="21"/>
      <c r="C774" s="21"/>
      <c r="D774" s="21"/>
      <c r="E774" s="21"/>
      <c r="F774" s="21"/>
      <c r="G774" s="21"/>
      <c r="H774" s="21"/>
      <c r="I774" s="21"/>
      <c r="W774" s="21"/>
      <c r="X774" s="21"/>
      <c r="Y774" s="21"/>
      <c r="Z774" s="21"/>
      <c r="AA774" s="21"/>
    </row>
    <row r="775" spans="2:27" ht="15.75" thickBot="1" x14ac:dyDescent="0.3">
      <c r="B775" s="21"/>
      <c r="C775" s="21"/>
      <c r="D775" s="21"/>
      <c r="E775" s="21"/>
      <c r="F775" s="21"/>
      <c r="G775" s="21"/>
      <c r="H775" s="21"/>
      <c r="I775" s="21"/>
      <c r="W775" s="21"/>
      <c r="X775" s="21"/>
      <c r="Y775" s="21"/>
      <c r="Z775" s="21"/>
      <c r="AA775" s="21"/>
    </row>
    <row r="776" spans="2:27" ht="15.75" thickBot="1" x14ac:dyDescent="0.3">
      <c r="B776" s="21"/>
      <c r="C776" s="21"/>
      <c r="D776" s="21"/>
      <c r="E776" s="21"/>
      <c r="F776" s="21"/>
      <c r="G776" s="21"/>
      <c r="H776" s="21"/>
      <c r="I776" s="21"/>
      <c r="W776" s="21"/>
      <c r="X776" s="21"/>
      <c r="Y776" s="21"/>
      <c r="Z776" s="21"/>
      <c r="AA776" s="21"/>
    </row>
    <row r="777" spans="2:27" ht="15.75" thickBot="1" x14ac:dyDescent="0.3">
      <c r="B777" s="21"/>
      <c r="C777" s="21"/>
      <c r="D777" s="21"/>
      <c r="E777" s="21"/>
      <c r="F777" s="21"/>
      <c r="G777" s="21"/>
      <c r="H777" s="21"/>
      <c r="I777" s="21"/>
      <c r="W777" s="21"/>
      <c r="X777" s="21"/>
      <c r="Y777" s="21"/>
      <c r="Z777" s="21"/>
      <c r="AA777" s="21"/>
    </row>
    <row r="778" spans="2:27" ht="15.75" thickBot="1" x14ac:dyDescent="0.3">
      <c r="B778" s="21"/>
      <c r="C778" s="21"/>
      <c r="D778" s="21"/>
      <c r="E778" s="21"/>
      <c r="F778" s="21"/>
      <c r="G778" s="21"/>
      <c r="H778" s="21"/>
      <c r="I778" s="21"/>
      <c r="W778" s="21"/>
      <c r="X778" s="21"/>
      <c r="Y778" s="21"/>
      <c r="Z778" s="21"/>
      <c r="AA778" s="21"/>
    </row>
    <row r="779" spans="2:27" ht="15.75" thickBot="1" x14ac:dyDescent="0.3">
      <c r="B779" s="21"/>
      <c r="C779" s="21"/>
      <c r="D779" s="21"/>
      <c r="E779" s="21"/>
      <c r="F779" s="21"/>
      <c r="G779" s="21"/>
      <c r="H779" s="21"/>
      <c r="I779" s="21"/>
      <c r="W779" s="21"/>
      <c r="X779" s="21"/>
      <c r="Y779" s="21"/>
      <c r="Z779" s="21"/>
      <c r="AA779" s="21"/>
    </row>
    <row r="780" spans="2:27" ht="15.75" thickBot="1" x14ac:dyDescent="0.3">
      <c r="B780" s="21"/>
      <c r="C780" s="21"/>
      <c r="D780" s="21"/>
      <c r="E780" s="21"/>
      <c r="F780" s="21"/>
      <c r="G780" s="21"/>
      <c r="H780" s="21"/>
      <c r="I780" s="21"/>
      <c r="W780" s="21"/>
      <c r="X780" s="21"/>
      <c r="Y780" s="21"/>
      <c r="Z780" s="21"/>
      <c r="AA780" s="21"/>
    </row>
    <row r="781" spans="2:27" ht="15.75" thickBot="1" x14ac:dyDescent="0.3">
      <c r="B781" s="21"/>
      <c r="C781" s="21"/>
      <c r="D781" s="21"/>
      <c r="E781" s="21"/>
      <c r="F781" s="21"/>
      <c r="G781" s="21"/>
      <c r="H781" s="21"/>
      <c r="I781" s="21"/>
      <c r="W781" s="21"/>
      <c r="X781" s="21"/>
      <c r="Y781" s="21"/>
      <c r="Z781" s="21"/>
      <c r="AA781" s="21"/>
    </row>
    <row r="782" spans="2:27" ht="15.75" thickBot="1" x14ac:dyDescent="0.3">
      <c r="B782" s="21"/>
      <c r="C782" s="21"/>
      <c r="D782" s="21"/>
      <c r="E782" s="21"/>
      <c r="F782" s="21"/>
      <c r="G782" s="21"/>
      <c r="H782" s="21"/>
      <c r="I782" s="21"/>
      <c r="W782" s="21"/>
      <c r="X782" s="21"/>
      <c r="Y782" s="21"/>
      <c r="Z782" s="21"/>
      <c r="AA782" s="21"/>
    </row>
    <row r="783" spans="2:27" ht="15.75" thickBot="1" x14ac:dyDescent="0.3">
      <c r="B783" s="21"/>
      <c r="C783" s="21"/>
      <c r="D783" s="21"/>
      <c r="E783" s="21"/>
      <c r="F783" s="21"/>
      <c r="G783" s="21"/>
      <c r="H783" s="21"/>
      <c r="I783" s="21"/>
      <c r="W783" s="21"/>
      <c r="X783" s="21"/>
      <c r="Y783" s="21"/>
      <c r="Z783" s="21"/>
      <c r="AA783" s="21"/>
    </row>
    <row r="784" spans="2:27" ht="15.75" thickBot="1" x14ac:dyDescent="0.3">
      <c r="B784" s="21"/>
      <c r="C784" s="21"/>
      <c r="D784" s="21"/>
      <c r="E784" s="21"/>
      <c r="F784" s="21"/>
      <c r="G784" s="21"/>
      <c r="H784" s="21"/>
      <c r="I784" s="21"/>
      <c r="W784" s="21"/>
      <c r="X784" s="21"/>
      <c r="Y784" s="21"/>
      <c r="Z784" s="21"/>
      <c r="AA784" s="21"/>
    </row>
    <row r="785" spans="2:27" ht="15.75" thickBot="1" x14ac:dyDescent="0.3">
      <c r="B785" s="21"/>
      <c r="C785" s="21"/>
      <c r="D785" s="21"/>
      <c r="E785" s="21"/>
      <c r="F785" s="21"/>
      <c r="G785" s="21"/>
      <c r="H785" s="21"/>
      <c r="I785" s="21"/>
      <c r="W785" s="21"/>
      <c r="X785" s="21"/>
      <c r="Y785" s="21"/>
      <c r="Z785" s="21"/>
      <c r="AA785" s="21"/>
    </row>
    <row r="786" spans="2:27" ht="15.75" thickBot="1" x14ac:dyDescent="0.3">
      <c r="B786" s="21"/>
      <c r="C786" s="21"/>
      <c r="D786" s="21"/>
      <c r="E786" s="21"/>
      <c r="F786" s="21"/>
      <c r="G786" s="21"/>
      <c r="H786" s="21"/>
      <c r="I786" s="21"/>
      <c r="W786" s="21"/>
      <c r="X786" s="21"/>
      <c r="Y786" s="21"/>
      <c r="Z786" s="21"/>
      <c r="AA786" s="21"/>
    </row>
    <row r="787" spans="2:27" ht="15.75" thickBot="1" x14ac:dyDescent="0.3">
      <c r="B787" s="21"/>
      <c r="C787" s="21"/>
      <c r="D787" s="21"/>
      <c r="E787" s="21"/>
      <c r="F787" s="21"/>
      <c r="G787" s="21"/>
      <c r="H787" s="21"/>
      <c r="I787" s="21"/>
      <c r="W787" s="21"/>
      <c r="X787" s="21"/>
      <c r="Y787" s="21"/>
      <c r="Z787" s="21"/>
      <c r="AA787" s="21"/>
    </row>
    <row r="788" spans="2:27" ht="15.75" thickBot="1" x14ac:dyDescent="0.3">
      <c r="B788" s="21"/>
      <c r="C788" s="21"/>
      <c r="D788" s="21"/>
      <c r="E788" s="21"/>
      <c r="F788" s="21"/>
      <c r="G788" s="21"/>
      <c r="H788" s="21"/>
      <c r="I788" s="21"/>
      <c r="W788" s="21"/>
      <c r="X788" s="21"/>
      <c r="Y788" s="21"/>
      <c r="Z788" s="21"/>
      <c r="AA788" s="21"/>
    </row>
    <row r="789" spans="2:27" ht="15.75" thickBot="1" x14ac:dyDescent="0.3">
      <c r="B789" s="21"/>
      <c r="C789" s="21"/>
      <c r="D789" s="21"/>
      <c r="E789" s="21"/>
      <c r="F789" s="21"/>
      <c r="G789" s="21"/>
      <c r="H789" s="21"/>
      <c r="I789" s="21"/>
      <c r="W789" s="21"/>
      <c r="X789" s="21"/>
      <c r="Y789" s="21"/>
      <c r="Z789" s="21"/>
      <c r="AA789" s="21"/>
    </row>
    <row r="790" spans="2:27" ht="15.75" thickBot="1" x14ac:dyDescent="0.3">
      <c r="B790" s="21"/>
      <c r="C790" s="21"/>
      <c r="D790" s="21"/>
      <c r="E790" s="21"/>
      <c r="F790" s="21"/>
      <c r="G790" s="21"/>
      <c r="H790" s="21"/>
      <c r="I790" s="21"/>
      <c r="W790" s="21"/>
      <c r="X790" s="21"/>
      <c r="Y790" s="21"/>
      <c r="Z790" s="21"/>
      <c r="AA790" s="21"/>
    </row>
    <row r="791" spans="2:27" ht="15.75" thickBot="1" x14ac:dyDescent="0.3">
      <c r="B791" s="21"/>
      <c r="C791" s="21"/>
      <c r="D791" s="21"/>
      <c r="E791" s="21"/>
      <c r="F791" s="21"/>
      <c r="G791" s="21"/>
      <c r="H791" s="21"/>
      <c r="I791" s="21"/>
      <c r="W791" s="21"/>
      <c r="X791" s="21"/>
      <c r="Y791" s="21"/>
      <c r="Z791" s="21"/>
      <c r="AA791" s="21"/>
    </row>
    <row r="792" spans="2:27" ht="15.75" thickBot="1" x14ac:dyDescent="0.3">
      <c r="B792" s="21"/>
      <c r="C792" s="21"/>
      <c r="D792" s="21"/>
      <c r="E792" s="21"/>
      <c r="F792" s="21"/>
      <c r="G792" s="21"/>
      <c r="H792" s="21"/>
      <c r="I792" s="21"/>
      <c r="W792" s="21"/>
      <c r="X792" s="21"/>
      <c r="Y792" s="21"/>
      <c r="Z792" s="21"/>
      <c r="AA792" s="21"/>
    </row>
    <row r="793" spans="2:27" ht="15.75" thickBot="1" x14ac:dyDescent="0.3">
      <c r="B793" s="21"/>
      <c r="C793" s="21"/>
      <c r="D793" s="21"/>
      <c r="E793" s="21"/>
      <c r="F793" s="21"/>
      <c r="G793" s="21"/>
      <c r="H793" s="21"/>
      <c r="I793" s="21"/>
      <c r="W793" s="21"/>
      <c r="X793" s="21"/>
      <c r="Y793" s="21"/>
      <c r="Z793" s="21"/>
      <c r="AA793" s="21"/>
    </row>
    <row r="794" spans="2:27" ht="15.75" thickBot="1" x14ac:dyDescent="0.3">
      <c r="B794" s="21"/>
      <c r="C794" s="21"/>
      <c r="D794" s="21"/>
      <c r="E794" s="21"/>
      <c r="F794" s="21"/>
      <c r="G794" s="21"/>
      <c r="H794" s="21"/>
      <c r="I794" s="21"/>
      <c r="W794" s="21"/>
      <c r="X794" s="21"/>
      <c r="Y794" s="21"/>
      <c r="Z794" s="21"/>
      <c r="AA794" s="21"/>
    </row>
    <row r="795" spans="2:27" ht="15.75" thickBot="1" x14ac:dyDescent="0.3">
      <c r="B795" s="21"/>
      <c r="C795" s="21"/>
      <c r="D795" s="21"/>
      <c r="E795" s="21"/>
      <c r="F795" s="21"/>
      <c r="G795" s="21"/>
      <c r="H795" s="21"/>
      <c r="I795" s="21"/>
      <c r="W795" s="21"/>
      <c r="X795" s="21"/>
      <c r="Y795" s="21"/>
      <c r="Z795" s="21"/>
      <c r="AA795" s="21"/>
    </row>
    <row r="796" spans="2:27" ht="15.75" thickBot="1" x14ac:dyDescent="0.3">
      <c r="B796" s="21"/>
      <c r="C796" s="21"/>
      <c r="D796" s="21"/>
      <c r="E796" s="21"/>
      <c r="F796" s="21"/>
      <c r="G796" s="21"/>
      <c r="H796" s="21"/>
      <c r="I796" s="21"/>
      <c r="W796" s="21"/>
      <c r="X796" s="21"/>
      <c r="Y796" s="21"/>
      <c r="Z796" s="21"/>
      <c r="AA796" s="21"/>
    </row>
    <row r="797" spans="2:27" ht="15.75" thickBot="1" x14ac:dyDescent="0.3">
      <c r="B797" s="21"/>
      <c r="C797" s="21"/>
      <c r="D797" s="21"/>
      <c r="E797" s="21"/>
      <c r="F797" s="21"/>
      <c r="G797" s="21"/>
      <c r="H797" s="21"/>
      <c r="I797" s="21"/>
      <c r="W797" s="21"/>
      <c r="X797" s="21"/>
      <c r="Y797" s="21"/>
      <c r="Z797" s="21"/>
      <c r="AA797" s="21"/>
    </row>
    <row r="798" spans="2:27" ht="15.75" thickBot="1" x14ac:dyDescent="0.3">
      <c r="B798" s="21"/>
      <c r="C798" s="21"/>
      <c r="D798" s="21"/>
      <c r="E798" s="21"/>
      <c r="F798" s="21"/>
      <c r="G798" s="21"/>
      <c r="H798" s="21"/>
      <c r="I798" s="21"/>
      <c r="W798" s="21"/>
      <c r="X798" s="21"/>
      <c r="Y798" s="21"/>
      <c r="Z798" s="21"/>
      <c r="AA798" s="21"/>
    </row>
    <row r="799" spans="2:27" ht="15.75" thickBot="1" x14ac:dyDescent="0.3">
      <c r="B799" s="21"/>
      <c r="C799" s="21"/>
      <c r="D799" s="21"/>
      <c r="E799" s="21"/>
      <c r="F799" s="21"/>
      <c r="G799" s="21"/>
      <c r="H799" s="21"/>
      <c r="I799" s="21"/>
      <c r="W799" s="21"/>
      <c r="X799" s="21"/>
      <c r="Y799" s="21"/>
      <c r="Z799" s="21"/>
      <c r="AA799" s="21"/>
    </row>
    <row r="800" spans="2:27" ht="15.75" thickBot="1" x14ac:dyDescent="0.3">
      <c r="B800" s="21"/>
      <c r="C800" s="21"/>
      <c r="D800" s="21"/>
      <c r="E800" s="21"/>
      <c r="F800" s="21"/>
      <c r="G800" s="21"/>
      <c r="H800" s="21"/>
      <c r="I800" s="21"/>
      <c r="W800" s="21"/>
      <c r="X800" s="21"/>
      <c r="Y800" s="21"/>
      <c r="Z800" s="21"/>
      <c r="AA800" s="21"/>
    </row>
    <row r="801" spans="2:27" ht="15.75" thickBot="1" x14ac:dyDescent="0.3">
      <c r="B801" s="21"/>
      <c r="C801" s="21"/>
      <c r="D801" s="21"/>
      <c r="E801" s="21"/>
      <c r="F801" s="21"/>
      <c r="G801" s="21"/>
      <c r="H801" s="21"/>
      <c r="I801" s="21"/>
      <c r="W801" s="21"/>
      <c r="X801" s="21"/>
      <c r="Y801" s="21"/>
      <c r="Z801" s="21"/>
      <c r="AA801" s="21"/>
    </row>
    <row r="802" spans="2:27" ht="15.75" thickBot="1" x14ac:dyDescent="0.3">
      <c r="B802" s="21"/>
      <c r="C802" s="21"/>
      <c r="D802" s="21"/>
      <c r="E802" s="21"/>
      <c r="F802" s="21"/>
      <c r="G802" s="21"/>
      <c r="H802" s="21"/>
      <c r="I802" s="21"/>
      <c r="W802" s="21"/>
      <c r="X802" s="21"/>
      <c r="Y802" s="21"/>
      <c r="Z802" s="21"/>
      <c r="AA802" s="21"/>
    </row>
    <row r="803" spans="2:27" ht="15.75" thickBot="1" x14ac:dyDescent="0.3">
      <c r="B803" s="21"/>
      <c r="C803" s="21"/>
      <c r="D803" s="21"/>
      <c r="E803" s="21"/>
      <c r="F803" s="21"/>
      <c r="G803" s="21"/>
      <c r="H803" s="21"/>
      <c r="I803" s="21"/>
      <c r="W803" s="21"/>
      <c r="X803" s="21"/>
      <c r="Y803" s="21"/>
      <c r="Z803" s="21"/>
      <c r="AA803" s="21"/>
    </row>
    <row r="804" spans="2:27" ht="15.75" thickBot="1" x14ac:dyDescent="0.3">
      <c r="B804" s="21"/>
      <c r="C804" s="21"/>
      <c r="D804" s="21"/>
      <c r="E804" s="21"/>
      <c r="F804" s="21"/>
      <c r="G804" s="21"/>
      <c r="H804" s="21"/>
      <c r="I804" s="21"/>
      <c r="W804" s="21"/>
      <c r="X804" s="21"/>
      <c r="Y804" s="21"/>
      <c r="Z804" s="21"/>
      <c r="AA804" s="21"/>
    </row>
    <row r="805" spans="2:27" ht="15.75" thickBot="1" x14ac:dyDescent="0.3">
      <c r="B805" s="21"/>
      <c r="C805" s="21"/>
      <c r="D805" s="21"/>
      <c r="E805" s="21"/>
      <c r="F805" s="21"/>
      <c r="G805" s="21"/>
      <c r="H805" s="21"/>
      <c r="I805" s="21"/>
      <c r="W805" s="21"/>
      <c r="X805" s="21"/>
      <c r="Y805" s="21"/>
      <c r="Z805" s="21"/>
      <c r="AA805" s="21"/>
    </row>
    <row r="806" spans="2:27" ht="15.75" thickBot="1" x14ac:dyDescent="0.3">
      <c r="B806" s="21"/>
      <c r="C806" s="21"/>
      <c r="D806" s="21"/>
      <c r="E806" s="21"/>
      <c r="F806" s="21"/>
      <c r="G806" s="21"/>
      <c r="H806" s="21"/>
      <c r="I806" s="21"/>
      <c r="W806" s="21"/>
      <c r="X806" s="21"/>
      <c r="Y806" s="21"/>
      <c r="Z806" s="21"/>
      <c r="AA806" s="21"/>
    </row>
    <row r="807" spans="2:27" ht="15.75" thickBot="1" x14ac:dyDescent="0.3">
      <c r="B807" s="21"/>
      <c r="C807" s="21"/>
      <c r="D807" s="21"/>
      <c r="E807" s="21"/>
      <c r="F807" s="21"/>
      <c r="G807" s="21"/>
      <c r="H807" s="21"/>
      <c r="I807" s="21"/>
      <c r="W807" s="21"/>
      <c r="X807" s="21"/>
      <c r="Y807" s="21"/>
      <c r="Z807" s="21"/>
      <c r="AA807" s="21"/>
    </row>
    <row r="808" spans="2:27" ht="15.75" thickBot="1" x14ac:dyDescent="0.3">
      <c r="B808" s="21"/>
      <c r="C808" s="21"/>
      <c r="D808" s="21"/>
      <c r="E808" s="21"/>
      <c r="F808" s="21"/>
      <c r="G808" s="21"/>
      <c r="H808" s="21"/>
      <c r="I808" s="21"/>
      <c r="W808" s="21"/>
      <c r="X808" s="21"/>
      <c r="Y808" s="21"/>
      <c r="Z808" s="21"/>
      <c r="AA808" s="21"/>
    </row>
    <row r="809" spans="2:27" ht="15.75" thickBot="1" x14ac:dyDescent="0.3">
      <c r="B809" s="21"/>
      <c r="C809" s="21"/>
      <c r="D809" s="21"/>
      <c r="E809" s="21"/>
      <c r="F809" s="21"/>
      <c r="G809" s="21"/>
      <c r="H809" s="21"/>
      <c r="I809" s="21"/>
      <c r="W809" s="21"/>
      <c r="X809" s="21"/>
      <c r="Y809" s="21"/>
      <c r="Z809" s="21"/>
      <c r="AA809" s="21"/>
    </row>
    <row r="810" spans="2:27" ht="15.75" thickBot="1" x14ac:dyDescent="0.3">
      <c r="B810" s="21"/>
      <c r="C810" s="21"/>
      <c r="D810" s="21"/>
      <c r="E810" s="21"/>
      <c r="F810" s="21"/>
      <c r="G810" s="21"/>
      <c r="H810" s="21"/>
      <c r="I810" s="21"/>
      <c r="W810" s="21"/>
      <c r="X810" s="21"/>
      <c r="Y810" s="21"/>
      <c r="Z810" s="21"/>
      <c r="AA810" s="21"/>
    </row>
    <row r="811" spans="2:27" ht="15.75" thickBot="1" x14ac:dyDescent="0.3">
      <c r="B811" s="21"/>
      <c r="C811" s="21"/>
      <c r="D811" s="21"/>
      <c r="E811" s="21"/>
      <c r="F811" s="21"/>
      <c r="G811" s="21"/>
      <c r="H811" s="21"/>
      <c r="I811" s="21"/>
      <c r="W811" s="21"/>
      <c r="X811" s="21"/>
      <c r="Y811" s="21"/>
      <c r="Z811" s="21"/>
      <c r="AA811" s="21"/>
    </row>
    <row r="812" spans="2:27" ht="15.75" thickBot="1" x14ac:dyDescent="0.3">
      <c r="B812" s="21"/>
      <c r="C812" s="21"/>
      <c r="D812" s="21"/>
      <c r="E812" s="21"/>
      <c r="F812" s="21"/>
      <c r="G812" s="21"/>
      <c r="H812" s="21"/>
      <c r="I812" s="21"/>
      <c r="W812" s="21"/>
      <c r="X812" s="21"/>
      <c r="Y812" s="21"/>
      <c r="Z812" s="21"/>
      <c r="AA812" s="21"/>
    </row>
    <row r="813" spans="2:27" ht="15.75" thickBot="1" x14ac:dyDescent="0.3">
      <c r="B813" s="21"/>
      <c r="C813" s="21"/>
      <c r="D813" s="21"/>
      <c r="E813" s="21"/>
      <c r="F813" s="21"/>
      <c r="G813" s="21"/>
      <c r="H813" s="21"/>
      <c r="I813" s="21"/>
      <c r="W813" s="21"/>
      <c r="X813" s="21"/>
      <c r="Y813" s="21"/>
      <c r="Z813" s="21"/>
      <c r="AA813" s="21"/>
    </row>
    <row r="814" spans="2:27" ht="15.75" thickBot="1" x14ac:dyDescent="0.3">
      <c r="B814" s="21"/>
      <c r="C814" s="21"/>
      <c r="D814" s="21"/>
      <c r="E814" s="21"/>
      <c r="F814" s="21"/>
      <c r="G814" s="21"/>
      <c r="H814" s="21"/>
      <c r="I814" s="21"/>
      <c r="W814" s="21"/>
      <c r="X814" s="21"/>
      <c r="Y814" s="21"/>
      <c r="Z814" s="21"/>
      <c r="AA814" s="21"/>
    </row>
    <row r="815" spans="2:27" ht="15.75" thickBot="1" x14ac:dyDescent="0.3">
      <c r="B815" s="21"/>
      <c r="C815" s="21"/>
      <c r="D815" s="21"/>
      <c r="E815" s="21"/>
      <c r="F815" s="21"/>
      <c r="G815" s="21"/>
      <c r="H815" s="21"/>
      <c r="I815" s="21"/>
      <c r="W815" s="21"/>
      <c r="X815" s="21"/>
      <c r="Y815" s="21"/>
      <c r="Z815" s="21"/>
      <c r="AA815" s="21"/>
    </row>
    <row r="816" spans="2:27" ht="15.75" thickBot="1" x14ac:dyDescent="0.3">
      <c r="B816" s="21"/>
      <c r="C816" s="21"/>
      <c r="D816" s="21"/>
      <c r="E816" s="21"/>
      <c r="F816" s="21"/>
      <c r="G816" s="21"/>
      <c r="H816" s="21"/>
      <c r="I816" s="21"/>
      <c r="W816" s="21"/>
      <c r="X816" s="21"/>
      <c r="Y816" s="21"/>
      <c r="Z816" s="21"/>
      <c r="AA816" s="21"/>
    </row>
    <row r="817" spans="2:27" ht="15.75" thickBot="1" x14ac:dyDescent="0.3">
      <c r="B817" s="21"/>
      <c r="C817" s="21"/>
      <c r="D817" s="21"/>
      <c r="E817" s="21"/>
      <c r="F817" s="21"/>
      <c r="G817" s="21"/>
      <c r="H817" s="21"/>
      <c r="I817" s="21"/>
      <c r="W817" s="21"/>
      <c r="X817" s="21"/>
      <c r="Y817" s="21"/>
      <c r="Z817" s="21"/>
      <c r="AA817" s="21"/>
    </row>
    <row r="818" spans="2:27" ht="15.75" thickBot="1" x14ac:dyDescent="0.3">
      <c r="B818" s="21"/>
      <c r="C818" s="21"/>
      <c r="D818" s="21"/>
      <c r="E818" s="21"/>
      <c r="F818" s="21"/>
      <c r="G818" s="21"/>
      <c r="H818" s="21"/>
      <c r="I818" s="21"/>
      <c r="W818" s="21"/>
      <c r="X818" s="21"/>
      <c r="Y818" s="21"/>
      <c r="Z818" s="21"/>
      <c r="AA818" s="21"/>
    </row>
    <row r="819" spans="2:27" ht="15.75" thickBot="1" x14ac:dyDescent="0.3">
      <c r="B819" s="21"/>
      <c r="C819" s="21"/>
      <c r="D819" s="21"/>
      <c r="E819" s="21"/>
      <c r="F819" s="21"/>
      <c r="G819" s="21"/>
      <c r="H819" s="21"/>
      <c r="I819" s="21"/>
      <c r="W819" s="21"/>
      <c r="X819" s="21"/>
      <c r="Y819" s="21"/>
      <c r="Z819" s="21"/>
      <c r="AA819" s="21"/>
    </row>
    <row r="820" spans="2:27" ht="15.75" thickBot="1" x14ac:dyDescent="0.3">
      <c r="B820" s="21"/>
      <c r="C820" s="21"/>
      <c r="D820" s="21"/>
      <c r="E820" s="21"/>
      <c r="F820" s="21"/>
      <c r="G820" s="21"/>
      <c r="H820" s="21"/>
      <c r="I820" s="21"/>
      <c r="W820" s="21"/>
      <c r="X820" s="21"/>
      <c r="Y820" s="21"/>
      <c r="Z820" s="21"/>
      <c r="AA820" s="21"/>
    </row>
    <row r="821" spans="2:27" ht="15.75" thickBot="1" x14ac:dyDescent="0.3">
      <c r="B821" s="21"/>
      <c r="C821" s="21"/>
      <c r="D821" s="21"/>
      <c r="E821" s="21"/>
      <c r="F821" s="21"/>
      <c r="G821" s="21"/>
      <c r="H821" s="21"/>
      <c r="I821" s="21"/>
      <c r="W821" s="21"/>
      <c r="X821" s="21"/>
      <c r="Y821" s="21"/>
      <c r="Z821" s="21"/>
      <c r="AA821" s="21"/>
    </row>
    <row r="822" spans="2:27" ht="15.75" thickBot="1" x14ac:dyDescent="0.3">
      <c r="B822" s="21"/>
      <c r="C822" s="21"/>
      <c r="D822" s="21"/>
      <c r="E822" s="21"/>
      <c r="F822" s="21"/>
      <c r="G822" s="21"/>
      <c r="H822" s="21"/>
      <c r="I822" s="21"/>
      <c r="W822" s="21"/>
      <c r="X822" s="21"/>
      <c r="Y822" s="21"/>
      <c r="Z822" s="21"/>
      <c r="AA822" s="21"/>
    </row>
    <row r="823" spans="2:27" ht="15.75" thickBot="1" x14ac:dyDescent="0.3">
      <c r="B823" s="21"/>
      <c r="C823" s="21"/>
      <c r="D823" s="21"/>
      <c r="E823" s="21"/>
      <c r="F823" s="21"/>
      <c r="G823" s="21"/>
      <c r="H823" s="21"/>
      <c r="I823" s="21"/>
      <c r="W823" s="21"/>
      <c r="X823" s="21"/>
      <c r="Y823" s="21"/>
      <c r="Z823" s="21"/>
      <c r="AA823" s="21"/>
    </row>
    <row r="824" spans="2:27" ht="15.75" thickBot="1" x14ac:dyDescent="0.3">
      <c r="B824" s="21"/>
      <c r="C824" s="21"/>
      <c r="D824" s="21"/>
      <c r="E824" s="21"/>
      <c r="F824" s="21"/>
      <c r="G824" s="21"/>
      <c r="H824" s="21"/>
      <c r="I824" s="21"/>
      <c r="W824" s="21"/>
      <c r="X824" s="21"/>
      <c r="Y824" s="21"/>
      <c r="Z824" s="21"/>
      <c r="AA824" s="21"/>
    </row>
    <row r="825" spans="2:27" ht="15.75" thickBot="1" x14ac:dyDescent="0.3">
      <c r="B825" s="21"/>
      <c r="C825" s="21"/>
      <c r="D825" s="21"/>
      <c r="E825" s="21"/>
      <c r="F825" s="21"/>
      <c r="G825" s="21"/>
      <c r="H825" s="21"/>
      <c r="I825" s="21"/>
      <c r="W825" s="21"/>
      <c r="X825" s="21"/>
      <c r="Y825" s="21"/>
      <c r="Z825" s="21"/>
      <c r="AA825" s="21"/>
    </row>
    <row r="826" spans="2:27" ht="15.75" thickBot="1" x14ac:dyDescent="0.3">
      <c r="B826" s="21"/>
      <c r="C826" s="21"/>
      <c r="D826" s="21"/>
      <c r="E826" s="21"/>
      <c r="F826" s="21"/>
      <c r="G826" s="21"/>
      <c r="H826" s="21"/>
      <c r="I826" s="21"/>
      <c r="W826" s="21"/>
      <c r="X826" s="21"/>
      <c r="Y826" s="21"/>
      <c r="Z826" s="21"/>
      <c r="AA826" s="21"/>
    </row>
    <row r="827" spans="2:27" ht="15.75" thickBot="1" x14ac:dyDescent="0.3">
      <c r="B827" s="21"/>
      <c r="C827" s="21"/>
      <c r="D827" s="21"/>
      <c r="E827" s="21"/>
      <c r="F827" s="21"/>
      <c r="G827" s="21"/>
      <c r="H827" s="21"/>
      <c r="I827" s="21"/>
      <c r="W827" s="21"/>
      <c r="X827" s="21"/>
      <c r="Y827" s="21"/>
      <c r="Z827" s="21"/>
      <c r="AA827" s="21"/>
    </row>
    <row r="828" spans="2:27" ht="15.75" thickBot="1" x14ac:dyDescent="0.3">
      <c r="B828" s="21"/>
      <c r="C828" s="21"/>
      <c r="D828" s="21"/>
      <c r="E828" s="21"/>
      <c r="F828" s="21"/>
      <c r="G828" s="21"/>
      <c r="H828" s="21"/>
      <c r="I828" s="21"/>
      <c r="W828" s="21"/>
      <c r="X828" s="21"/>
      <c r="Y828" s="21"/>
      <c r="Z828" s="21"/>
      <c r="AA828" s="21"/>
    </row>
    <row r="829" spans="2:27" ht="15.75" thickBot="1" x14ac:dyDescent="0.3">
      <c r="B829" s="21"/>
      <c r="C829" s="21"/>
      <c r="D829" s="21"/>
      <c r="E829" s="21"/>
      <c r="F829" s="21"/>
      <c r="G829" s="21"/>
      <c r="H829" s="21"/>
      <c r="I829" s="21"/>
      <c r="W829" s="21"/>
      <c r="X829" s="21"/>
      <c r="Y829" s="21"/>
      <c r="Z829" s="21"/>
      <c r="AA829" s="21"/>
    </row>
    <row r="830" spans="2:27" ht="15.75" thickBot="1" x14ac:dyDescent="0.3">
      <c r="B830" s="21"/>
      <c r="C830" s="21"/>
      <c r="D830" s="21"/>
      <c r="E830" s="21"/>
      <c r="F830" s="21"/>
      <c r="G830" s="21"/>
      <c r="H830" s="21"/>
      <c r="I830" s="21"/>
      <c r="W830" s="21"/>
      <c r="X830" s="21"/>
      <c r="Y830" s="21"/>
      <c r="Z830" s="21"/>
      <c r="AA830" s="21"/>
    </row>
    <row r="831" spans="2:27" ht="15.75" thickBot="1" x14ac:dyDescent="0.3">
      <c r="B831" s="21"/>
      <c r="C831" s="21"/>
      <c r="D831" s="21"/>
      <c r="E831" s="21"/>
      <c r="F831" s="21"/>
      <c r="G831" s="21"/>
      <c r="H831" s="21"/>
      <c r="I831" s="21"/>
      <c r="W831" s="21"/>
      <c r="X831" s="21"/>
      <c r="Y831" s="21"/>
      <c r="Z831" s="21"/>
      <c r="AA831" s="21"/>
    </row>
    <row r="832" spans="2:27" ht="15.75" thickBot="1" x14ac:dyDescent="0.3">
      <c r="B832" s="21"/>
      <c r="C832" s="21"/>
      <c r="D832" s="21"/>
      <c r="E832" s="21"/>
      <c r="F832" s="21"/>
      <c r="G832" s="21"/>
      <c r="H832" s="21"/>
      <c r="I832" s="21"/>
      <c r="W832" s="21"/>
      <c r="X832" s="21"/>
      <c r="Y832" s="21"/>
      <c r="Z832" s="21"/>
      <c r="AA832" s="21"/>
    </row>
    <row r="833" spans="2:27" ht="15.75" thickBot="1" x14ac:dyDescent="0.3">
      <c r="B833" s="21"/>
      <c r="C833" s="21"/>
      <c r="D833" s="21"/>
      <c r="E833" s="21"/>
      <c r="F833" s="21"/>
      <c r="G833" s="21"/>
      <c r="H833" s="21"/>
      <c r="I833" s="21"/>
      <c r="W833" s="21"/>
      <c r="X833" s="21"/>
      <c r="Y833" s="21"/>
      <c r="Z833" s="21"/>
      <c r="AA833" s="21"/>
    </row>
    <row r="834" spans="2:27" ht="15.75" thickBot="1" x14ac:dyDescent="0.3">
      <c r="B834" s="21"/>
      <c r="C834" s="21"/>
      <c r="D834" s="21"/>
      <c r="E834" s="21"/>
      <c r="F834" s="21"/>
      <c r="G834" s="21"/>
      <c r="H834" s="21"/>
      <c r="I834" s="21"/>
      <c r="W834" s="21"/>
      <c r="X834" s="21"/>
      <c r="Y834" s="21"/>
      <c r="Z834" s="21"/>
      <c r="AA834" s="21"/>
    </row>
    <row r="835" spans="2:27" ht="15.75" thickBot="1" x14ac:dyDescent="0.3">
      <c r="B835" s="21"/>
      <c r="C835" s="21"/>
      <c r="D835" s="21"/>
      <c r="E835" s="21"/>
      <c r="F835" s="21"/>
      <c r="G835" s="21"/>
      <c r="H835" s="21"/>
      <c r="I835" s="21"/>
      <c r="W835" s="21"/>
      <c r="X835" s="21"/>
      <c r="Y835" s="21"/>
      <c r="Z835" s="21"/>
      <c r="AA835" s="21"/>
    </row>
    <row r="836" spans="2:27" ht="15.75" thickBot="1" x14ac:dyDescent="0.3">
      <c r="B836" s="21"/>
      <c r="C836" s="21"/>
      <c r="D836" s="21"/>
      <c r="E836" s="21"/>
      <c r="F836" s="21"/>
      <c r="G836" s="21"/>
      <c r="H836" s="21"/>
      <c r="I836" s="21"/>
      <c r="W836" s="21"/>
      <c r="X836" s="21"/>
      <c r="Y836" s="21"/>
      <c r="Z836" s="21"/>
      <c r="AA836" s="21"/>
    </row>
    <row r="837" spans="2:27" ht="15.75" thickBot="1" x14ac:dyDescent="0.3">
      <c r="B837" s="21"/>
      <c r="C837" s="21"/>
      <c r="D837" s="21"/>
      <c r="E837" s="21"/>
      <c r="F837" s="21"/>
      <c r="G837" s="21"/>
      <c r="H837" s="21"/>
      <c r="I837" s="21"/>
      <c r="W837" s="21"/>
      <c r="X837" s="21"/>
      <c r="Y837" s="21"/>
      <c r="Z837" s="21"/>
      <c r="AA837" s="21"/>
    </row>
    <row r="838" spans="2:27" ht="15.75" thickBot="1" x14ac:dyDescent="0.3">
      <c r="B838" s="21"/>
      <c r="C838" s="21"/>
      <c r="D838" s="21"/>
      <c r="E838" s="21"/>
      <c r="F838" s="21"/>
      <c r="G838" s="21"/>
      <c r="H838" s="21"/>
      <c r="I838" s="21"/>
      <c r="W838" s="21"/>
      <c r="X838" s="21"/>
      <c r="Y838" s="21"/>
      <c r="Z838" s="21"/>
      <c r="AA838" s="21"/>
    </row>
    <row r="839" spans="2:27" ht="15.75" thickBot="1" x14ac:dyDescent="0.3">
      <c r="B839" s="21"/>
      <c r="C839" s="21"/>
      <c r="D839" s="21"/>
      <c r="E839" s="21"/>
      <c r="F839" s="21"/>
      <c r="G839" s="21"/>
      <c r="H839" s="21"/>
      <c r="I839" s="21"/>
      <c r="W839" s="21"/>
      <c r="X839" s="21"/>
      <c r="Y839" s="21"/>
      <c r="Z839" s="21"/>
      <c r="AA839" s="21"/>
    </row>
    <row r="840" spans="2:27" ht="15.75" thickBot="1" x14ac:dyDescent="0.3">
      <c r="B840" s="21"/>
      <c r="C840" s="21"/>
      <c r="D840" s="21"/>
      <c r="E840" s="21"/>
      <c r="F840" s="21"/>
      <c r="G840" s="21"/>
      <c r="H840" s="21"/>
      <c r="I840" s="21"/>
      <c r="W840" s="21"/>
      <c r="X840" s="21"/>
      <c r="Y840" s="21"/>
      <c r="Z840" s="21"/>
      <c r="AA840" s="21"/>
    </row>
    <row r="841" spans="2:27" ht="15.75" thickBot="1" x14ac:dyDescent="0.3">
      <c r="B841" s="21"/>
      <c r="C841" s="21"/>
      <c r="D841" s="21"/>
      <c r="E841" s="21"/>
      <c r="F841" s="21"/>
      <c r="G841" s="21"/>
      <c r="H841" s="21"/>
      <c r="I841" s="21"/>
      <c r="W841" s="21"/>
      <c r="X841" s="21"/>
      <c r="Y841" s="21"/>
      <c r="Z841" s="21"/>
      <c r="AA841" s="21"/>
    </row>
    <row r="842" spans="2:27" ht="15.75" thickBot="1" x14ac:dyDescent="0.3">
      <c r="B842" s="21"/>
      <c r="C842" s="21"/>
      <c r="D842" s="21"/>
      <c r="E842" s="21"/>
      <c r="F842" s="21"/>
      <c r="G842" s="21"/>
      <c r="H842" s="21"/>
      <c r="I842" s="21"/>
      <c r="W842" s="21"/>
      <c r="X842" s="21"/>
      <c r="Y842" s="21"/>
      <c r="Z842" s="21"/>
      <c r="AA842" s="21"/>
    </row>
    <row r="843" spans="2:27" ht="15.75" thickBot="1" x14ac:dyDescent="0.3">
      <c r="B843" s="21"/>
      <c r="C843" s="21"/>
      <c r="D843" s="21"/>
      <c r="E843" s="21"/>
      <c r="F843" s="21"/>
      <c r="G843" s="21"/>
      <c r="H843" s="21"/>
      <c r="I843" s="21"/>
      <c r="W843" s="21"/>
      <c r="X843" s="21"/>
      <c r="Y843" s="21"/>
      <c r="Z843" s="21"/>
      <c r="AA843" s="21"/>
    </row>
    <row r="844" spans="2:27" ht="15.75" thickBot="1" x14ac:dyDescent="0.3">
      <c r="B844" s="21"/>
      <c r="C844" s="21"/>
      <c r="D844" s="21"/>
      <c r="E844" s="21"/>
      <c r="F844" s="21"/>
      <c r="G844" s="21"/>
      <c r="H844" s="21"/>
      <c r="I844" s="21"/>
      <c r="W844" s="21"/>
      <c r="X844" s="21"/>
      <c r="Y844" s="21"/>
      <c r="Z844" s="21"/>
      <c r="AA844" s="21"/>
    </row>
    <row r="845" spans="2:27" ht="15.75" thickBot="1" x14ac:dyDescent="0.3">
      <c r="B845" s="21"/>
      <c r="C845" s="21"/>
      <c r="D845" s="21"/>
      <c r="E845" s="21"/>
      <c r="F845" s="21"/>
      <c r="G845" s="21"/>
      <c r="H845" s="21"/>
      <c r="I845" s="21"/>
      <c r="W845" s="21"/>
      <c r="X845" s="21"/>
      <c r="Y845" s="21"/>
      <c r="Z845" s="21"/>
      <c r="AA845" s="21"/>
    </row>
    <row r="846" spans="2:27" ht="15.75" thickBot="1" x14ac:dyDescent="0.3">
      <c r="B846" s="21"/>
      <c r="C846" s="21"/>
      <c r="D846" s="21"/>
      <c r="E846" s="21"/>
      <c r="F846" s="21"/>
      <c r="G846" s="21"/>
      <c r="H846" s="21"/>
      <c r="I846" s="21"/>
      <c r="W846" s="21"/>
      <c r="X846" s="21"/>
      <c r="Y846" s="21"/>
      <c r="Z846" s="21"/>
      <c r="AA846" s="21"/>
    </row>
    <row r="847" spans="2:27" ht="15.75" thickBot="1" x14ac:dyDescent="0.3">
      <c r="B847" s="21"/>
      <c r="C847" s="21"/>
      <c r="D847" s="21"/>
      <c r="E847" s="21"/>
      <c r="F847" s="21"/>
      <c r="G847" s="21"/>
      <c r="H847" s="21"/>
      <c r="I847" s="21"/>
      <c r="W847" s="21"/>
      <c r="X847" s="21"/>
      <c r="Y847" s="21"/>
      <c r="Z847" s="21"/>
      <c r="AA847" s="21"/>
    </row>
    <row r="848" spans="2:27" ht="15.75" thickBot="1" x14ac:dyDescent="0.3">
      <c r="B848" s="21"/>
      <c r="C848" s="21"/>
      <c r="D848" s="21"/>
      <c r="E848" s="21"/>
      <c r="F848" s="21"/>
      <c r="G848" s="21"/>
      <c r="H848" s="21"/>
      <c r="I848" s="21"/>
    </row>
    <row r="849" spans="2:9" ht="15.75" thickBot="1" x14ac:dyDescent="0.3">
      <c r="B849" s="21"/>
      <c r="C849" s="21"/>
      <c r="D849" s="21"/>
      <c r="E849" s="21"/>
      <c r="F849" s="21"/>
      <c r="G849" s="21"/>
      <c r="H849" s="21"/>
      <c r="I849" s="21"/>
    </row>
    <row r="850" spans="2:9" ht="15.75" thickBot="1" x14ac:dyDescent="0.3">
      <c r="B850" s="21"/>
      <c r="C850" s="21"/>
      <c r="D850" s="21"/>
      <c r="E850" s="21"/>
      <c r="F850" s="21"/>
      <c r="G850" s="21"/>
      <c r="H850" s="21"/>
      <c r="I850" s="21"/>
    </row>
    <row r="851" spans="2:9" ht="15.75" thickBot="1" x14ac:dyDescent="0.3">
      <c r="B851" s="21"/>
      <c r="C851" s="21"/>
      <c r="D851" s="21"/>
      <c r="E851" s="21"/>
      <c r="F851" s="21"/>
      <c r="G851" s="21"/>
      <c r="H851" s="21"/>
      <c r="I851" s="21"/>
    </row>
    <row r="852" spans="2:9" ht="15.75" thickBot="1" x14ac:dyDescent="0.3">
      <c r="B852" s="21"/>
      <c r="C852" s="21"/>
      <c r="D852" s="21"/>
      <c r="E852" s="21"/>
      <c r="F852" s="21"/>
      <c r="G852" s="21"/>
      <c r="H852" s="21"/>
      <c r="I852" s="21"/>
    </row>
    <row r="853" spans="2:9" ht="15.75" thickBot="1" x14ac:dyDescent="0.3">
      <c r="B853" s="21"/>
      <c r="C853" s="21"/>
      <c r="D853" s="21"/>
      <c r="E853" s="21"/>
      <c r="F853" s="21"/>
      <c r="G853" s="21"/>
      <c r="H853" s="21"/>
      <c r="I853" s="21"/>
    </row>
    <row r="854" spans="2:9" ht="15.75" thickBot="1" x14ac:dyDescent="0.3">
      <c r="B854" s="21"/>
      <c r="C854" s="21"/>
      <c r="D854" s="21"/>
      <c r="E854" s="21"/>
      <c r="F854" s="21"/>
      <c r="G854" s="21"/>
      <c r="H854" s="21"/>
      <c r="I854" s="21"/>
    </row>
    <row r="855" spans="2:9" ht="15.75" thickBot="1" x14ac:dyDescent="0.3">
      <c r="B855" s="21"/>
      <c r="C855" s="21"/>
      <c r="D855" s="21"/>
      <c r="E855" s="21"/>
      <c r="F855" s="21"/>
      <c r="G855" s="21"/>
      <c r="H855" s="21"/>
      <c r="I855" s="21"/>
    </row>
    <row r="856" spans="2:9" ht="15.75" thickBot="1" x14ac:dyDescent="0.3">
      <c r="B856" s="21"/>
      <c r="C856" s="21"/>
      <c r="D856" s="21"/>
      <c r="E856" s="21"/>
      <c r="F856" s="21"/>
      <c r="G856" s="21"/>
      <c r="H856" s="21"/>
      <c r="I856" s="21"/>
    </row>
    <row r="857" spans="2:9" ht="15.75" thickBot="1" x14ac:dyDescent="0.3">
      <c r="B857" s="21"/>
      <c r="C857" s="21"/>
      <c r="D857" s="21"/>
      <c r="E857" s="21"/>
      <c r="F857" s="21"/>
      <c r="G857" s="21"/>
      <c r="H857" s="21"/>
      <c r="I857" s="21"/>
    </row>
    <row r="858" spans="2:9" ht="15.75" thickBot="1" x14ac:dyDescent="0.3">
      <c r="B858" s="21"/>
      <c r="C858" s="21"/>
      <c r="D858" s="21"/>
      <c r="E858" s="21"/>
      <c r="F858" s="21"/>
      <c r="G858" s="21"/>
      <c r="H858" s="21"/>
      <c r="I858" s="21"/>
    </row>
    <row r="859" spans="2:9" ht="15.75" thickBot="1" x14ac:dyDescent="0.3">
      <c r="B859" s="21"/>
      <c r="C859" s="21"/>
      <c r="D859" s="21"/>
      <c r="E859" s="21"/>
      <c r="F859" s="21"/>
      <c r="G859" s="21"/>
      <c r="H859" s="21"/>
      <c r="I859" s="21"/>
    </row>
    <row r="860" spans="2:9" ht="15.75" thickBot="1" x14ac:dyDescent="0.3">
      <c r="B860" s="21"/>
      <c r="C860" s="21"/>
      <c r="D860" s="21"/>
      <c r="E860" s="21"/>
      <c r="F860" s="21"/>
      <c r="G860" s="21"/>
      <c r="H860" s="21"/>
      <c r="I860" s="21"/>
    </row>
    <row r="861" spans="2:9" ht="15.75" thickBot="1" x14ac:dyDescent="0.3">
      <c r="B861" s="21"/>
      <c r="C861" s="21"/>
      <c r="D861" s="21"/>
      <c r="E861" s="21"/>
      <c r="F861" s="21"/>
      <c r="G861" s="21"/>
      <c r="H861" s="21"/>
      <c r="I861" s="21"/>
    </row>
    <row r="862" spans="2:9" ht="15.75" thickBot="1" x14ac:dyDescent="0.3">
      <c r="B862" s="21"/>
      <c r="C862" s="21"/>
      <c r="D862" s="21"/>
      <c r="E862" s="21"/>
      <c r="F862" s="21"/>
      <c r="G862" s="21"/>
      <c r="H862" s="21"/>
      <c r="I862" s="21"/>
    </row>
    <row r="863" spans="2:9" ht="15.75" thickBot="1" x14ac:dyDescent="0.3">
      <c r="B863" s="21"/>
      <c r="C863" s="21"/>
      <c r="D863" s="21"/>
      <c r="E863" s="21"/>
      <c r="F863" s="21"/>
      <c r="G863" s="21"/>
      <c r="H863" s="21"/>
      <c r="I863" s="21"/>
    </row>
    <row r="864" spans="2:9" ht="15.75" thickBot="1" x14ac:dyDescent="0.3">
      <c r="B864" s="21"/>
      <c r="C864" s="21"/>
      <c r="D864" s="21"/>
      <c r="E864" s="21"/>
      <c r="F864" s="21"/>
      <c r="G864" s="21"/>
      <c r="H864" s="21"/>
      <c r="I864" s="21"/>
    </row>
    <row r="865" spans="2:9" ht="15.75" thickBot="1" x14ac:dyDescent="0.3">
      <c r="B865" s="21"/>
      <c r="C865" s="21"/>
      <c r="D865" s="21"/>
      <c r="E865" s="21"/>
      <c r="F865" s="21"/>
      <c r="G865" s="21"/>
      <c r="H865" s="21"/>
      <c r="I865" s="21"/>
    </row>
    <row r="866" spans="2:9" ht="15.75" thickBot="1" x14ac:dyDescent="0.3">
      <c r="B866" s="21"/>
      <c r="C866" s="21"/>
      <c r="D866" s="21"/>
      <c r="E866" s="21"/>
      <c r="F866" s="21"/>
      <c r="G866" s="21"/>
      <c r="H866" s="21"/>
      <c r="I866" s="21"/>
    </row>
    <row r="867" spans="2:9" ht="15.75" thickBot="1" x14ac:dyDescent="0.3">
      <c r="B867" s="21"/>
      <c r="C867" s="21"/>
      <c r="D867" s="21"/>
      <c r="E867" s="21"/>
      <c r="F867" s="21"/>
      <c r="G867" s="21"/>
      <c r="H867" s="21"/>
      <c r="I867" s="21"/>
    </row>
    <row r="868" spans="2:9" ht="15.75" thickBot="1" x14ac:dyDescent="0.3">
      <c r="B868" s="21"/>
      <c r="C868" s="21"/>
      <c r="D868" s="21"/>
      <c r="E868" s="21"/>
      <c r="F868" s="21"/>
      <c r="G868" s="21"/>
      <c r="H868" s="21"/>
      <c r="I868" s="21"/>
    </row>
    <row r="869" spans="2:9" ht="15.75" thickBot="1" x14ac:dyDescent="0.3">
      <c r="B869" s="21"/>
      <c r="C869" s="21"/>
      <c r="D869" s="21"/>
      <c r="E869" s="21"/>
      <c r="F869" s="21"/>
      <c r="G869" s="21"/>
      <c r="H869" s="21"/>
      <c r="I869" s="21"/>
    </row>
    <row r="870" spans="2:9" ht="15.75" thickBot="1" x14ac:dyDescent="0.3">
      <c r="B870" s="21"/>
      <c r="C870" s="21"/>
      <c r="D870" s="21"/>
      <c r="E870" s="21"/>
      <c r="F870" s="21"/>
      <c r="G870" s="21"/>
      <c r="H870" s="21"/>
      <c r="I870" s="21"/>
    </row>
    <row r="871" spans="2:9" ht="15.75" thickBot="1" x14ac:dyDescent="0.3">
      <c r="B871" s="21"/>
      <c r="C871" s="21"/>
      <c r="D871" s="21"/>
      <c r="E871" s="21"/>
      <c r="F871" s="21"/>
      <c r="G871" s="21"/>
      <c r="H871" s="21"/>
      <c r="I871" s="21"/>
    </row>
    <row r="872" spans="2:9" ht="15.75" thickBot="1" x14ac:dyDescent="0.3">
      <c r="B872" s="21"/>
      <c r="C872" s="21"/>
      <c r="D872" s="21"/>
      <c r="E872" s="21"/>
      <c r="F872" s="21"/>
      <c r="G872" s="21"/>
      <c r="H872" s="21"/>
      <c r="I872" s="21"/>
    </row>
    <row r="873" spans="2:9" ht="15.75" thickBot="1" x14ac:dyDescent="0.3">
      <c r="B873" s="21"/>
      <c r="C873" s="21"/>
      <c r="D873" s="21"/>
      <c r="E873" s="21"/>
      <c r="F873" s="21"/>
      <c r="G873" s="21"/>
      <c r="H873" s="21"/>
      <c r="I873" s="21"/>
    </row>
    <row r="874" spans="2:9" ht="15.75" thickBot="1" x14ac:dyDescent="0.3">
      <c r="B874" s="21"/>
      <c r="C874" s="21"/>
      <c r="D874" s="21"/>
      <c r="E874" s="21"/>
      <c r="F874" s="21"/>
      <c r="G874" s="21"/>
      <c r="H874" s="21"/>
      <c r="I874" s="21"/>
    </row>
    <row r="875" spans="2:9" ht="15.75" thickBot="1" x14ac:dyDescent="0.3">
      <c r="B875" s="21"/>
      <c r="C875" s="21"/>
      <c r="D875" s="21"/>
      <c r="E875" s="21"/>
      <c r="F875" s="21"/>
      <c r="G875" s="21"/>
      <c r="H875" s="21"/>
      <c r="I875" s="21"/>
    </row>
    <row r="876" spans="2:9" ht="15.75" thickBot="1" x14ac:dyDescent="0.3">
      <c r="B876" s="21"/>
      <c r="C876" s="21"/>
      <c r="D876" s="21"/>
      <c r="E876" s="21"/>
      <c r="F876" s="21"/>
      <c r="G876" s="21"/>
      <c r="H876" s="21"/>
      <c r="I876" s="21"/>
    </row>
    <row r="877" spans="2:9" ht="15.75" thickBot="1" x14ac:dyDescent="0.3">
      <c r="B877" s="21"/>
      <c r="C877" s="21"/>
      <c r="D877" s="21"/>
      <c r="E877" s="21"/>
      <c r="F877" s="21"/>
      <c r="G877" s="21"/>
      <c r="H877" s="21"/>
      <c r="I877" s="21"/>
    </row>
    <row r="878" spans="2:9" ht="15.75" thickBot="1" x14ac:dyDescent="0.3">
      <c r="B878" s="21"/>
      <c r="C878" s="21"/>
      <c r="D878" s="21"/>
      <c r="E878" s="21"/>
      <c r="F878" s="21"/>
      <c r="G878" s="21"/>
      <c r="H878" s="21"/>
      <c r="I878" s="21"/>
    </row>
    <row r="879" spans="2:9" ht="15.75" thickBot="1" x14ac:dyDescent="0.3">
      <c r="B879" s="21"/>
      <c r="C879" s="21"/>
      <c r="D879" s="21"/>
      <c r="E879" s="21"/>
      <c r="F879" s="21"/>
      <c r="G879" s="21"/>
      <c r="H879" s="21"/>
      <c r="I879" s="21"/>
    </row>
    <row r="880" spans="2:9" ht="15.75" thickBot="1" x14ac:dyDescent="0.3">
      <c r="B880" s="21"/>
      <c r="C880" s="21"/>
      <c r="D880" s="21"/>
      <c r="E880" s="21"/>
      <c r="F880" s="21"/>
      <c r="G880" s="21"/>
      <c r="H880" s="21"/>
      <c r="I880" s="21"/>
    </row>
    <row r="881" spans="2:9" ht="15.75" thickBot="1" x14ac:dyDescent="0.3">
      <c r="B881" s="21"/>
      <c r="C881" s="21"/>
      <c r="D881" s="21"/>
      <c r="E881" s="21"/>
      <c r="F881" s="21"/>
      <c r="G881" s="21"/>
      <c r="H881" s="21"/>
      <c r="I881" s="21"/>
    </row>
    <row r="882" spans="2:9" ht="15.75" thickBot="1" x14ac:dyDescent="0.3">
      <c r="B882" s="21"/>
      <c r="C882" s="21"/>
      <c r="D882" s="21"/>
      <c r="E882" s="21"/>
      <c r="F882" s="21"/>
      <c r="G882" s="21"/>
      <c r="H882" s="21"/>
      <c r="I882" s="21"/>
    </row>
    <row r="883" spans="2:9" ht="15.75" thickBot="1" x14ac:dyDescent="0.3">
      <c r="B883" s="21"/>
      <c r="C883" s="21"/>
      <c r="D883" s="21"/>
      <c r="E883" s="21"/>
      <c r="F883" s="21"/>
      <c r="G883" s="21"/>
      <c r="H883" s="21"/>
      <c r="I883" s="21"/>
    </row>
    <row r="884" spans="2:9" ht="15.75" thickBot="1" x14ac:dyDescent="0.3">
      <c r="B884" s="21"/>
      <c r="C884" s="21"/>
      <c r="D884" s="21"/>
      <c r="E884" s="21"/>
      <c r="F884" s="21"/>
      <c r="G884" s="21"/>
      <c r="H884" s="21"/>
      <c r="I884" s="21"/>
    </row>
    <row r="885" spans="2:9" ht="15.75" thickBot="1" x14ac:dyDescent="0.3">
      <c r="B885" s="21"/>
      <c r="C885" s="21"/>
      <c r="D885" s="21"/>
      <c r="E885" s="21"/>
      <c r="F885" s="21"/>
      <c r="G885" s="21"/>
      <c r="H885" s="21"/>
      <c r="I885" s="21"/>
    </row>
    <row r="886" spans="2:9" ht="15.75" thickBot="1" x14ac:dyDescent="0.3">
      <c r="B886" s="21"/>
      <c r="C886" s="21"/>
      <c r="D886" s="21"/>
      <c r="E886" s="21"/>
      <c r="F886" s="21"/>
      <c r="G886" s="21"/>
      <c r="H886" s="21"/>
      <c r="I886" s="21"/>
    </row>
    <row r="887" spans="2:9" ht="15.75" thickBot="1" x14ac:dyDescent="0.3">
      <c r="B887" s="21"/>
      <c r="C887" s="21"/>
      <c r="D887" s="21"/>
      <c r="E887" s="21"/>
      <c r="F887" s="21"/>
      <c r="G887" s="21"/>
      <c r="H887" s="21"/>
      <c r="I887" s="21"/>
    </row>
    <row r="888" spans="2:9" ht="15.75" thickBot="1" x14ac:dyDescent="0.3">
      <c r="B888" s="21"/>
      <c r="C888" s="21"/>
      <c r="D888" s="21"/>
      <c r="E888" s="21"/>
      <c r="F888" s="21"/>
      <c r="G888" s="21"/>
      <c r="H888" s="21"/>
      <c r="I888" s="21"/>
    </row>
    <row r="889" spans="2:9" ht="15.75" thickBot="1" x14ac:dyDescent="0.3">
      <c r="B889" s="21"/>
      <c r="C889" s="21"/>
      <c r="D889" s="21"/>
      <c r="E889" s="21"/>
      <c r="F889" s="21"/>
      <c r="G889" s="21"/>
      <c r="H889" s="21"/>
      <c r="I889" s="21"/>
    </row>
    <row r="890" spans="2:9" ht="15.75" thickBot="1" x14ac:dyDescent="0.3">
      <c r="B890" s="21"/>
      <c r="C890" s="21"/>
      <c r="D890" s="21"/>
      <c r="E890" s="21"/>
      <c r="F890" s="21"/>
      <c r="G890" s="21"/>
      <c r="H890" s="21"/>
      <c r="I890" s="21"/>
    </row>
    <row r="891" spans="2:9" ht="15.75" thickBot="1" x14ac:dyDescent="0.3">
      <c r="B891" s="21"/>
      <c r="C891" s="21"/>
      <c r="D891" s="21"/>
      <c r="E891" s="21"/>
      <c r="F891" s="21"/>
      <c r="G891" s="21"/>
      <c r="H891" s="21"/>
      <c r="I891" s="21"/>
    </row>
    <row r="892" spans="2:9" ht="15.75" thickBot="1" x14ac:dyDescent="0.3">
      <c r="B892" s="21"/>
      <c r="C892" s="21"/>
      <c r="D892" s="21"/>
      <c r="E892" s="21"/>
      <c r="F892" s="21"/>
      <c r="G892" s="21"/>
      <c r="H892" s="21"/>
      <c r="I892" s="21"/>
    </row>
    <row r="893" spans="2:9" ht="15.75" thickBot="1" x14ac:dyDescent="0.3">
      <c r="B893" s="21"/>
      <c r="C893" s="21"/>
      <c r="D893" s="21"/>
      <c r="E893" s="21"/>
      <c r="F893" s="21"/>
      <c r="G893" s="21"/>
      <c r="H893" s="21"/>
      <c r="I893" s="21"/>
    </row>
    <row r="894" spans="2:9" ht="15.75" thickBot="1" x14ac:dyDescent="0.3">
      <c r="B894" s="21"/>
      <c r="C894" s="21"/>
      <c r="D894" s="21"/>
      <c r="E894" s="21"/>
      <c r="F894" s="21"/>
      <c r="G894" s="21"/>
      <c r="H894" s="21"/>
      <c r="I894" s="21"/>
    </row>
    <row r="895" spans="2:9" ht="15.75" thickBot="1" x14ac:dyDescent="0.3">
      <c r="B895" s="21"/>
      <c r="C895" s="21"/>
      <c r="D895" s="21"/>
      <c r="E895" s="21"/>
      <c r="F895" s="21"/>
      <c r="G895" s="21"/>
      <c r="H895" s="21"/>
      <c r="I895" s="21"/>
    </row>
    <row r="896" spans="2:9" ht="15.75" thickBot="1" x14ac:dyDescent="0.3">
      <c r="B896" s="21"/>
      <c r="C896" s="21"/>
      <c r="D896" s="21"/>
      <c r="E896" s="21"/>
      <c r="F896" s="21"/>
      <c r="G896" s="21"/>
      <c r="H896" s="21"/>
      <c r="I896" s="21"/>
    </row>
    <row r="897" spans="2:9" ht="15.75" thickBot="1" x14ac:dyDescent="0.3">
      <c r="B897" s="21"/>
      <c r="C897" s="21"/>
      <c r="D897" s="21"/>
      <c r="E897" s="21"/>
      <c r="F897" s="21"/>
      <c r="G897" s="21"/>
      <c r="H897" s="21"/>
      <c r="I897" s="21"/>
    </row>
    <row r="898" spans="2:9" ht="15.75" thickBot="1" x14ac:dyDescent="0.3">
      <c r="B898" s="21"/>
      <c r="C898" s="21"/>
      <c r="D898" s="21"/>
      <c r="E898" s="21"/>
      <c r="F898" s="21"/>
      <c r="G898" s="21"/>
      <c r="H898" s="21"/>
      <c r="I898" s="21"/>
    </row>
    <row r="899" spans="2:9" ht="15.75" thickBot="1" x14ac:dyDescent="0.3">
      <c r="B899" s="21"/>
      <c r="C899" s="21"/>
      <c r="D899" s="21"/>
      <c r="E899" s="21"/>
      <c r="F899" s="21"/>
      <c r="G899" s="21"/>
      <c r="H899" s="21"/>
      <c r="I899" s="21"/>
    </row>
    <row r="900" spans="2:9" ht="15.75" thickBot="1" x14ac:dyDescent="0.3">
      <c r="B900" s="21"/>
      <c r="C900" s="21"/>
      <c r="D900" s="21"/>
      <c r="E900" s="21"/>
      <c r="F900" s="21"/>
      <c r="G900" s="21"/>
      <c r="H900" s="21"/>
      <c r="I900" s="21"/>
    </row>
    <row r="901" spans="2:9" ht="15.75" thickBot="1" x14ac:dyDescent="0.3">
      <c r="B901" s="21"/>
      <c r="C901" s="21"/>
      <c r="D901" s="21"/>
      <c r="E901" s="21"/>
      <c r="F901" s="21"/>
      <c r="G901" s="21"/>
      <c r="H901" s="21"/>
      <c r="I901" s="21"/>
    </row>
    <row r="902" spans="2:9" ht="15.75" thickBot="1" x14ac:dyDescent="0.3">
      <c r="B902" s="21"/>
      <c r="C902" s="21"/>
      <c r="D902" s="21"/>
      <c r="E902" s="21"/>
      <c r="F902" s="21"/>
      <c r="G902" s="21"/>
      <c r="H902" s="21"/>
      <c r="I902" s="21"/>
    </row>
    <row r="903" spans="2:9" ht="15.75" thickBot="1" x14ac:dyDescent="0.3">
      <c r="B903" s="21"/>
      <c r="C903" s="21"/>
      <c r="D903" s="21"/>
      <c r="E903" s="21"/>
      <c r="F903" s="21"/>
      <c r="G903" s="21"/>
      <c r="H903" s="21"/>
      <c r="I903" s="21"/>
    </row>
    <row r="904" spans="2:9" ht="15.75" thickBot="1" x14ac:dyDescent="0.3">
      <c r="B904" s="21"/>
      <c r="C904" s="21"/>
      <c r="D904" s="21"/>
      <c r="E904" s="21"/>
      <c r="F904" s="21"/>
      <c r="G904" s="21"/>
      <c r="H904" s="21"/>
      <c r="I904" s="21"/>
    </row>
    <row r="905" spans="2:9" ht="15.75" thickBot="1" x14ac:dyDescent="0.3">
      <c r="B905" s="21"/>
      <c r="C905" s="21"/>
      <c r="D905" s="21"/>
      <c r="E905" s="21"/>
      <c r="F905" s="21"/>
      <c r="G905" s="21"/>
      <c r="H905" s="21"/>
      <c r="I905" s="21"/>
    </row>
    <row r="906" spans="2:9" ht="15.75" thickBot="1" x14ac:dyDescent="0.3">
      <c r="B906" s="21"/>
      <c r="C906" s="21"/>
      <c r="D906" s="21"/>
      <c r="E906" s="21"/>
      <c r="F906" s="21"/>
      <c r="G906" s="21"/>
      <c r="H906" s="21"/>
      <c r="I906" s="21"/>
    </row>
    <row r="907" spans="2:9" ht="15.75" thickBot="1" x14ac:dyDescent="0.3">
      <c r="B907" s="21"/>
      <c r="C907" s="21"/>
      <c r="D907" s="21"/>
      <c r="E907" s="21"/>
      <c r="F907" s="21"/>
      <c r="G907" s="21"/>
      <c r="H907" s="21"/>
      <c r="I907" s="21"/>
    </row>
    <row r="908" spans="2:9" ht="15.75" thickBot="1" x14ac:dyDescent="0.3">
      <c r="B908" s="21"/>
      <c r="C908" s="21"/>
      <c r="D908" s="21"/>
      <c r="E908" s="21"/>
      <c r="F908" s="21"/>
      <c r="G908" s="21"/>
      <c r="H908" s="21"/>
      <c r="I908" s="21"/>
    </row>
    <row r="909" spans="2:9" ht="15.75" thickBot="1" x14ac:dyDescent="0.3">
      <c r="B909" s="21"/>
      <c r="C909" s="21"/>
      <c r="D909" s="21"/>
      <c r="E909" s="21"/>
      <c r="F909" s="21"/>
      <c r="G909" s="21"/>
      <c r="H909" s="21"/>
      <c r="I909" s="21"/>
    </row>
    <row r="910" spans="2:9" ht="15.75" thickBot="1" x14ac:dyDescent="0.3">
      <c r="B910" s="21"/>
      <c r="C910" s="21"/>
      <c r="D910" s="21"/>
      <c r="E910" s="21"/>
      <c r="F910" s="21"/>
      <c r="G910" s="21"/>
      <c r="H910" s="21"/>
      <c r="I910" s="21"/>
    </row>
    <row r="911" spans="2:9" ht="15.75" thickBot="1" x14ac:dyDescent="0.3">
      <c r="B911" s="21"/>
      <c r="C911" s="21"/>
      <c r="D911" s="21"/>
      <c r="E911" s="21"/>
      <c r="F911" s="21"/>
      <c r="G911" s="21"/>
      <c r="H911" s="21"/>
      <c r="I911" s="21"/>
    </row>
    <row r="912" spans="2:9" ht="15.75" thickBot="1" x14ac:dyDescent="0.3">
      <c r="B912" s="21"/>
      <c r="C912" s="21"/>
      <c r="D912" s="21"/>
      <c r="E912" s="21"/>
      <c r="F912" s="21"/>
      <c r="G912" s="21"/>
      <c r="H912" s="21"/>
      <c r="I912" s="21"/>
    </row>
    <row r="913" spans="2:9" ht="15.75" thickBot="1" x14ac:dyDescent="0.3">
      <c r="B913" s="21"/>
      <c r="C913" s="21"/>
      <c r="D913" s="21"/>
      <c r="E913" s="21"/>
      <c r="F913" s="21"/>
      <c r="G913" s="21"/>
      <c r="H913" s="21"/>
      <c r="I913" s="21"/>
    </row>
    <row r="914" spans="2:9" ht="15.75" thickBot="1" x14ac:dyDescent="0.3">
      <c r="B914" s="21"/>
      <c r="C914" s="21"/>
      <c r="D914" s="21"/>
      <c r="E914" s="21"/>
      <c r="F914" s="21"/>
      <c r="G914" s="21"/>
      <c r="H914" s="21"/>
      <c r="I914" s="21"/>
    </row>
    <row r="915" spans="2:9" ht="15.75" thickBot="1" x14ac:dyDescent="0.3">
      <c r="B915" s="21"/>
      <c r="C915" s="21"/>
      <c r="D915" s="21"/>
      <c r="E915" s="21"/>
      <c r="F915" s="21"/>
      <c r="G915" s="21"/>
      <c r="H915" s="21"/>
      <c r="I915" s="21"/>
    </row>
    <row r="916" spans="2:9" ht="15.75" thickBot="1" x14ac:dyDescent="0.3">
      <c r="B916" s="21"/>
      <c r="C916" s="21"/>
      <c r="D916" s="21"/>
      <c r="E916" s="21"/>
      <c r="F916" s="21"/>
      <c r="G916" s="21"/>
      <c r="H916" s="21"/>
      <c r="I916" s="21"/>
    </row>
    <row r="917" spans="2:9" ht="15.75" thickBot="1" x14ac:dyDescent="0.3">
      <c r="B917" s="21"/>
      <c r="C917" s="21"/>
      <c r="D917" s="21"/>
      <c r="E917" s="21"/>
      <c r="F917" s="21"/>
      <c r="G917" s="21"/>
      <c r="H917" s="21"/>
      <c r="I917" s="21"/>
    </row>
    <row r="918" spans="2:9" ht="15.75" thickBot="1" x14ac:dyDescent="0.3">
      <c r="B918" s="21"/>
      <c r="C918" s="21"/>
      <c r="D918" s="21"/>
      <c r="E918" s="21"/>
      <c r="F918" s="21"/>
      <c r="G918" s="21"/>
      <c r="H918" s="21"/>
      <c r="I918" s="21"/>
    </row>
    <row r="919" spans="2:9" ht="15.75" thickBot="1" x14ac:dyDescent="0.3">
      <c r="B919" s="21"/>
      <c r="C919" s="21"/>
      <c r="D919" s="21"/>
      <c r="E919" s="21"/>
      <c r="F919" s="21"/>
      <c r="G919" s="21"/>
      <c r="H919" s="21"/>
      <c r="I919" s="21"/>
    </row>
    <row r="920" spans="2:9" ht="15.75" thickBot="1" x14ac:dyDescent="0.3">
      <c r="B920" s="21"/>
      <c r="C920" s="21"/>
      <c r="D920" s="21"/>
      <c r="E920" s="21"/>
      <c r="F920" s="21"/>
      <c r="G920" s="21"/>
      <c r="H920" s="21"/>
      <c r="I920" s="21"/>
    </row>
    <row r="921" spans="2:9" ht="15.75" thickBot="1" x14ac:dyDescent="0.3">
      <c r="B921" s="21"/>
      <c r="C921" s="21"/>
      <c r="D921" s="21"/>
      <c r="E921" s="21"/>
      <c r="F921" s="21"/>
      <c r="G921" s="21"/>
      <c r="H921" s="21"/>
      <c r="I921" s="21"/>
    </row>
    <row r="922" spans="2:9" ht="15.75" thickBot="1" x14ac:dyDescent="0.3">
      <c r="B922" s="21"/>
      <c r="C922" s="21"/>
      <c r="D922" s="21"/>
      <c r="E922" s="21"/>
      <c r="F922" s="21"/>
      <c r="G922" s="21"/>
      <c r="H922" s="21"/>
      <c r="I922" s="21"/>
    </row>
    <row r="923" spans="2:9" ht="15.75" thickBot="1" x14ac:dyDescent="0.3">
      <c r="B923" s="21"/>
      <c r="C923" s="21"/>
      <c r="D923" s="21"/>
      <c r="E923" s="21"/>
      <c r="F923" s="21"/>
      <c r="G923" s="21"/>
      <c r="H923" s="21"/>
      <c r="I923" s="21"/>
    </row>
    <row r="924" spans="2:9" ht="15.75" thickBot="1" x14ac:dyDescent="0.3">
      <c r="B924" s="21"/>
      <c r="C924" s="21"/>
      <c r="D924" s="21"/>
      <c r="E924" s="21"/>
      <c r="F924" s="21"/>
      <c r="G924" s="21"/>
      <c r="H924" s="21"/>
      <c r="I924" s="21"/>
    </row>
    <row r="925" spans="2:9" ht="15.75" thickBot="1" x14ac:dyDescent="0.3">
      <c r="B925" s="21"/>
      <c r="C925" s="21"/>
      <c r="D925" s="21"/>
      <c r="E925" s="21"/>
      <c r="F925" s="21"/>
      <c r="G925" s="21"/>
      <c r="H925" s="21"/>
      <c r="I925" s="21"/>
    </row>
    <row r="926" spans="2:9" ht="15.75" thickBot="1" x14ac:dyDescent="0.3">
      <c r="B926" s="21"/>
      <c r="C926" s="21"/>
      <c r="D926" s="21"/>
      <c r="E926" s="21"/>
      <c r="F926" s="21"/>
      <c r="G926" s="21"/>
      <c r="H926" s="21"/>
      <c r="I926" s="21"/>
    </row>
    <row r="927" spans="2:9" ht="15.75" thickBot="1" x14ac:dyDescent="0.3">
      <c r="B927" s="21"/>
      <c r="C927" s="21"/>
      <c r="D927" s="21"/>
      <c r="E927" s="21"/>
      <c r="F927" s="21"/>
      <c r="G927" s="21"/>
      <c r="H927" s="21"/>
      <c r="I927" s="21"/>
    </row>
    <row r="928" spans="2:9" ht="15.75" thickBot="1" x14ac:dyDescent="0.3">
      <c r="B928" s="21"/>
      <c r="C928" s="21"/>
      <c r="D928" s="21"/>
      <c r="E928" s="21"/>
      <c r="F928" s="21"/>
      <c r="G928" s="21"/>
      <c r="H928" s="21"/>
      <c r="I928" s="21"/>
    </row>
    <row r="929" spans="2:9" ht="15.75" thickBot="1" x14ac:dyDescent="0.3">
      <c r="B929" s="21"/>
      <c r="C929" s="21"/>
      <c r="D929" s="21"/>
      <c r="E929" s="21"/>
      <c r="F929" s="21"/>
      <c r="G929" s="21"/>
      <c r="H929" s="21"/>
      <c r="I929" s="21"/>
    </row>
    <row r="930" spans="2:9" ht="15.75" thickBot="1" x14ac:dyDescent="0.3">
      <c r="B930" s="21"/>
      <c r="C930" s="21"/>
      <c r="D930" s="21"/>
      <c r="E930" s="21"/>
      <c r="F930" s="21"/>
      <c r="G930" s="21"/>
      <c r="H930" s="21"/>
      <c r="I930" s="21"/>
    </row>
    <row r="931" spans="2:9" ht="15.75" thickBot="1" x14ac:dyDescent="0.3">
      <c r="B931" s="21"/>
      <c r="C931" s="21"/>
      <c r="D931" s="21"/>
      <c r="E931" s="21"/>
      <c r="F931" s="21"/>
      <c r="G931" s="21"/>
      <c r="H931" s="21"/>
      <c r="I931" s="21"/>
    </row>
    <row r="932" spans="2:9" ht="15.75" thickBot="1" x14ac:dyDescent="0.3">
      <c r="B932" s="21"/>
      <c r="C932" s="21"/>
      <c r="D932" s="21"/>
      <c r="E932" s="21"/>
      <c r="F932" s="21"/>
      <c r="G932" s="21"/>
      <c r="H932" s="21"/>
      <c r="I932" s="21"/>
    </row>
    <row r="933" spans="2:9" ht="15.75" thickBot="1" x14ac:dyDescent="0.3">
      <c r="B933" s="21"/>
      <c r="C933" s="21"/>
      <c r="D933" s="21"/>
      <c r="E933" s="21"/>
      <c r="F933" s="21"/>
      <c r="G933" s="21"/>
      <c r="H933" s="21"/>
      <c r="I933" s="21"/>
    </row>
    <row r="934" spans="2:9" ht="15.75" thickBot="1" x14ac:dyDescent="0.3">
      <c r="B934" s="21"/>
      <c r="C934" s="21"/>
      <c r="D934" s="21"/>
      <c r="E934" s="21"/>
      <c r="F934" s="21"/>
      <c r="G934" s="21"/>
      <c r="H934" s="21"/>
      <c r="I934" s="21"/>
    </row>
    <row r="935" spans="2:9" ht="15.75" thickBot="1" x14ac:dyDescent="0.3">
      <c r="B935" s="21"/>
      <c r="C935" s="21"/>
      <c r="D935" s="21"/>
      <c r="E935" s="21"/>
      <c r="F935" s="21"/>
      <c r="G935" s="21"/>
      <c r="H935" s="21"/>
      <c r="I935" s="21"/>
    </row>
    <row r="936" spans="2:9" ht="15.75" thickBot="1" x14ac:dyDescent="0.3">
      <c r="B936" s="21"/>
      <c r="C936" s="21"/>
      <c r="D936" s="21"/>
      <c r="E936" s="21"/>
      <c r="F936" s="21"/>
      <c r="G936" s="21"/>
      <c r="H936" s="21"/>
      <c r="I936" s="21"/>
    </row>
    <row r="937" spans="2:9" ht="15.75" thickBot="1" x14ac:dyDescent="0.3">
      <c r="B937" s="21"/>
      <c r="C937" s="21"/>
      <c r="D937" s="21"/>
      <c r="E937" s="21"/>
      <c r="F937" s="21"/>
      <c r="G937" s="21"/>
      <c r="H937" s="21"/>
      <c r="I937" s="21"/>
    </row>
    <row r="938" spans="2:9" ht="15.75" thickBot="1" x14ac:dyDescent="0.3">
      <c r="B938" s="21"/>
      <c r="C938" s="21"/>
      <c r="D938" s="21"/>
      <c r="E938" s="21"/>
      <c r="F938" s="21"/>
      <c r="G938" s="21"/>
      <c r="H938" s="21"/>
      <c r="I938" s="21"/>
    </row>
    <row r="939" spans="2:9" ht="15.75" thickBot="1" x14ac:dyDescent="0.3">
      <c r="B939" s="21"/>
      <c r="C939" s="21"/>
      <c r="D939" s="21"/>
      <c r="E939" s="21"/>
      <c r="F939" s="21"/>
      <c r="G939" s="21"/>
      <c r="H939" s="21"/>
      <c r="I939" s="21"/>
    </row>
    <row r="940" spans="2:9" ht="15.75" thickBot="1" x14ac:dyDescent="0.3">
      <c r="B940" s="21"/>
      <c r="C940" s="21"/>
      <c r="D940" s="21"/>
      <c r="E940" s="21"/>
      <c r="F940" s="21"/>
      <c r="G940" s="21"/>
      <c r="H940" s="21"/>
      <c r="I940" s="21"/>
    </row>
    <row r="941" spans="2:9" ht="15.75" thickBot="1" x14ac:dyDescent="0.3">
      <c r="B941" s="21"/>
      <c r="C941" s="21"/>
      <c r="D941" s="21"/>
      <c r="E941" s="21"/>
      <c r="F941" s="21"/>
      <c r="G941" s="21"/>
      <c r="H941" s="21"/>
      <c r="I941" s="21"/>
    </row>
    <row r="942" spans="2:9" ht="15.75" thickBot="1" x14ac:dyDescent="0.3">
      <c r="B942" s="21"/>
      <c r="C942" s="21"/>
      <c r="D942" s="21"/>
      <c r="E942" s="21"/>
      <c r="F942" s="21"/>
      <c r="G942" s="21"/>
      <c r="H942" s="21"/>
      <c r="I942" s="21"/>
    </row>
    <row r="943" spans="2:9" ht="15.75" thickBot="1" x14ac:dyDescent="0.3">
      <c r="B943" s="21"/>
      <c r="C943" s="21"/>
      <c r="D943" s="21"/>
      <c r="E943" s="21"/>
      <c r="F943" s="21"/>
      <c r="G943" s="21"/>
      <c r="H943" s="21"/>
      <c r="I943" s="21"/>
    </row>
    <row r="944" spans="2:9" ht="15.75" thickBot="1" x14ac:dyDescent="0.3">
      <c r="B944" s="21"/>
      <c r="C944" s="21"/>
      <c r="D944" s="21"/>
      <c r="E944" s="21"/>
      <c r="F944" s="21"/>
      <c r="G944" s="21"/>
      <c r="H944" s="21"/>
      <c r="I944" s="21"/>
    </row>
    <row r="945" spans="2:9" ht="15.75" thickBot="1" x14ac:dyDescent="0.3">
      <c r="B945" s="21"/>
      <c r="C945" s="21"/>
      <c r="D945" s="21"/>
      <c r="E945" s="21"/>
      <c r="F945" s="21"/>
      <c r="G945" s="21"/>
      <c r="H945" s="21"/>
      <c r="I945" s="21"/>
    </row>
    <row r="946" spans="2:9" ht="15.75" thickBot="1" x14ac:dyDescent="0.3">
      <c r="B946" s="21"/>
      <c r="C946" s="21"/>
      <c r="D946" s="21"/>
      <c r="E946" s="21"/>
      <c r="F946" s="21"/>
      <c r="G946" s="21"/>
      <c r="H946" s="21"/>
      <c r="I946" s="21"/>
    </row>
    <row r="947" spans="2:9" ht="15.75" thickBot="1" x14ac:dyDescent="0.3">
      <c r="B947" s="21"/>
      <c r="C947" s="21"/>
      <c r="D947" s="21"/>
      <c r="E947" s="21"/>
      <c r="F947" s="21"/>
      <c r="G947" s="21"/>
      <c r="H947" s="21"/>
      <c r="I947" s="21"/>
    </row>
    <row r="948" spans="2:9" ht="15.75" thickBot="1" x14ac:dyDescent="0.3">
      <c r="B948" s="21"/>
      <c r="C948" s="21"/>
      <c r="D948" s="21"/>
      <c r="E948" s="21"/>
      <c r="F948" s="21"/>
      <c r="G948" s="21"/>
      <c r="H948" s="21"/>
      <c r="I948" s="21"/>
    </row>
    <row r="949" spans="2:9" ht="15.75" thickBot="1" x14ac:dyDescent="0.3">
      <c r="B949" s="21"/>
      <c r="C949" s="21"/>
      <c r="D949" s="21"/>
      <c r="E949" s="21"/>
      <c r="F949" s="21"/>
      <c r="G949" s="21"/>
      <c r="H949" s="21"/>
      <c r="I949" s="21"/>
    </row>
    <row r="950" spans="2:9" ht="15.75" thickBot="1" x14ac:dyDescent="0.3">
      <c r="B950" s="21"/>
      <c r="C950" s="21"/>
      <c r="D950" s="21"/>
      <c r="E950" s="21"/>
      <c r="F950" s="21"/>
      <c r="G950" s="21"/>
      <c r="H950" s="21"/>
      <c r="I950" s="21"/>
    </row>
    <row r="951" spans="2:9" ht="15.75" thickBot="1" x14ac:dyDescent="0.3">
      <c r="B951" s="21"/>
      <c r="C951" s="21"/>
      <c r="D951" s="21"/>
      <c r="E951" s="21"/>
      <c r="F951" s="21"/>
      <c r="G951" s="21"/>
      <c r="H951" s="21"/>
      <c r="I951" s="21"/>
    </row>
    <row r="952" spans="2:9" ht="15.75" thickBot="1" x14ac:dyDescent="0.3">
      <c r="B952" s="21"/>
      <c r="C952" s="21"/>
      <c r="D952" s="21"/>
      <c r="E952" s="21"/>
      <c r="F952" s="21"/>
      <c r="G952" s="21"/>
      <c r="H952" s="21"/>
      <c r="I952" s="21"/>
    </row>
    <row r="953" spans="2:9" ht="15.75" thickBot="1" x14ac:dyDescent="0.3">
      <c r="B953" s="21"/>
      <c r="C953" s="21"/>
      <c r="D953" s="21"/>
      <c r="E953" s="21"/>
      <c r="F953" s="21"/>
      <c r="G953" s="21"/>
      <c r="H953" s="21"/>
      <c r="I953" s="21"/>
    </row>
    <row r="954" spans="2:9" ht="15.75" thickBot="1" x14ac:dyDescent="0.3">
      <c r="B954" s="21"/>
      <c r="C954" s="21"/>
      <c r="D954" s="21"/>
      <c r="E954" s="21"/>
      <c r="F954" s="21"/>
      <c r="G954" s="21"/>
      <c r="H954" s="21"/>
      <c r="I954" s="21"/>
    </row>
    <row r="955" spans="2:9" ht="15.75" thickBot="1" x14ac:dyDescent="0.3">
      <c r="B955" s="21"/>
      <c r="C955" s="21"/>
      <c r="D955" s="21"/>
      <c r="E955" s="21"/>
      <c r="F955" s="21"/>
      <c r="G955" s="21"/>
      <c r="H955" s="21"/>
      <c r="I955" s="21"/>
    </row>
    <row r="956" spans="2:9" ht="15.75" thickBot="1" x14ac:dyDescent="0.3">
      <c r="B956" s="21"/>
      <c r="C956" s="21"/>
      <c r="D956" s="21"/>
      <c r="E956" s="21"/>
      <c r="F956" s="21"/>
      <c r="G956" s="21"/>
      <c r="H956" s="21"/>
      <c r="I956" s="21"/>
    </row>
    <row r="957" spans="2:9" ht="15.75" thickBot="1" x14ac:dyDescent="0.3">
      <c r="B957" s="21"/>
      <c r="C957" s="21"/>
      <c r="D957" s="21"/>
      <c r="E957" s="21"/>
      <c r="F957" s="21"/>
      <c r="G957" s="21"/>
      <c r="H957" s="21"/>
      <c r="I957" s="21"/>
    </row>
    <row r="958" spans="2:9" ht="15.75" thickBot="1" x14ac:dyDescent="0.3">
      <c r="B958" s="21"/>
      <c r="C958" s="21"/>
      <c r="D958" s="21"/>
      <c r="E958" s="21"/>
      <c r="F958" s="21"/>
      <c r="G958" s="21"/>
      <c r="H958" s="21"/>
      <c r="I958" s="21"/>
    </row>
    <row r="959" spans="2:9" ht="15.75" thickBot="1" x14ac:dyDescent="0.3">
      <c r="B959" s="21"/>
      <c r="C959" s="21"/>
      <c r="D959" s="21"/>
      <c r="E959" s="21"/>
      <c r="F959" s="21"/>
      <c r="G959" s="21"/>
      <c r="H959" s="21"/>
      <c r="I959" s="21"/>
    </row>
    <row r="960" spans="2:9" ht="15.75" thickBot="1" x14ac:dyDescent="0.3">
      <c r="B960" s="21"/>
      <c r="C960" s="21"/>
      <c r="D960" s="21"/>
      <c r="E960" s="21"/>
      <c r="F960" s="21"/>
      <c r="G960" s="21"/>
      <c r="H960" s="21"/>
      <c r="I960" s="21"/>
    </row>
    <row r="961" spans="2:9" ht="15.75" thickBot="1" x14ac:dyDescent="0.3">
      <c r="B961" s="21"/>
      <c r="C961" s="21"/>
      <c r="D961" s="21"/>
      <c r="E961" s="21"/>
      <c r="F961" s="21"/>
      <c r="G961" s="21"/>
      <c r="H961" s="21"/>
      <c r="I961" s="21"/>
    </row>
    <row r="962" spans="2:9" ht="15.75" thickBot="1" x14ac:dyDescent="0.3">
      <c r="B962" s="21"/>
      <c r="C962" s="21"/>
      <c r="D962" s="21"/>
      <c r="E962" s="21"/>
      <c r="F962" s="21"/>
      <c r="G962" s="21"/>
      <c r="H962" s="21"/>
      <c r="I962" s="21"/>
    </row>
    <row r="963" spans="2:9" ht="15.75" thickBot="1" x14ac:dyDescent="0.3">
      <c r="B963" s="21"/>
      <c r="C963" s="21"/>
      <c r="D963" s="21"/>
      <c r="E963" s="21"/>
      <c r="F963" s="21"/>
      <c r="G963" s="21"/>
      <c r="H963" s="21"/>
      <c r="I963" s="21"/>
    </row>
    <row r="964" spans="2:9" ht="15.75" thickBot="1" x14ac:dyDescent="0.3">
      <c r="B964" s="21"/>
      <c r="C964" s="21"/>
      <c r="D964" s="21"/>
      <c r="E964" s="21"/>
      <c r="F964" s="21"/>
      <c r="G964" s="21"/>
      <c r="H964" s="21"/>
      <c r="I964" s="21"/>
    </row>
    <row r="965" spans="2:9" ht="15.75" thickBot="1" x14ac:dyDescent="0.3">
      <c r="B965" s="21"/>
      <c r="C965" s="21"/>
      <c r="D965" s="21"/>
      <c r="E965" s="21"/>
      <c r="F965" s="21"/>
      <c r="G965" s="21"/>
      <c r="H965" s="21"/>
      <c r="I965" s="21"/>
    </row>
    <row r="966" spans="2:9" ht="15.75" thickBot="1" x14ac:dyDescent="0.3">
      <c r="B966" s="21"/>
      <c r="C966" s="21"/>
      <c r="D966" s="21"/>
      <c r="E966" s="21"/>
      <c r="F966" s="21"/>
      <c r="G966" s="21"/>
      <c r="H966" s="21"/>
      <c r="I966" s="21"/>
    </row>
    <row r="967" spans="2:9" ht="15.75" thickBot="1" x14ac:dyDescent="0.3">
      <c r="B967" s="21"/>
      <c r="C967" s="21"/>
      <c r="D967" s="21"/>
      <c r="E967" s="21"/>
      <c r="F967" s="21"/>
      <c r="G967" s="21"/>
      <c r="H967" s="21"/>
      <c r="I967" s="21"/>
    </row>
    <row r="968" spans="2:9" ht="15.75" thickBot="1" x14ac:dyDescent="0.3">
      <c r="B968" s="21"/>
      <c r="C968" s="21"/>
      <c r="D968" s="21"/>
      <c r="E968" s="21"/>
      <c r="F968" s="21"/>
      <c r="G968" s="21"/>
      <c r="H968" s="21"/>
      <c r="I968" s="21"/>
    </row>
    <row r="969" spans="2:9" ht="15.75" thickBot="1" x14ac:dyDescent="0.3">
      <c r="B969" s="21"/>
      <c r="C969" s="21"/>
      <c r="D969" s="21"/>
      <c r="E969" s="21"/>
      <c r="F969" s="21"/>
      <c r="G969" s="21"/>
      <c r="H969" s="21"/>
      <c r="I969" s="21"/>
    </row>
    <row r="970" spans="2:9" ht="15.75" thickBot="1" x14ac:dyDescent="0.3">
      <c r="B970" s="21"/>
      <c r="C970" s="21"/>
      <c r="D970" s="21"/>
      <c r="E970" s="21"/>
      <c r="F970" s="21"/>
      <c r="G970" s="21"/>
      <c r="H970" s="21"/>
      <c r="I970" s="21"/>
    </row>
    <row r="971" spans="2:9" ht="15.75" thickBot="1" x14ac:dyDescent="0.3">
      <c r="B971" s="21"/>
      <c r="C971" s="21"/>
      <c r="D971" s="21"/>
      <c r="E971" s="21"/>
      <c r="F971" s="21"/>
      <c r="G971" s="21"/>
      <c r="H971" s="21"/>
      <c r="I971" s="21"/>
    </row>
    <row r="972" spans="2:9" ht="15.75" thickBot="1" x14ac:dyDescent="0.3">
      <c r="B972" s="21"/>
      <c r="C972" s="21"/>
      <c r="D972" s="21"/>
      <c r="E972" s="21"/>
      <c r="F972" s="21"/>
      <c r="G972" s="21"/>
      <c r="H972" s="21"/>
      <c r="I972" s="21"/>
    </row>
    <row r="973" spans="2:9" ht="15.75" thickBot="1" x14ac:dyDescent="0.3">
      <c r="B973" s="21"/>
      <c r="C973" s="21"/>
      <c r="D973" s="21"/>
      <c r="E973" s="21"/>
      <c r="F973" s="21"/>
      <c r="G973" s="21"/>
      <c r="H973" s="21"/>
      <c r="I973" s="21"/>
    </row>
    <row r="974" spans="2:9" ht="15.75" thickBot="1" x14ac:dyDescent="0.3">
      <c r="B974" s="21"/>
      <c r="C974" s="21"/>
      <c r="D974" s="21"/>
      <c r="E974" s="21"/>
      <c r="F974" s="21"/>
      <c r="G974" s="21"/>
      <c r="H974" s="21"/>
      <c r="I974" s="21"/>
    </row>
    <row r="975" spans="2:9" ht="15.75" thickBot="1" x14ac:dyDescent="0.3">
      <c r="B975" s="21"/>
      <c r="C975" s="21"/>
      <c r="D975" s="21"/>
      <c r="E975" s="21"/>
      <c r="F975" s="21"/>
      <c r="G975" s="21"/>
      <c r="H975" s="21"/>
      <c r="I975" s="21"/>
    </row>
    <row r="976" spans="2:9" ht="15.75" thickBot="1" x14ac:dyDescent="0.3">
      <c r="B976" s="21"/>
      <c r="C976" s="21"/>
      <c r="D976" s="21"/>
      <c r="E976" s="21"/>
      <c r="F976" s="21"/>
      <c r="G976" s="21"/>
      <c r="H976" s="21"/>
      <c r="I976" s="21"/>
    </row>
    <row r="977" spans="2:9" ht="15.75" thickBot="1" x14ac:dyDescent="0.3">
      <c r="B977" s="21"/>
      <c r="C977" s="21"/>
      <c r="D977" s="21"/>
      <c r="E977" s="21"/>
      <c r="F977" s="21"/>
      <c r="G977" s="21"/>
      <c r="H977" s="21"/>
      <c r="I977" s="21"/>
    </row>
    <row r="978" spans="2:9" ht="15.75" thickBot="1" x14ac:dyDescent="0.3">
      <c r="B978" s="21"/>
      <c r="C978" s="21"/>
      <c r="D978" s="21"/>
      <c r="E978" s="21"/>
      <c r="F978" s="21"/>
      <c r="G978" s="21"/>
      <c r="H978" s="21"/>
      <c r="I978" s="21"/>
    </row>
    <row r="979" spans="2:9" ht="15.75" thickBot="1" x14ac:dyDescent="0.3">
      <c r="B979" s="21"/>
      <c r="C979" s="21"/>
      <c r="D979" s="21"/>
      <c r="E979" s="21"/>
      <c r="F979" s="21"/>
      <c r="G979" s="21"/>
      <c r="H979" s="21"/>
      <c r="I979" s="21"/>
    </row>
    <row r="980" spans="2:9" ht="15.75" thickBot="1" x14ac:dyDescent="0.3">
      <c r="B980" s="21"/>
      <c r="C980" s="21"/>
      <c r="D980" s="21"/>
      <c r="E980" s="21"/>
      <c r="F980" s="21"/>
      <c r="G980" s="21"/>
      <c r="H980" s="21"/>
      <c r="I980" s="21"/>
    </row>
    <row r="981" spans="2:9" ht="15.75" thickBot="1" x14ac:dyDescent="0.3">
      <c r="B981" s="21"/>
      <c r="C981" s="21"/>
      <c r="D981" s="21"/>
      <c r="E981" s="21"/>
      <c r="F981" s="21"/>
      <c r="G981" s="21"/>
      <c r="H981" s="21"/>
      <c r="I981" s="21"/>
    </row>
    <row r="982" spans="2:9" ht="15.75" thickBot="1" x14ac:dyDescent="0.3">
      <c r="B982" s="21"/>
      <c r="C982" s="21"/>
      <c r="D982" s="21"/>
      <c r="E982" s="21"/>
      <c r="F982" s="21"/>
      <c r="G982" s="21"/>
      <c r="H982" s="21"/>
      <c r="I982" s="21"/>
    </row>
    <row r="983" spans="2:9" ht="15.75" thickBot="1" x14ac:dyDescent="0.3">
      <c r="B983" s="21"/>
      <c r="C983" s="21"/>
      <c r="D983" s="21"/>
      <c r="E983" s="21"/>
      <c r="F983" s="21"/>
      <c r="G983" s="21"/>
      <c r="H983" s="21"/>
      <c r="I983" s="21"/>
    </row>
    <row r="984" spans="2:9" ht="15.75" thickBot="1" x14ac:dyDescent="0.3">
      <c r="B984" s="21"/>
      <c r="C984" s="21"/>
      <c r="D984" s="21"/>
      <c r="E984" s="21"/>
      <c r="F984" s="21"/>
      <c r="G984" s="21"/>
      <c r="H984" s="21"/>
      <c r="I984" s="21"/>
    </row>
    <row r="985" spans="2:9" ht="15.75" thickBot="1" x14ac:dyDescent="0.3">
      <c r="B985" s="21"/>
      <c r="C985" s="21"/>
      <c r="D985" s="21"/>
      <c r="E985" s="21"/>
      <c r="F985" s="21"/>
      <c r="G985" s="21"/>
      <c r="H985" s="21"/>
      <c r="I985" s="21"/>
    </row>
    <row r="986" spans="2:9" ht="15.75" thickBot="1" x14ac:dyDescent="0.3">
      <c r="B986" s="21"/>
      <c r="C986" s="21"/>
      <c r="D986" s="21"/>
      <c r="E986" s="21"/>
      <c r="F986" s="21"/>
      <c r="G986" s="21"/>
      <c r="H986" s="21"/>
      <c r="I986" s="21"/>
    </row>
    <row r="987" spans="2:9" ht="15.75" thickBot="1" x14ac:dyDescent="0.3">
      <c r="B987" s="21"/>
      <c r="C987" s="21"/>
      <c r="D987" s="21"/>
      <c r="E987" s="21"/>
      <c r="F987" s="21"/>
      <c r="G987" s="21"/>
      <c r="H987" s="21"/>
      <c r="I987" s="21"/>
    </row>
    <row r="988" spans="2:9" ht="15.75" thickBot="1" x14ac:dyDescent="0.3">
      <c r="B988" s="21"/>
      <c r="C988" s="21"/>
      <c r="D988" s="21"/>
      <c r="E988" s="21"/>
      <c r="F988" s="21"/>
      <c r="G988" s="21"/>
      <c r="H988" s="21"/>
      <c r="I988" s="21"/>
    </row>
    <row r="989" spans="2:9" ht="15.75" thickBot="1" x14ac:dyDescent="0.3">
      <c r="B989" s="21"/>
      <c r="C989" s="21"/>
      <c r="D989" s="21"/>
      <c r="E989" s="21"/>
      <c r="F989" s="21"/>
      <c r="G989" s="21"/>
      <c r="H989" s="21"/>
      <c r="I989" s="21"/>
    </row>
    <row r="990" spans="2:9" ht="15.75" thickBot="1" x14ac:dyDescent="0.3">
      <c r="B990" s="21"/>
      <c r="C990" s="21"/>
      <c r="D990" s="21"/>
      <c r="E990" s="21"/>
      <c r="F990" s="21"/>
      <c r="G990" s="21"/>
      <c r="H990" s="21"/>
      <c r="I990" s="21"/>
    </row>
    <row r="991" spans="2:9" ht="15.75" thickBot="1" x14ac:dyDescent="0.3">
      <c r="B991" s="21"/>
      <c r="C991" s="21"/>
      <c r="D991" s="21"/>
      <c r="E991" s="21"/>
      <c r="F991" s="21"/>
      <c r="G991" s="21"/>
      <c r="H991" s="21"/>
      <c r="I991" s="21"/>
    </row>
    <row r="992" spans="2:9" ht="15.75" thickBot="1" x14ac:dyDescent="0.3">
      <c r="B992" s="21"/>
      <c r="C992" s="21"/>
      <c r="D992" s="21"/>
      <c r="E992" s="21"/>
      <c r="F992" s="21"/>
      <c r="G992" s="21"/>
      <c r="H992" s="21"/>
      <c r="I992" s="21"/>
    </row>
    <row r="993" spans="2:9" ht="15.75" thickBot="1" x14ac:dyDescent="0.3">
      <c r="B993" s="21"/>
      <c r="C993" s="21"/>
      <c r="D993" s="21"/>
      <c r="E993" s="21"/>
      <c r="F993" s="21"/>
      <c r="G993" s="21"/>
      <c r="H993" s="21"/>
      <c r="I993" s="21"/>
    </row>
    <row r="994" spans="2:9" ht="15.75" thickBot="1" x14ac:dyDescent="0.3">
      <c r="B994" s="21"/>
      <c r="C994" s="21"/>
      <c r="D994" s="21"/>
      <c r="E994" s="21"/>
      <c r="F994" s="21"/>
      <c r="G994" s="21"/>
      <c r="H994" s="21"/>
      <c r="I994" s="21"/>
    </row>
    <row r="995" spans="2:9" ht="15.75" thickBot="1" x14ac:dyDescent="0.3">
      <c r="B995" s="21"/>
      <c r="C995" s="21"/>
      <c r="D995" s="21"/>
      <c r="E995" s="21"/>
      <c r="F995" s="21"/>
      <c r="G995" s="21"/>
      <c r="H995" s="21"/>
      <c r="I995" s="21"/>
    </row>
    <row r="996" spans="2:9" ht="15.75" thickBot="1" x14ac:dyDescent="0.3">
      <c r="B996" s="21"/>
      <c r="C996" s="21"/>
      <c r="D996" s="21"/>
      <c r="E996" s="21"/>
      <c r="F996" s="21"/>
      <c r="G996" s="21"/>
      <c r="H996" s="21"/>
      <c r="I996" s="21"/>
    </row>
    <row r="997" spans="2:9" ht="15.75" thickBot="1" x14ac:dyDescent="0.3">
      <c r="B997" s="21"/>
      <c r="C997" s="21"/>
      <c r="D997" s="21"/>
      <c r="E997" s="21"/>
      <c r="F997" s="21"/>
      <c r="G997" s="21"/>
      <c r="H997" s="21"/>
      <c r="I997" s="21"/>
    </row>
    <row r="998" spans="2:9" ht="15.75" thickBot="1" x14ac:dyDescent="0.3">
      <c r="B998" s="21"/>
      <c r="C998" s="21"/>
      <c r="D998" s="21"/>
      <c r="E998" s="21"/>
      <c r="F998" s="21"/>
      <c r="G998" s="21"/>
      <c r="H998" s="21"/>
      <c r="I998" s="21"/>
    </row>
    <row r="999" spans="2:9" ht="15.75" thickBot="1" x14ac:dyDescent="0.3">
      <c r="B999" s="21"/>
      <c r="C999" s="21"/>
      <c r="D999" s="21"/>
      <c r="E999" s="21"/>
      <c r="F999" s="21"/>
      <c r="G999" s="21"/>
      <c r="H999" s="21"/>
      <c r="I999" s="21"/>
    </row>
    <row r="1000" spans="2:9" ht="15.75" thickBot="1" x14ac:dyDescent="0.3">
      <c r="B1000" s="21"/>
      <c r="C1000" s="21"/>
      <c r="D1000" s="21"/>
      <c r="E1000" s="21"/>
      <c r="F1000" s="21"/>
      <c r="G1000" s="21"/>
      <c r="H1000" s="21"/>
      <c r="I1000" s="21"/>
    </row>
    <row r="1001" spans="2:9" ht="15.75" thickBot="1" x14ac:dyDescent="0.3">
      <c r="B1001" s="21"/>
      <c r="C1001" s="21"/>
      <c r="D1001" s="21"/>
      <c r="E1001" s="21"/>
      <c r="F1001" s="21"/>
      <c r="G1001" s="21"/>
      <c r="H1001" s="21"/>
      <c r="I1001" s="21"/>
    </row>
    <row r="1002" spans="2:9" ht="15.75" thickBot="1" x14ac:dyDescent="0.3">
      <c r="B1002" s="21"/>
      <c r="C1002" s="21"/>
      <c r="D1002" s="21"/>
      <c r="E1002" s="21"/>
      <c r="F1002" s="21"/>
      <c r="G1002" s="21"/>
      <c r="H1002" s="21"/>
      <c r="I1002" s="21"/>
    </row>
    <row r="1003" spans="2:9" ht="15.75" thickBot="1" x14ac:dyDescent="0.3">
      <c r="B1003" s="21"/>
      <c r="C1003" s="21"/>
      <c r="D1003" s="21"/>
      <c r="E1003" s="21"/>
      <c r="F1003" s="21"/>
      <c r="G1003" s="21"/>
      <c r="H1003" s="21"/>
      <c r="I1003" s="21"/>
    </row>
    <row r="1004" spans="2:9" ht="15.75" thickBot="1" x14ac:dyDescent="0.3">
      <c r="B1004" s="21"/>
      <c r="C1004" s="21"/>
      <c r="D1004" s="21"/>
      <c r="E1004" s="21"/>
      <c r="F1004" s="21"/>
      <c r="G1004" s="21"/>
      <c r="H1004" s="21"/>
      <c r="I1004" s="21"/>
    </row>
    <row r="1005" spans="2:9" ht="15.75" thickBot="1" x14ac:dyDescent="0.3">
      <c r="B1005" s="21"/>
      <c r="C1005" s="21"/>
      <c r="D1005" s="21"/>
      <c r="E1005" s="21"/>
      <c r="F1005" s="21"/>
      <c r="G1005" s="21"/>
      <c r="H1005" s="21"/>
      <c r="I1005" s="21"/>
    </row>
    <row r="1006" spans="2:9" ht="15.75" thickBot="1" x14ac:dyDescent="0.3">
      <c r="B1006" s="21"/>
      <c r="C1006" s="21"/>
      <c r="D1006" s="21"/>
      <c r="E1006" s="21"/>
      <c r="F1006" s="21"/>
      <c r="G1006" s="21"/>
      <c r="H1006" s="21"/>
      <c r="I1006" s="21"/>
    </row>
    <row r="1007" spans="2:9" ht="15.75" thickBot="1" x14ac:dyDescent="0.3">
      <c r="B1007" s="21"/>
      <c r="C1007" s="21"/>
      <c r="D1007" s="21"/>
      <c r="E1007" s="21"/>
      <c r="F1007" s="21"/>
      <c r="G1007" s="21"/>
      <c r="H1007" s="21"/>
      <c r="I1007" s="21"/>
    </row>
    <row r="1008" spans="2:9" ht="15.75" thickBot="1" x14ac:dyDescent="0.3">
      <c r="B1008" s="21"/>
      <c r="C1008" s="21"/>
      <c r="D1008" s="21"/>
      <c r="E1008" s="21"/>
      <c r="F1008" s="21"/>
      <c r="G1008" s="21"/>
      <c r="H1008" s="21"/>
      <c r="I1008" s="21"/>
    </row>
    <row r="1009" spans="2:9" ht="15.75" thickBot="1" x14ac:dyDescent="0.3">
      <c r="B1009" s="21"/>
      <c r="C1009" s="21"/>
      <c r="D1009" s="21"/>
      <c r="E1009" s="21"/>
      <c r="F1009" s="21"/>
      <c r="G1009" s="21"/>
      <c r="H1009" s="21"/>
      <c r="I1009" s="21"/>
    </row>
    <row r="1010" spans="2:9" ht="15.75" thickBot="1" x14ac:dyDescent="0.3">
      <c r="B1010" s="21"/>
      <c r="C1010" s="21"/>
      <c r="D1010" s="21"/>
      <c r="E1010" s="21"/>
      <c r="F1010" s="21"/>
      <c r="G1010" s="21"/>
      <c r="H1010" s="21"/>
      <c r="I1010" s="21"/>
    </row>
    <row r="1011" spans="2:9" ht="15.75" thickBot="1" x14ac:dyDescent="0.3">
      <c r="B1011" s="21"/>
      <c r="C1011" s="21"/>
      <c r="D1011" s="21"/>
      <c r="E1011" s="21"/>
      <c r="F1011" s="21"/>
      <c r="G1011" s="21"/>
      <c r="H1011" s="21"/>
      <c r="I1011" s="21"/>
    </row>
    <row r="1012" spans="2:9" ht="15.75" thickBot="1" x14ac:dyDescent="0.3">
      <c r="B1012" s="21"/>
      <c r="C1012" s="21"/>
      <c r="D1012" s="21"/>
      <c r="E1012" s="21"/>
      <c r="F1012" s="21"/>
      <c r="G1012" s="21"/>
      <c r="H1012" s="21"/>
      <c r="I1012" s="21"/>
    </row>
    <row r="1013" spans="2:9" ht="15.75" thickBot="1" x14ac:dyDescent="0.3">
      <c r="B1013" s="21"/>
      <c r="C1013" s="21"/>
      <c r="D1013" s="21"/>
      <c r="E1013" s="21"/>
      <c r="F1013" s="21"/>
      <c r="G1013" s="21"/>
      <c r="H1013" s="21"/>
      <c r="I1013" s="21"/>
    </row>
    <row r="1014" spans="2:9" ht="15.75" thickBot="1" x14ac:dyDescent="0.3">
      <c r="B1014" s="21"/>
      <c r="C1014" s="21"/>
      <c r="D1014" s="21"/>
      <c r="E1014" s="21"/>
      <c r="F1014" s="21"/>
      <c r="G1014" s="21"/>
      <c r="H1014" s="21"/>
      <c r="I1014" s="21"/>
    </row>
    <row r="1015" spans="2:9" ht="15.75" thickBot="1" x14ac:dyDescent="0.3">
      <c r="B1015" s="21"/>
      <c r="C1015" s="21"/>
      <c r="D1015" s="21"/>
      <c r="E1015" s="21"/>
      <c r="F1015" s="21"/>
      <c r="G1015" s="21"/>
      <c r="H1015" s="21"/>
      <c r="I1015" s="21"/>
    </row>
    <row r="1016" spans="2:9" ht="15.75" thickBot="1" x14ac:dyDescent="0.3">
      <c r="B1016" s="21"/>
      <c r="C1016" s="21"/>
      <c r="D1016" s="21"/>
      <c r="E1016" s="21"/>
      <c r="F1016" s="21"/>
      <c r="G1016" s="21"/>
      <c r="H1016" s="21"/>
      <c r="I1016" s="21"/>
    </row>
    <row r="1017" spans="2:9" ht="15.75" thickBot="1" x14ac:dyDescent="0.3">
      <c r="B1017" s="21"/>
      <c r="C1017" s="21"/>
      <c r="D1017" s="21"/>
      <c r="E1017" s="21"/>
      <c r="F1017" s="21"/>
      <c r="G1017" s="21"/>
      <c r="H1017" s="21"/>
      <c r="I1017" s="21"/>
    </row>
    <row r="1018" spans="2:9" ht="15.75" thickBot="1" x14ac:dyDescent="0.3">
      <c r="B1018" s="21"/>
      <c r="C1018" s="21"/>
      <c r="D1018" s="21"/>
      <c r="E1018" s="21"/>
      <c r="F1018" s="21"/>
      <c r="G1018" s="21"/>
      <c r="H1018" s="21"/>
      <c r="I1018" s="21"/>
    </row>
    <row r="1019" spans="2:9" ht="15.75" thickBot="1" x14ac:dyDescent="0.3">
      <c r="B1019" s="21"/>
      <c r="C1019" s="21"/>
      <c r="D1019" s="21"/>
      <c r="E1019" s="21"/>
      <c r="F1019" s="21"/>
      <c r="G1019" s="21"/>
      <c r="H1019" s="21"/>
      <c r="I1019" s="21"/>
    </row>
    <row r="1020" spans="2:9" ht="15.75" thickBot="1" x14ac:dyDescent="0.3">
      <c r="B1020" s="21"/>
      <c r="C1020" s="21"/>
      <c r="D1020" s="21"/>
      <c r="E1020" s="21"/>
      <c r="F1020" s="21"/>
      <c r="G1020" s="21"/>
      <c r="H1020" s="21"/>
      <c r="I1020" s="21"/>
    </row>
    <row r="1021" spans="2:9" ht="15.75" thickBot="1" x14ac:dyDescent="0.3">
      <c r="B1021" s="21"/>
      <c r="C1021" s="21"/>
      <c r="D1021" s="21"/>
      <c r="E1021" s="21"/>
      <c r="F1021" s="21"/>
      <c r="G1021" s="21"/>
      <c r="H1021" s="21"/>
      <c r="I1021" s="21"/>
    </row>
    <row r="1022" spans="2:9" ht="15.75" thickBot="1" x14ac:dyDescent="0.3">
      <c r="B1022" s="21"/>
      <c r="C1022" s="21"/>
      <c r="D1022" s="21"/>
      <c r="E1022" s="21"/>
      <c r="F1022" s="21"/>
      <c r="G1022" s="21"/>
      <c r="H1022" s="21"/>
      <c r="I1022" s="21"/>
    </row>
    <row r="1023" spans="2:9" ht="15.75" thickBot="1" x14ac:dyDescent="0.3">
      <c r="B1023" s="21"/>
      <c r="C1023" s="21"/>
      <c r="D1023" s="21"/>
      <c r="E1023" s="21"/>
      <c r="F1023" s="21"/>
      <c r="G1023" s="21"/>
      <c r="H1023" s="21"/>
      <c r="I1023" s="21"/>
    </row>
    <row r="1024" spans="2:9" ht="15.75" thickBot="1" x14ac:dyDescent="0.3">
      <c r="B1024" s="21"/>
      <c r="C1024" s="21"/>
      <c r="D1024" s="21"/>
      <c r="E1024" s="21"/>
      <c r="F1024" s="21"/>
      <c r="G1024" s="21"/>
      <c r="H1024" s="21"/>
      <c r="I1024" s="21"/>
    </row>
    <row r="1025" spans="2:9" ht="15.75" thickBot="1" x14ac:dyDescent="0.3">
      <c r="B1025" s="21"/>
      <c r="C1025" s="21"/>
      <c r="D1025" s="21"/>
      <c r="E1025" s="21"/>
      <c r="F1025" s="21"/>
      <c r="G1025" s="21"/>
      <c r="H1025" s="21"/>
      <c r="I1025" s="21"/>
    </row>
    <row r="1026" spans="2:9" ht="15.75" thickBot="1" x14ac:dyDescent="0.3">
      <c r="B1026" s="21"/>
      <c r="C1026" s="21"/>
      <c r="D1026" s="21"/>
      <c r="E1026" s="21"/>
      <c r="F1026" s="21"/>
      <c r="G1026" s="21"/>
      <c r="H1026" s="21"/>
      <c r="I1026" s="21"/>
    </row>
    <row r="1027" spans="2:9" ht="15.75" thickBot="1" x14ac:dyDescent="0.3">
      <c r="B1027" s="21"/>
      <c r="C1027" s="21"/>
      <c r="D1027" s="21"/>
      <c r="E1027" s="21"/>
      <c r="F1027" s="21"/>
      <c r="G1027" s="21"/>
      <c r="H1027" s="21"/>
      <c r="I1027" s="21"/>
    </row>
    <row r="1028" spans="2:9" ht="15.75" thickBot="1" x14ac:dyDescent="0.3">
      <c r="B1028" s="21"/>
      <c r="C1028" s="21"/>
      <c r="D1028" s="21"/>
      <c r="E1028" s="21"/>
      <c r="F1028" s="21"/>
      <c r="G1028" s="21"/>
      <c r="H1028" s="21"/>
      <c r="I1028" s="21"/>
    </row>
    <row r="1029" spans="2:9" ht="15.75" thickBot="1" x14ac:dyDescent="0.3">
      <c r="B1029" s="21"/>
      <c r="C1029" s="21"/>
      <c r="D1029" s="21"/>
      <c r="E1029" s="21"/>
      <c r="F1029" s="21"/>
      <c r="G1029" s="21"/>
      <c r="H1029" s="21"/>
      <c r="I1029" s="21"/>
    </row>
    <row r="1030" spans="2:9" ht="15.75" thickBot="1" x14ac:dyDescent="0.3">
      <c r="B1030" s="21"/>
      <c r="C1030" s="21"/>
      <c r="D1030" s="21"/>
      <c r="E1030" s="21"/>
      <c r="F1030" s="21"/>
      <c r="G1030" s="21"/>
      <c r="H1030" s="21"/>
      <c r="I1030" s="21"/>
    </row>
    <row r="1031" spans="2:9" ht="15.75" thickBot="1" x14ac:dyDescent="0.3">
      <c r="B1031" s="21"/>
      <c r="C1031" s="21"/>
      <c r="D1031" s="21"/>
      <c r="E1031" s="21"/>
      <c r="F1031" s="21"/>
      <c r="G1031" s="21"/>
      <c r="H1031" s="21"/>
      <c r="I1031" s="21"/>
    </row>
    <row r="1032" spans="2:9" ht="15.75" thickBot="1" x14ac:dyDescent="0.3">
      <c r="B1032" s="21"/>
      <c r="C1032" s="21"/>
      <c r="D1032" s="21"/>
      <c r="E1032" s="21"/>
      <c r="F1032" s="21"/>
      <c r="G1032" s="21"/>
      <c r="H1032" s="21"/>
      <c r="I1032" s="21"/>
    </row>
    <row r="1033" spans="2:9" ht="15.75" thickBot="1" x14ac:dyDescent="0.3">
      <c r="B1033" s="21"/>
      <c r="C1033" s="21"/>
      <c r="D1033" s="21"/>
      <c r="E1033" s="21"/>
      <c r="F1033" s="21"/>
      <c r="G1033" s="21"/>
      <c r="H1033" s="21"/>
      <c r="I1033" s="21"/>
    </row>
    <row r="1034" spans="2:9" ht="15.75" thickBot="1" x14ac:dyDescent="0.3">
      <c r="B1034" s="21"/>
      <c r="C1034" s="21"/>
      <c r="D1034" s="21"/>
      <c r="E1034" s="21"/>
      <c r="F1034" s="21"/>
      <c r="G1034" s="21"/>
      <c r="H1034" s="21"/>
      <c r="I1034" s="21"/>
    </row>
    <row r="1035" spans="2:9" ht="15.75" thickBot="1" x14ac:dyDescent="0.3">
      <c r="B1035" s="21"/>
      <c r="C1035" s="21"/>
      <c r="D1035" s="21"/>
      <c r="E1035" s="21"/>
      <c r="F1035" s="21"/>
      <c r="G1035" s="21"/>
      <c r="H1035" s="21"/>
      <c r="I1035" s="21"/>
    </row>
    <row r="1036" spans="2:9" ht="15.75" thickBot="1" x14ac:dyDescent="0.3">
      <c r="B1036" s="21"/>
      <c r="C1036" s="21"/>
      <c r="D1036" s="21"/>
      <c r="E1036" s="21"/>
      <c r="F1036" s="21"/>
      <c r="G1036" s="21"/>
      <c r="H1036" s="21"/>
      <c r="I1036" s="21"/>
    </row>
    <row r="1037" spans="2:9" ht="15.75" thickBot="1" x14ac:dyDescent="0.3">
      <c r="B1037" s="21"/>
      <c r="C1037" s="21"/>
      <c r="D1037" s="21"/>
      <c r="E1037" s="21"/>
      <c r="F1037" s="21"/>
      <c r="G1037" s="21"/>
      <c r="H1037" s="21"/>
      <c r="I1037" s="21"/>
    </row>
    <row r="1038" spans="2:9" ht="15.75" thickBot="1" x14ac:dyDescent="0.3">
      <c r="B1038" s="21"/>
      <c r="C1038" s="21"/>
      <c r="D1038" s="21"/>
      <c r="E1038" s="21"/>
      <c r="F1038" s="21"/>
      <c r="G1038" s="21"/>
      <c r="H1038" s="21"/>
      <c r="I1038" s="21"/>
    </row>
    <row r="1039" spans="2:9" ht="15.75" thickBot="1" x14ac:dyDescent="0.3">
      <c r="B1039" s="21"/>
      <c r="C1039" s="21"/>
      <c r="D1039" s="21"/>
      <c r="E1039" s="21"/>
      <c r="F1039" s="21"/>
      <c r="G1039" s="21"/>
      <c r="H1039" s="21"/>
      <c r="I1039" s="21"/>
    </row>
    <row r="1040" spans="2:9" ht="15.75" thickBot="1" x14ac:dyDescent="0.3">
      <c r="B1040" s="21"/>
      <c r="C1040" s="21"/>
      <c r="D1040" s="21"/>
      <c r="E1040" s="21"/>
      <c r="F1040" s="21"/>
      <c r="G1040" s="21"/>
      <c r="H1040" s="21"/>
      <c r="I1040" s="21"/>
    </row>
    <row r="1041" spans="2:9" ht="15.75" thickBot="1" x14ac:dyDescent="0.3">
      <c r="B1041" s="21"/>
      <c r="C1041" s="21"/>
      <c r="D1041" s="21"/>
      <c r="E1041" s="21"/>
      <c r="F1041" s="21"/>
      <c r="G1041" s="21"/>
      <c r="H1041" s="21"/>
      <c r="I1041" s="21"/>
    </row>
    <row r="1042" spans="2:9" ht="15.75" thickBot="1" x14ac:dyDescent="0.3">
      <c r="B1042" s="21"/>
      <c r="C1042" s="21"/>
      <c r="D1042" s="21"/>
      <c r="E1042" s="21"/>
      <c r="F1042" s="21"/>
      <c r="G1042" s="21"/>
      <c r="H1042" s="21"/>
      <c r="I1042" s="21"/>
    </row>
    <row r="1043" spans="2:9" ht="15.75" thickBot="1" x14ac:dyDescent="0.3">
      <c r="B1043" s="21"/>
      <c r="C1043" s="21"/>
      <c r="D1043" s="21"/>
      <c r="E1043" s="21"/>
      <c r="F1043" s="21"/>
      <c r="G1043" s="21"/>
      <c r="H1043" s="21"/>
      <c r="I1043" s="21"/>
    </row>
    <row r="1044" spans="2:9" ht="15.75" thickBot="1" x14ac:dyDescent="0.3">
      <c r="B1044" s="21"/>
      <c r="C1044" s="21"/>
      <c r="D1044" s="21"/>
      <c r="E1044" s="21"/>
      <c r="F1044" s="21"/>
      <c r="G1044" s="21"/>
      <c r="H1044" s="21"/>
      <c r="I1044" s="21"/>
    </row>
    <row r="1045" spans="2:9" ht="15.75" thickBot="1" x14ac:dyDescent="0.3">
      <c r="B1045" s="21"/>
      <c r="C1045" s="21"/>
      <c r="D1045" s="21"/>
      <c r="E1045" s="21"/>
      <c r="F1045" s="21"/>
      <c r="G1045" s="21"/>
      <c r="H1045" s="21"/>
      <c r="I1045" s="21"/>
    </row>
    <row r="1046" spans="2:9" ht="15.75" thickBot="1" x14ac:dyDescent="0.3">
      <c r="B1046" s="21"/>
      <c r="C1046" s="21"/>
      <c r="D1046" s="21"/>
      <c r="E1046" s="21"/>
      <c r="F1046" s="21"/>
      <c r="G1046" s="21"/>
      <c r="H1046" s="21"/>
      <c r="I1046" s="21"/>
    </row>
    <row r="1047" spans="2:9" ht="15.75" thickBot="1" x14ac:dyDescent="0.3">
      <c r="B1047" s="21"/>
      <c r="C1047" s="21"/>
      <c r="D1047" s="21"/>
      <c r="E1047" s="21"/>
      <c r="F1047" s="21"/>
      <c r="G1047" s="21"/>
      <c r="H1047" s="21"/>
      <c r="I1047" s="21"/>
    </row>
    <row r="1048" spans="2:9" ht="15.75" thickBot="1" x14ac:dyDescent="0.3">
      <c r="B1048" s="21"/>
      <c r="C1048" s="21"/>
      <c r="D1048" s="21"/>
      <c r="E1048" s="21"/>
      <c r="F1048" s="21"/>
      <c r="G1048" s="21"/>
      <c r="H1048" s="21"/>
      <c r="I1048" s="21"/>
    </row>
    <row r="1049" spans="2:9" ht="15.75" thickBot="1" x14ac:dyDescent="0.3">
      <c r="B1049" s="21"/>
      <c r="C1049" s="21"/>
      <c r="D1049" s="21"/>
      <c r="E1049" s="21"/>
      <c r="F1049" s="21"/>
      <c r="G1049" s="21"/>
      <c r="H1049" s="21"/>
      <c r="I1049" s="21"/>
    </row>
    <row r="1050" spans="2:9" ht="15.75" thickBot="1" x14ac:dyDescent="0.3">
      <c r="B1050" s="21"/>
      <c r="C1050" s="21"/>
      <c r="D1050" s="21"/>
      <c r="E1050" s="21"/>
      <c r="F1050" s="21"/>
      <c r="G1050" s="21"/>
      <c r="H1050" s="21"/>
      <c r="I1050" s="21"/>
    </row>
    <row r="1051" spans="2:9" ht="15.75" thickBot="1" x14ac:dyDescent="0.3">
      <c r="B1051" s="21"/>
      <c r="C1051" s="21"/>
      <c r="D1051" s="21"/>
      <c r="E1051" s="21"/>
      <c r="F1051" s="21"/>
      <c r="G1051" s="21"/>
      <c r="H1051" s="21"/>
      <c r="I1051" s="21"/>
    </row>
    <row r="1052" spans="2:9" ht="15.75" thickBot="1" x14ac:dyDescent="0.3">
      <c r="B1052" s="21"/>
      <c r="C1052" s="21"/>
      <c r="D1052" s="21"/>
      <c r="E1052" s="21"/>
      <c r="F1052" s="21"/>
      <c r="G1052" s="21"/>
      <c r="H1052" s="21"/>
      <c r="I1052" s="21"/>
    </row>
    <row r="1053" spans="2:9" ht="15.75" thickBot="1" x14ac:dyDescent="0.3">
      <c r="B1053" s="21"/>
      <c r="C1053" s="21"/>
      <c r="D1053" s="21"/>
      <c r="E1053" s="21"/>
      <c r="F1053" s="21"/>
      <c r="G1053" s="21"/>
      <c r="H1053" s="21"/>
      <c r="I1053" s="21"/>
    </row>
    <row r="1054" spans="2:9" ht="15.75" thickBot="1" x14ac:dyDescent="0.3">
      <c r="B1054" s="21"/>
      <c r="C1054" s="21"/>
      <c r="D1054" s="21"/>
      <c r="E1054" s="21"/>
      <c r="F1054" s="21"/>
      <c r="G1054" s="21"/>
      <c r="H1054" s="21"/>
      <c r="I1054" s="21"/>
    </row>
    <row r="1055" spans="2:9" ht="15.75" thickBot="1" x14ac:dyDescent="0.3">
      <c r="B1055" s="21"/>
      <c r="C1055" s="21"/>
      <c r="D1055" s="21"/>
      <c r="E1055" s="21"/>
      <c r="F1055" s="21"/>
      <c r="G1055" s="21"/>
      <c r="H1055" s="21"/>
      <c r="I1055" s="21"/>
    </row>
    <row r="1056" spans="2:9" ht="15.75" thickBot="1" x14ac:dyDescent="0.3">
      <c r="B1056" s="21"/>
      <c r="C1056" s="21"/>
      <c r="D1056" s="21"/>
      <c r="E1056" s="21"/>
      <c r="F1056" s="21"/>
      <c r="G1056" s="21"/>
      <c r="H1056" s="21"/>
      <c r="I1056" s="21"/>
    </row>
    <row r="1057" spans="2:9" ht="15.75" thickBot="1" x14ac:dyDescent="0.3">
      <c r="B1057" s="21"/>
      <c r="C1057" s="21"/>
      <c r="D1057" s="21"/>
      <c r="E1057" s="21"/>
      <c r="F1057" s="21"/>
      <c r="G1057" s="21"/>
      <c r="H1057" s="21"/>
      <c r="I1057" s="21"/>
    </row>
    <row r="1058" spans="2:9" ht="15.75" thickBot="1" x14ac:dyDescent="0.3">
      <c r="B1058" s="21"/>
      <c r="C1058" s="21"/>
      <c r="D1058" s="21"/>
      <c r="E1058" s="21"/>
      <c r="F1058" s="21"/>
      <c r="G1058" s="21"/>
      <c r="H1058" s="21"/>
      <c r="I1058" s="21"/>
    </row>
    <row r="1059" spans="2:9" ht="15.75" thickBot="1" x14ac:dyDescent="0.3">
      <c r="B1059" s="21"/>
      <c r="C1059" s="21"/>
      <c r="D1059" s="21"/>
      <c r="E1059" s="21"/>
      <c r="F1059" s="21"/>
      <c r="G1059" s="21"/>
      <c r="H1059" s="21"/>
      <c r="I1059" s="21"/>
    </row>
    <row r="1060" spans="2:9" ht="15.75" thickBot="1" x14ac:dyDescent="0.3">
      <c r="B1060" s="21"/>
      <c r="C1060" s="21"/>
      <c r="D1060" s="21"/>
      <c r="E1060" s="21"/>
      <c r="F1060" s="21"/>
      <c r="G1060" s="21"/>
      <c r="H1060" s="21"/>
      <c r="I1060" s="21"/>
    </row>
    <row r="1061" spans="2:9" ht="15.75" thickBot="1" x14ac:dyDescent="0.3">
      <c r="B1061" s="21"/>
      <c r="C1061" s="21"/>
      <c r="D1061" s="21"/>
      <c r="E1061" s="21"/>
      <c r="F1061" s="21"/>
      <c r="G1061" s="21"/>
      <c r="H1061" s="21"/>
      <c r="I1061" s="21"/>
    </row>
    <row r="1062" spans="2:9" ht="15.75" thickBot="1" x14ac:dyDescent="0.3">
      <c r="B1062" s="21"/>
      <c r="C1062" s="21"/>
      <c r="D1062" s="21"/>
      <c r="E1062" s="21"/>
      <c r="F1062" s="21"/>
      <c r="G1062" s="21"/>
      <c r="H1062" s="21"/>
      <c r="I1062" s="21"/>
    </row>
    <row r="1063" spans="2:9" ht="15.75" thickBot="1" x14ac:dyDescent="0.3">
      <c r="B1063" s="21"/>
      <c r="C1063" s="21"/>
      <c r="D1063" s="21"/>
      <c r="E1063" s="21"/>
      <c r="F1063" s="21"/>
      <c r="G1063" s="21"/>
      <c r="H1063" s="21"/>
      <c r="I1063" s="21"/>
    </row>
    <row r="1064" spans="2:9" ht="15.75" thickBot="1" x14ac:dyDescent="0.3">
      <c r="B1064" s="21"/>
      <c r="C1064" s="21"/>
      <c r="D1064" s="21"/>
      <c r="E1064" s="21"/>
      <c r="F1064" s="21"/>
      <c r="G1064" s="21"/>
      <c r="H1064" s="21"/>
      <c r="I1064" s="21"/>
    </row>
    <row r="1065" spans="2:9" ht="15.75" thickBot="1" x14ac:dyDescent="0.3">
      <c r="B1065" s="21"/>
      <c r="C1065" s="21"/>
      <c r="D1065" s="21"/>
      <c r="E1065" s="21"/>
      <c r="F1065" s="21"/>
      <c r="G1065" s="21"/>
      <c r="H1065" s="21"/>
      <c r="I1065" s="21"/>
    </row>
    <row r="1066" spans="2:9" ht="15.75" thickBot="1" x14ac:dyDescent="0.3">
      <c r="B1066" s="21"/>
      <c r="C1066" s="21"/>
      <c r="D1066" s="21"/>
      <c r="E1066" s="21"/>
      <c r="F1066" s="21"/>
      <c r="G1066" s="21"/>
      <c r="H1066" s="21"/>
      <c r="I1066" s="21"/>
    </row>
    <row r="1067" spans="2:9" ht="15.75" thickBot="1" x14ac:dyDescent="0.3">
      <c r="B1067" s="21"/>
      <c r="C1067" s="21"/>
      <c r="D1067" s="21"/>
      <c r="E1067" s="21"/>
      <c r="F1067" s="21"/>
      <c r="G1067" s="21"/>
      <c r="H1067" s="21"/>
      <c r="I1067" s="21"/>
    </row>
    <row r="1068" spans="2:9" ht="15.75" thickBot="1" x14ac:dyDescent="0.3">
      <c r="B1068" s="21"/>
      <c r="C1068" s="21"/>
      <c r="D1068" s="21"/>
      <c r="E1068" s="21"/>
      <c r="F1068" s="21"/>
      <c r="G1068" s="21"/>
      <c r="H1068" s="21"/>
      <c r="I1068" s="21"/>
    </row>
    <row r="1069" spans="2:9" ht="15.75" thickBot="1" x14ac:dyDescent="0.3">
      <c r="B1069" s="21"/>
      <c r="C1069" s="21"/>
      <c r="D1069" s="21"/>
      <c r="E1069" s="21"/>
      <c r="F1069" s="21"/>
      <c r="G1069" s="21"/>
      <c r="H1069" s="21"/>
      <c r="I1069" s="21"/>
    </row>
    <row r="1070" spans="2:9" ht="15.75" thickBot="1" x14ac:dyDescent="0.3">
      <c r="B1070" s="21"/>
      <c r="C1070" s="21"/>
      <c r="D1070" s="21"/>
      <c r="E1070" s="21"/>
      <c r="F1070" s="21"/>
      <c r="G1070" s="21"/>
      <c r="H1070" s="21"/>
      <c r="I1070" s="21"/>
    </row>
    <row r="1071" spans="2:9" ht="15.75" thickBot="1" x14ac:dyDescent="0.3">
      <c r="B1071" s="21"/>
      <c r="C1071" s="21"/>
      <c r="D1071" s="21"/>
      <c r="E1071" s="21"/>
      <c r="F1071" s="21"/>
      <c r="G1071" s="21"/>
      <c r="H1071" s="21"/>
      <c r="I1071" s="21"/>
    </row>
    <row r="1072" spans="2:9" ht="15.75" thickBot="1" x14ac:dyDescent="0.3">
      <c r="B1072" s="21"/>
      <c r="C1072" s="21"/>
      <c r="D1072" s="21"/>
      <c r="E1072" s="21"/>
      <c r="F1072" s="21"/>
      <c r="G1072" s="21"/>
      <c r="H1072" s="21"/>
      <c r="I1072" s="21"/>
    </row>
    <row r="1073" spans="2:9" ht="15.75" thickBot="1" x14ac:dyDescent="0.3">
      <c r="B1073" s="21"/>
      <c r="C1073" s="21"/>
      <c r="D1073" s="21"/>
      <c r="E1073" s="21"/>
      <c r="F1073" s="21"/>
      <c r="G1073" s="21"/>
      <c r="H1073" s="21"/>
      <c r="I1073" s="21"/>
    </row>
    <row r="1074" spans="2:9" ht="15.75" thickBot="1" x14ac:dyDescent="0.3">
      <c r="B1074" s="21"/>
      <c r="C1074" s="21"/>
      <c r="D1074" s="21"/>
      <c r="E1074" s="21"/>
      <c r="F1074" s="21"/>
      <c r="G1074" s="21"/>
      <c r="H1074" s="21"/>
      <c r="I1074" s="21"/>
    </row>
    <row r="1075" spans="2:9" ht="15.75" thickBot="1" x14ac:dyDescent="0.3">
      <c r="B1075" s="21"/>
      <c r="C1075" s="21"/>
      <c r="D1075" s="21"/>
      <c r="E1075" s="21"/>
      <c r="F1075" s="21"/>
      <c r="G1075" s="21"/>
      <c r="H1075" s="21"/>
      <c r="I1075" s="21"/>
    </row>
    <row r="1076" spans="2:9" ht="15.75" thickBot="1" x14ac:dyDescent="0.3">
      <c r="B1076" s="21"/>
      <c r="C1076" s="21"/>
      <c r="D1076" s="21"/>
      <c r="E1076" s="21"/>
      <c r="F1076" s="21"/>
      <c r="G1076" s="21"/>
      <c r="H1076" s="21"/>
      <c r="I1076" s="21"/>
    </row>
    <row r="1077" spans="2:9" ht="15.75" thickBot="1" x14ac:dyDescent="0.3">
      <c r="B1077" s="21"/>
      <c r="C1077" s="21"/>
      <c r="D1077" s="21"/>
      <c r="E1077" s="21"/>
      <c r="F1077" s="21"/>
      <c r="G1077" s="21"/>
      <c r="H1077" s="21"/>
      <c r="I1077" s="21"/>
    </row>
    <row r="1078" spans="2:9" ht="15.75" thickBot="1" x14ac:dyDescent="0.3">
      <c r="B1078" s="21"/>
      <c r="C1078" s="21"/>
      <c r="D1078" s="21"/>
      <c r="E1078" s="21"/>
      <c r="F1078" s="21"/>
      <c r="G1078" s="21"/>
      <c r="H1078" s="21"/>
      <c r="I1078" s="21"/>
    </row>
    <row r="1079" spans="2:9" ht="15.75" thickBot="1" x14ac:dyDescent="0.3">
      <c r="B1079" s="21"/>
      <c r="C1079" s="21"/>
      <c r="D1079" s="21"/>
      <c r="E1079" s="21"/>
      <c r="F1079" s="21"/>
      <c r="G1079" s="21"/>
      <c r="H1079" s="21"/>
      <c r="I1079" s="21"/>
    </row>
    <row r="1080" spans="2:9" ht="15.75" thickBot="1" x14ac:dyDescent="0.3">
      <c r="B1080" s="21"/>
      <c r="C1080" s="21"/>
      <c r="D1080" s="21"/>
      <c r="E1080" s="21"/>
      <c r="F1080" s="21"/>
      <c r="G1080" s="21"/>
      <c r="H1080" s="21"/>
      <c r="I1080" s="21"/>
    </row>
    <row r="1081" spans="2:9" ht="15.75" thickBot="1" x14ac:dyDescent="0.3">
      <c r="B1081" s="21"/>
      <c r="C1081" s="21"/>
      <c r="D1081" s="21"/>
      <c r="E1081" s="21"/>
      <c r="F1081" s="21"/>
      <c r="G1081" s="21"/>
      <c r="H1081" s="21"/>
      <c r="I1081" s="21"/>
    </row>
    <row r="1082" spans="2:9" ht="15.75" thickBot="1" x14ac:dyDescent="0.3">
      <c r="B1082" s="21"/>
      <c r="C1082" s="21"/>
      <c r="D1082" s="21"/>
      <c r="E1082" s="21"/>
      <c r="F1082" s="21"/>
      <c r="G1082" s="21"/>
      <c r="H1082" s="21"/>
      <c r="I1082" s="21"/>
    </row>
    <row r="1083" spans="2:9" ht="15.75" thickBot="1" x14ac:dyDescent="0.3">
      <c r="B1083" s="21"/>
      <c r="C1083" s="21"/>
      <c r="D1083" s="21"/>
      <c r="E1083" s="21"/>
      <c r="F1083" s="21"/>
      <c r="G1083" s="21"/>
      <c r="H1083" s="21"/>
      <c r="I1083" s="21"/>
    </row>
    <row r="1084" spans="2:9" ht="15.75" thickBot="1" x14ac:dyDescent="0.3">
      <c r="B1084" s="21"/>
      <c r="C1084" s="21"/>
      <c r="D1084" s="21"/>
      <c r="E1084" s="21"/>
      <c r="F1084" s="21"/>
      <c r="G1084" s="21"/>
      <c r="H1084" s="21"/>
      <c r="I1084" s="21"/>
    </row>
    <row r="1085" spans="2:9" ht="15.75" thickBot="1" x14ac:dyDescent="0.3">
      <c r="B1085" s="21"/>
      <c r="C1085" s="21"/>
      <c r="D1085" s="21"/>
      <c r="E1085" s="21"/>
      <c r="F1085" s="21"/>
      <c r="G1085" s="21"/>
      <c r="H1085" s="21"/>
      <c r="I1085" s="21"/>
    </row>
    <row r="1086" spans="2:9" ht="15.75" thickBot="1" x14ac:dyDescent="0.3">
      <c r="B1086" s="21"/>
      <c r="C1086" s="21"/>
      <c r="D1086" s="21"/>
      <c r="E1086" s="21"/>
      <c r="F1086" s="21"/>
      <c r="G1086" s="21"/>
      <c r="H1086" s="21"/>
      <c r="I1086" s="21"/>
    </row>
    <row r="1087" spans="2:9" ht="15.75" thickBot="1" x14ac:dyDescent="0.3">
      <c r="B1087" s="21"/>
      <c r="C1087" s="21"/>
      <c r="D1087" s="21"/>
      <c r="E1087" s="21"/>
      <c r="F1087" s="21"/>
      <c r="G1087" s="21"/>
      <c r="H1087" s="21"/>
      <c r="I1087" s="21"/>
    </row>
    <row r="1088" spans="2:9" ht="15.75" thickBot="1" x14ac:dyDescent="0.3">
      <c r="B1088" s="21"/>
      <c r="C1088" s="21"/>
      <c r="D1088" s="21"/>
      <c r="E1088" s="21"/>
      <c r="F1088" s="21"/>
      <c r="G1088" s="21"/>
      <c r="H1088" s="21"/>
      <c r="I1088" s="21"/>
    </row>
    <row r="1089" spans="2:9" ht="15.75" thickBot="1" x14ac:dyDescent="0.3">
      <c r="B1089" s="21"/>
      <c r="C1089" s="21"/>
      <c r="D1089" s="21"/>
      <c r="E1089" s="21"/>
      <c r="F1089" s="21"/>
      <c r="G1089" s="21"/>
      <c r="H1089" s="21"/>
      <c r="I1089" s="21"/>
    </row>
    <row r="1090" spans="2:9" ht="15.75" thickBot="1" x14ac:dyDescent="0.3">
      <c r="B1090" s="21"/>
      <c r="C1090" s="21"/>
      <c r="D1090" s="21"/>
      <c r="E1090" s="21"/>
      <c r="F1090" s="21"/>
      <c r="G1090" s="21"/>
      <c r="H1090" s="21"/>
      <c r="I1090" s="21"/>
    </row>
    <row r="1091" spans="2:9" ht="15.75" thickBot="1" x14ac:dyDescent="0.3">
      <c r="B1091" s="21"/>
      <c r="C1091" s="21"/>
      <c r="D1091" s="21"/>
      <c r="E1091" s="21"/>
      <c r="F1091" s="21"/>
      <c r="G1091" s="21"/>
      <c r="H1091" s="21"/>
      <c r="I1091" s="21"/>
    </row>
    <row r="1092" spans="2:9" ht="15.75" thickBot="1" x14ac:dyDescent="0.3">
      <c r="B1092" s="21"/>
      <c r="C1092" s="21"/>
      <c r="D1092" s="21"/>
      <c r="E1092" s="21"/>
      <c r="F1092" s="21"/>
      <c r="G1092" s="21"/>
      <c r="H1092" s="21"/>
      <c r="I1092" s="21"/>
    </row>
    <row r="1093" spans="2:9" ht="15.75" thickBot="1" x14ac:dyDescent="0.3">
      <c r="B1093" s="21"/>
      <c r="C1093" s="21"/>
      <c r="D1093" s="21"/>
      <c r="E1093" s="21"/>
      <c r="F1093" s="21"/>
      <c r="G1093" s="21"/>
      <c r="H1093" s="21"/>
      <c r="I1093" s="21"/>
    </row>
    <row r="1094" spans="2:9" ht="15.75" thickBot="1" x14ac:dyDescent="0.3">
      <c r="B1094" s="21"/>
      <c r="C1094" s="21"/>
      <c r="D1094" s="21"/>
      <c r="E1094" s="21"/>
      <c r="F1094" s="21"/>
      <c r="G1094" s="21"/>
      <c r="H1094" s="21"/>
      <c r="I1094" s="21"/>
    </row>
    <row r="1095" spans="2:9" ht="15.75" thickBot="1" x14ac:dyDescent="0.3">
      <c r="B1095" s="21"/>
      <c r="C1095" s="21"/>
      <c r="D1095" s="21"/>
      <c r="E1095" s="21"/>
      <c r="F1095" s="21"/>
      <c r="G1095" s="21"/>
      <c r="H1095" s="21"/>
      <c r="I1095" s="21"/>
    </row>
    <row r="1096" spans="2:9" ht="15.75" thickBot="1" x14ac:dyDescent="0.3">
      <c r="B1096" s="21"/>
      <c r="C1096" s="21"/>
      <c r="D1096" s="21"/>
      <c r="E1096" s="21"/>
      <c r="F1096" s="21"/>
      <c r="G1096" s="21"/>
      <c r="H1096" s="21"/>
      <c r="I1096" s="21"/>
    </row>
    <row r="1097" spans="2:9" ht="15.75" thickBot="1" x14ac:dyDescent="0.3">
      <c r="B1097" s="21"/>
      <c r="C1097" s="21"/>
      <c r="D1097" s="21"/>
      <c r="E1097" s="21"/>
      <c r="F1097" s="21"/>
      <c r="G1097" s="21"/>
      <c r="H1097" s="21"/>
      <c r="I1097" s="21"/>
    </row>
    <row r="1098" spans="2:9" ht="15.75" thickBot="1" x14ac:dyDescent="0.3">
      <c r="B1098" s="21"/>
      <c r="C1098" s="21"/>
      <c r="D1098" s="21"/>
      <c r="E1098" s="21"/>
      <c r="F1098" s="21"/>
      <c r="G1098" s="21"/>
      <c r="H1098" s="21"/>
      <c r="I1098" s="21"/>
    </row>
    <row r="1099" spans="2:9" ht="15.75" thickBot="1" x14ac:dyDescent="0.3">
      <c r="B1099" s="21"/>
      <c r="C1099" s="21"/>
      <c r="D1099" s="21"/>
      <c r="E1099" s="21"/>
      <c r="F1099" s="21"/>
      <c r="G1099" s="21"/>
      <c r="H1099" s="21"/>
      <c r="I1099" s="21"/>
    </row>
    <row r="1100" spans="2:9" ht="15.75" thickBot="1" x14ac:dyDescent="0.3">
      <c r="B1100" s="21"/>
      <c r="C1100" s="21"/>
      <c r="D1100" s="21"/>
      <c r="E1100" s="21"/>
      <c r="F1100" s="21"/>
      <c r="G1100" s="21"/>
      <c r="H1100" s="21"/>
      <c r="I1100" s="21"/>
    </row>
    <row r="1101" spans="2:9" ht="15.75" thickBot="1" x14ac:dyDescent="0.3">
      <c r="B1101" s="21"/>
      <c r="C1101" s="21"/>
      <c r="D1101" s="21"/>
      <c r="E1101" s="21"/>
      <c r="F1101" s="21"/>
      <c r="G1101" s="21"/>
      <c r="H1101" s="21"/>
      <c r="I1101" s="21"/>
    </row>
    <row r="1102" spans="2:9" ht="15.75" thickBot="1" x14ac:dyDescent="0.3">
      <c r="B1102" s="21"/>
      <c r="C1102" s="21"/>
      <c r="D1102" s="21"/>
      <c r="E1102" s="21"/>
      <c r="F1102" s="21"/>
      <c r="G1102" s="21"/>
      <c r="H1102" s="21"/>
      <c r="I1102" s="21"/>
    </row>
    <row r="1103" spans="2:9" ht="15.75" thickBot="1" x14ac:dyDescent="0.3">
      <c r="B1103" s="21"/>
      <c r="C1103" s="21"/>
      <c r="D1103" s="21"/>
      <c r="E1103" s="21"/>
      <c r="F1103" s="21"/>
      <c r="G1103" s="21"/>
      <c r="H1103" s="21"/>
      <c r="I1103" s="21"/>
    </row>
    <row r="1104" spans="2:9" ht="15.75" thickBot="1" x14ac:dyDescent="0.3">
      <c r="B1104" s="21"/>
      <c r="C1104" s="21"/>
      <c r="D1104" s="21"/>
      <c r="E1104" s="21"/>
      <c r="F1104" s="21"/>
      <c r="G1104" s="21"/>
      <c r="H1104" s="21"/>
      <c r="I1104" s="21"/>
    </row>
    <row r="1105" spans="2:9" ht="15.75" thickBot="1" x14ac:dyDescent="0.3">
      <c r="B1105" s="21"/>
      <c r="C1105" s="21"/>
      <c r="D1105" s="21"/>
      <c r="E1105" s="21"/>
      <c r="F1105" s="21"/>
      <c r="G1105" s="21"/>
      <c r="H1105" s="21"/>
      <c r="I1105" s="21"/>
    </row>
    <row r="1106" spans="2:9" ht="15.75" thickBot="1" x14ac:dyDescent="0.3">
      <c r="B1106" s="21"/>
      <c r="C1106" s="21"/>
      <c r="D1106" s="21"/>
      <c r="E1106" s="21"/>
      <c r="F1106" s="21"/>
      <c r="G1106" s="21"/>
      <c r="H1106" s="21"/>
      <c r="I1106" s="21"/>
    </row>
    <row r="1107" spans="2:9" ht="15.75" thickBot="1" x14ac:dyDescent="0.3">
      <c r="B1107" s="21"/>
      <c r="C1107" s="21"/>
      <c r="D1107" s="21"/>
      <c r="E1107" s="21"/>
      <c r="F1107" s="21"/>
      <c r="G1107" s="21"/>
      <c r="H1107" s="21"/>
      <c r="I1107" s="21"/>
    </row>
    <row r="1108" spans="2:9" ht="15.75" thickBot="1" x14ac:dyDescent="0.3">
      <c r="B1108" s="21"/>
      <c r="C1108" s="21"/>
      <c r="D1108" s="21"/>
      <c r="E1108" s="21"/>
      <c r="F1108" s="21"/>
      <c r="G1108" s="21"/>
      <c r="H1108" s="21"/>
      <c r="I1108" s="21"/>
    </row>
    <row r="1109" spans="2:9" ht="15.75" thickBot="1" x14ac:dyDescent="0.3">
      <c r="B1109" s="21"/>
      <c r="C1109" s="21"/>
      <c r="D1109" s="21"/>
      <c r="E1109" s="21"/>
      <c r="F1109" s="21"/>
      <c r="G1109" s="21"/>
      <c r="H1109" s="21"/>
      <c r="I1109" s="21"/>
    </row>
    <row r="1110" spans="2:9" ht="15.75" thickBot="1" x14ac:dyDescent="0.3">
      <c r="B1110" s="21"/>
      <c r="C1110" s="21"/>
      <c r="D1110" s="21"/>
      <c r="E1110" s="21"/>
      <c r="F1110" s="21"/>
      <c r="G1110" s="21"/>
      <c r="H1110" s="21"/>
      <c r="I1110" s="21"/>
    </row>
    <row r="1111" spans="2:9" ht="15.75" thickBot="1" x14ac:dyDescent="0.3">
      <c r="B1111" s="21"/>
      <c r="C1111" s="21"/>
      <c r="D1111" s="21"/>
      <c r="E1111" s="21"/>
      <c r="F1111" s="21"/>
      <c r="G1111" s="21"/>
      <c r="H1111" s="21"/>
      <c r="I1111" s="21"/>
    </row>
    <row r="1112" spans="2:9" ht="15.75" thickBot="1" x14ac:dyDescent="0.3">
      <c r="B1112" s="21"/>
      <c r="C1112" s="21"/>
      <c r="D1112" s="21"/>
      <c r="E1112" s="21"/>
      <c r="F1112" s="21"/>
      <c r="G1112" s="21"/>
      <c r="H1112" s="21"/>
      <c r="I1112" s="21"/>
    </row>
    <row r="1113" spans="2:9" ht="15.75" thickBot="1" x14ac:dyDescent="0.3">
      <c r="B1113" s="21"/>
      <c r="C1113" s="21"/>
      <c r="D1113" s="21"/>
      <c r="E1113" s="21"/>
      <c r="F1113" s="21"/>
      <c r="G1113" s="21"/>
      <c r="H1113" s="21"/>
      <c r="I1113" s="21"/>
    </row>
    <row r="1114" spans="2:9" ht="15.75" thickBot="1" x14ac:dyDescent="0.3">
      <c r="B1114" s="21"/>
      <c r="C1114" s="21"/>
      <c r="D1114" s="21"/>
      <c r="E1114" s="21"/>
      <c r="F1114" s="21"/>
      <c r="G1114" s="21"/>
      <c r="H1114" s="21"/>
      <c r="I1114" s="21"/>
    </row>
    <row r="1115" spans="2:9" ht="15.75" thickBot="1" x14ac:dyDescent="0.3">
      <c r="B1115" s="21"/>
      <c r="C1115" s="21"/>
      <c r="D1115" s="21"/>
      <c r="E1115" s="21"/>
      <c r="F1115" s="21"/>
      <c r="G1115" s="21"/>
      <c r="H1115" s="21"/>
      <c r="I1115" s="21"/>
    </row>
    <row r="1116" spans="2:9" ht="15.75" thickBot="1" x14ac:dyDescent="0.3">
      <c r="B1116" s="21"/>
      <c r="C1116" s="21"/>
      <c r="D1116" s="21"/>
      <c r="E1116" s="21"/>
      <c r="F1116" s="21"/>
      <c r="G1116" s="21"/>
      <c r="H1116" s="21"/>
      <c r="I1116" s="21"/>
    </row>
    <row r="1117" spans="2:9" ht="15.75" thickBot="1" x14ac:dyDescent="0.3">
      <c r="B1117" s="21"/>
      <c r="C1117" s="21"/>
      <c r="D1117" s="21"/>
      <c r="E1117" s="21"/>
      <c r="F1117" s="21"/>
      <c r="G1117" s="21"/>
      <c r="H1117" s="21"/>
      <c r="I1117" s="21"/>
    </row>
    <row r="1118" spans="2:9" ht="15.75" thickBot="1" x14ac:dyDescent="0.3">
      <c r="B1118" s="21"/>
      <c r="C1118" s="21"/>
      <c r="D1118" s="21"/>
      <c r="E1118" s="21"/>
      <c r="F1118" s="21"/>
      <c r="G1118" s="21"/>
      <c r="H1118" s="21"/>
      <c r="I1118" s="21"/>
    </row>
    <row r="1119" spans="2:9" ht="15.75" thickBot="1" x14ac:dyDescent="0.3">
      <c r="B1119" s="21"/>
      <c r="C1119" s="21"/>
      <c r="D1119" s="21"/>
      <c r="E1119" s="21"/>
      <c r="F1119" s="21"/>
      <c r="G1119" s="21"/>
      <c r="H1119" s="21"/>
      <c r="I1119" s="21"/>
    </row>
    <row r="1120" spans="2:9" ht="15.75" thickBot="1" x14ac:dyDescent="0.3">
      <c r="B1120" s="21"/>
      <c r="C1120" s="21"/>
      <c r="D1120" s="21"/>
      <c r="E1120" s="21"/>
      <c r="F1120" s="21"/>
      <c r="G1120" s="21"/>
      <c r="H1120" s="21"/>
      <c r="I1120" s="21"/>
    </row>
    <row r="1121" spans="2:9" ht="15.75" thickBot="1" x14ac:dyDescent="0.3">
      <c r="B1121" s="21"/>
      <c r="C1121" s="21"/>
      <c r="D1121" s="21"/>
      <c r="E1121" s="21"/>
      <c r="F1121" s="21"/>
      <c r="G1121" s="21"/>
      <c r="H1121" s="21"/>
      <c r="I1121" s="21"/>
    </row>
    <row r="1122" spans="2:9" ht="15.75" thickBot="1" x14ac:dyDescent="0.3">
      <c r="B1122" s="21"/>
      <c r="C1122" s="21"/>
      <c r="D1122" s="21"/>
      <c r="E1122" s="21"/>
      <c r="F1122" s="21"/>
      <c r="G1122" s="21"/>
      <c r="H1122" s="21"/>
      <c r="I1122" s="21"/>
    </row>
    <row r="1123" spans="2:9" ht="15.75" thickBot="1" x14ac:dyDescent="0.3">
      <c r="B1123" s="21"/>
      <c r="C1123" s="21"/>
      <c r="D1123" s="21"/>
      <c r="E1123" s="21"/>
      <c r="F1123" s="21"/>
      <c r="G1123" s="21"/>
      <c r="H1123" s="21"/>
      <c r="I1123" s="21"/>
    </row>
    <row r="1124" spans="2:9" ht="15.75" thickBot="1" x14ac:dyDescent="0.3">
      <c r="B1124" s="21"/>
      <c r="C1124" s="21"/>
      <c r="D1124" s="21"/>
      <c r="E1124" s="21"/>
      <c r="F1124" s="21"/>
      <c r="G1124" s="21"/>
      <c r="H1124" s="21"/>
      <c r="I1124" s="21"/>
    </row>
    <row r="1125" spans="2:9" ht="15.75" thickBot="1" x14ac:dyDescent="0.3">
      <c r="B1125" s="21"/>
      <c r="C1125" s="21"/>
      <c r="D1125" s="21"/>
      <c r="E1125" s="21"/>
      <c r="F1125" s="21"/>
      <c r="G1125" s="21"/>
      <c r="H1125" s="21"/>
      <c r="I1125" s="21"/>
    </row>
    <row r="1126" spans="2:9" ht="15.75" thickBot="1" x14ac:dyDescent="0.3">
      <c r="B1126" s="21"/>
      <c r="C1126" s="21"/>
      <c r="D1126" s="21"/>
      <c r="E1126" s="21"/>
      <c r="F1126" s="21"/>
      <c r="G1126" s="21"/>
      <c r="H1126" s="21"/>
      <c r="I1126" s="21"/>
    </row>
    <row r="1127" spans="2:9" ht="15.75" thickBot="1" x14ac:dyDescent="0.3">
      <c r="B1127" s="21"/>
      <c r="C1127" s="21"/>
      <c r="D1127" s="21"/>
      <c r="E1127" s="21"/>
      <c r="F1127" s="21"/>
      <c r="G1127" s="21"/>
      <c r="H1127" s="21"/>
      <c r="I1127" s="21"/>
    </row>
    <row r="1128" spans="2:9" ht="15.75" thickBot="1" x14ac:dyDescent="0.3">
      <c r="B1128" s="21"/>
      <c r="C1128" s="21"/>
      <c r="D1128" s="21"/>
      <c r="E1128" s="21"/>
      <c r="F1128" s="21"/>
      <c r="G1128" s="21"/>
      <c r="H1128" s="21"/>
      <c r="I1128" s="21"/>
    </row>
    <row r="1129" spans="2:9" ht="15.75" thickBot="1" x14ac:dyDescent="0.3">
      <c r="B1129" s="21"/>
      <c r="C1129" s="21"/>
      <c r="D1129" s="21"/>
      <c r="E1129" s="21"/>
      <c r="F1129" s="21"/>
      <c r="G1129" s="21"/>
      <c r="H1129" s="21"/>
      <c r="I1129" s="21"/>
    </row>
    <row r="1130" spans="2:9" ht="15.75" thickBot="1" x14ac:dyDescent="0.3">
      <c r="B1130" s="21"/>
      <c r="C1130" s="21"/>
      <c r="D1130" s="21"/>
      <c r="E1130" s="21"/>
      <c r="F1130" s="21"/>
      <c r="G1130" s="21"/>
      <c r="H1130" s="21"/>
      <c r="I1130" s="21"/>
    </row>
    <row r="1131" spans="2:9" ht="15.75" thickBot="1" x14ac:dyDescent="0.3">
      <c r="B1131" s="21"/>
      <c r="C1131" s="21"/>
      <c r="D1131" s="21"/>
      <c r="E1131" s="21"/>
      <c r="F1131" s="21"/>
      <c r="G1131" s="21"/>
      <c r="H1131" s="21"/>
      <c r="I1131" s="21"/>
    </row>
    <row r="1132" spans="2:9" ht="15.75" thickBot="1" x14ac:dyDescent="0.3">
      <c r="B1132" s="21"/>
      <c r="C1132" s="21"/>
      <c r="D1132" s="21"/>
      <c r="E1132" s="21"/>
      <c r="F1132" s="21"/>
      <c r="G1132" s="21"/>
      <c r="H1132" s="21"/>
      <c r="I1132" s="21"/>
    </row>
    <row r="1133" spans="2:9" ht="15.75" thickBot="1" x14ac:dyDescent="0.3">
      <c r="B1133" s="21"/>
      <c r="C1133" s="21"/>
      <c r="D1133" s="21"/>
      <c r="E1133" s="21"/>
      <c r="F1133" s="21"/>
      <c r="G1133" s="21"/>
      <c r="H1133" s="21"/>
      <c r="I1133" s="21"/>
    </row>
    <row r="1134" spans="2:9" ht="15.75" thickBot="1" x14ac:dyDescent="0.3">
      <c r="B1134" s="21"/>
      <c r="C1134" s="21"/>
      <c r="D1134" s="21"/>
      <c r="E1134" s="21"/>
      <c r="F1134" s="21"/>
      <c r="G1134" s="21"/>
      <c r="H1134" s="21"/>
      <c r="I1134" s="21"/>
    </row>
    <row r="1135" spans="2:9" ht="15.75" thickBot="1" x14ac:dyDescent="0.3">
      <c r="B1135" s="21"/>
      <c r="C1135" s="21"/>
      <c r="D1135" s="21"/>
      <c r="E1135" s="21"/>
      <c r="F1135" s="21"/>
      <c r="G1135" s="21"/>
      <c r="H1135" s="21"/>
      <c r="I1135" s="21"/>
    </row>
    <row r="1136" spans="2:9" ht="15.75" thickBot="1" x14ac:dyDescent="0.3">
      <c r="B1136" s="21"/>
      <c r="C1136" s="21"/>
      <c r="D1136" s="21"/>
      <c r="E1136" s="21"/>
      <c r="F1136" s="21"/>
      <c r="G1136" s="21"/>
      <c r="H1136" s="21"/>
      <c r="I1136" s="21"/>
    </row>
    <row r="1137" spans="2:9" ht="15.75" thickBot="1" x14ac:dyDescent="0.3">
      <c r="B1137" s="21"/>
      <c r="C1137" s="21"/>
      <c r="D1137" s="21"/>
      <c r="E1137" s="21"/>
      <c r="F1137" s="21"/>
      <c r="G1137" s="21"/>
      <c r="H1137" s="21"/>
      <c r="I1137" s="21"/>
    </row>
    <row r="1138" spans="2:9" ht="15.75" thickBot="1" x14ac:dyDescent="0.3">
      <c r="B1138" s="21"/>
      <c r="C1138" s="21"/>
      <c r="D1138" s="21"/>
      <c r="E1138" s="21"/>
      <c r="F1138" s="21"/>
      <c r="G1138" s="21"/>
      <c r="H1138" s="21"/>
      <c r="I1138" s="21"/>
    </row>
    <row r="1139" spans="2:9" ht="15.75" thickBot="1" x14ac:dyDescent="0.3">
      <c r="B1139" s="21"/>
      <c r="C1139" s="21"/>
      <c r="D1139" s="21"/>
      <c r="E1139" s="21"/>
      <c r="F1139" s="21"/>
      <c r="G1139" s="21"/>
      <c r="H1139" s="21"/>
      <c r="I1139" s="21"/>
    </row>
    <row r="1140" spans="2:9" ht="15.75" thickBot="1" x14ac:dyDescent="0.3">
      <c r="B1140" s="21"/>
      <c r="C1140" s="21"/>
      <c r="D1140" s="21"/>
      <c r="E1140" s="21"/>
      <c r="F1140" s="21"/>
      <c r="G1140" s="21"/>
      <c r="H1140" s="21"/>
      <c r="I1140" s="21"/>
    </row>
    <row r="1141" spans="2:9" ht="15.75" thickBot="1" x14ac:dyDescent="0.3">
      <c r="B1141" s="21"/>
      <c r="C1141" s="21"/>
      <c r="D1141" s="21"/>
      <c r="E1141" s="21"/>
      <c r="F1141" s="21"/>
      <c r="G1141" s="21"/>
      <c r="H1141" s="21"/>
      <c r="I1141" s="21"/>
    </row>
    <row r="1142" spans="2:9" ht="15.75" thickBot="1" x14ac:dyDescent="0.3">
      <c r="B1142" s="21"/>
      <c r="C1142" s="21"/>
      <c r="D1142" s="21"/>
      <c r="E1142" s="21"/>
      <c r="F1142" s="21"/>
      <c r="G1142" s="21"/>
      <c r="H1142" s="21"/>
      <c r="I1142" s="21"/>
    </row>
    <row r="1143" spans="2:9" ht="15.75" thickBot="1" x14ac:dyDescent="0.3">
      <c r="B1143" s="21"/>
      <c r="C1143" s="21"/>
      <c r="D1143" s="21"/>
      <c r="E1143" s="21"/>
      <c r="F1143" s="21"/>
      <c r="G1143" s="21"/>
      <c r="H1143" s="21"/>
      <c r="I1143" s="21"/>
    </row>
    <row r="1144" spans="2:9" ht="15.75" thickBot="1" x14ac:dyDescent="0.3">
      <c r="B1144" s="21"/>
      <c r="C1144" s="21"/>
      <c r="D1144" s="21"/>
      <c r="E1144" s="21"/>
      <c r="F1144" s="21"/>
      <c r="G1144" s="21"/>
      <c r="H1144" s="21"/>
      <c r="I1144" s="21"/>
    </row>
    <row r="1145" spans="2:9" ht="15.75" thickBot="1" x14ac:dyDescent="0.3">
      <c r="B1145" s="21"/>
      <c r="C1145" s="21"/>
      <c r="D1145" s="21"/>
      <c r="E1145" s="21"/>
      <c r="F1145" s="21"/>
      <c r="G1145" s="21"/>
      <c r="H1145" s="21"/>
      <c r="I1145" s="21"/>
    </row>
    <row r="1146" spans="2:9" ht="15.75" thickBot="1" x14ac:dyDescent="0.3">
      <c r="B1146" s="21"/>
      <c r="C1146" s="21"/>
      <c r="D1146" s="21"/>
      <c r="E1146" s="21"/>
      <c r="F1146" s="21"/>
      <c r="G1146" s="21"/>
      <c r="H1146" s="21"/>
      <c r="I1146" s="21"/>
    </row>
    <row r="1147" spans="2:9" ht="15.75" thickBot="1" x14ac:dyDescent="0.3">
      <c r="B1147" s="21"/>
      <c r="C1147" s="21"/>
      <c r="D1147" s="21"/>
      <c r="E1147" s="21"/>
      <c r="F1147" s="21"/>
      <c r="G1147" s="21"/>
      <c r="H1147" s="21"/>
      <c r="I1147" s="21"/>
    </row>
    <row r="1148" spans="2:9" ht="15.75" thickBot="1" x14ac:dyDescent="0.3">
      <c r="B1148" s="21"/>
      <c r="C1148" s="21"/>
      <c r="D1148" s="21"/>
      <c r="E1148" s="21"/>
      <c r="F1148" s="21"/>
      <c r="G1148" s="21"/>
      <c r="H1148" s="21"/>
      <c r="I1148" s="21"/>
    </row>
    <row r="1149" spans="2:9" ht="15.75" thickBot="1" x14ac:dyDescent="0.3">
      <c r="B1149" s="21"/>
      <c r="C1149" s="21"/>
      <c r="D1149" s="21"/>
      <c r="E1149" s="21"/>
      <c r="F1149" s="21"/>
      <c r="G1149" s="21"/>
      <c r="H1149" s="21"/>
      <c r="I1149" s="21"/>
    </row>
    <row r="1150" spans="2:9" ht="15.75" thickBot="1" x14ac:dyDescent="0.3">
      <c r="B1150" s="21"/>
      <c r="C1150" s="21"/>
      <c r="D1150" s="21"/>
      <c r="E1150" s="21"/>
      <c r="F1150" s="21"/>
      <c r="G1150" s="21"/>
      <c r="H1150" s="21"/>
      <c r="I1150" s="21"/>
    </row>
    <row r="1151" spans="2:9" ht="15.75" thickBot="1" x14ac:dyDescent="0.3">
      <c r="B1151" s="21"/>
      <c r="C1151" s="21"/>
      <c r="D1151" s="21"/>
      <c r="E1151" s="21"/>
      <c r="F1151" s="21"/>
      <c r="G1151" s="21"/>
      <c r="H1151" s="21"/>
      <c r="I1151" s="21"/>
    </row>
    <row r="1152" spans="2:9" ht="15.75" thickBot="1" x14ac:dyDescent="0.3">
      <c r="B1152" s="21"/>
      <c r="C1152" s="21"/>
      <c r="D1152" s="21"/>
      <c r="E1152" s="21"/>
      <c r="F1152" s="21"/>
      <c r="G1152" s="21"/>
      <c r="H1152" s="21"/>
      <c r="I1152" s="21"/>
    </row>
    <row r="1153" spans="2:9" ht="15.75" thickBot="1" x14ac:dyDescent="0.3">
      <c r="B1153" s="21"/>
      <c r="C1153" s="21"/>
      <c r="D1153" s="21"/>
      <c r="E1153" s="21"/>
      <c r="F1153" s="21"/>
      <c r="G1153" s="21"/>
      <c r="H1153" s="21"/>
      <c r="I1153" s="21"/>
    </row>
    <row r="1154" spans="2:9" ht="15.75" thickBot="1" x14ac:dyDescent="0.3">
      <c r="B1154" s="21"/>
      <c r="C1154" s="21"/>
      <c r="D1154" s="21"/>
      <c r="E1154" s="21"/>
      <c r="F1154" s="21"/>
      <c r="G1154" s="21"/>
      <c r="H1154" s="21"/>
      <c r="I1154" s="21"/>
    </row>
    <row r="1155" spans="2:9" ht="15.75" thickBot="1" x14ac:dyDescent="0.3">
      <c r="B1155" s="21"/>
      <c r="C1155" s="21"/>
      <c r="D1155" s="21"/>
      <c r="E1155" s="21"/>
      <c r="F1155" s="21"/>
      <c r="G1155" s="21"/>
      <c r="H1155" s="21"/>
      <c r="I1155" s="21"/>
    </row>
    <row r="1156" spans="2:9" ht="15.75" thickBot="1" x14ac:dyDescent="0.3">
      <c r="B1156" s="21"/>
      <c r="C1156" s="21"/>
      <c r="D1156" s="21"/>
      <c r="E1156" s="21"/>
      <c r="F1156" s="21"/>
      <c r="G1156" s="21"/>
      <c r="H1156" s="21"/>
      <c r="I1156" s="21"/>
    </row>
    <row r="1157" spans="2:9" ht="15.75" thickBot="1" x14ac:dyDescent="0.3">
      <c r="B1157" s="21"/>
      <c r="C1157" s="21"/>
      <c r="D1157" s="21"/>
      <c r="E1157" s="21"/>
      <c r="F1157" s="21"/>
      <c r="G1157" s="21"/>
      <c r="H1157" s="21"/>
      <c r="I1157" s="21"/>
    </row>
    <row r="1158" spans="2:9" ht="15.75" thickBot="1" x14ac:dyDescent="0.3">
      <c r="B1158" s="21"/>
      <c r="C1158" s="21"/>
      <c r="D1158" s="21"/>
      <c r="E1158" s="21"/>
      <c r="F1158" s="21"/>
      <c r="G1158" s="21"/>
      <c r="H1158" s="21"/>
      <c r="I1158" s="21"/>
    </row>
    <row r="1159" spans="2:9" ht="15.75" thickBot="1" x14ac:dyDescent="0.3">
      <c r="B1159" s="21"/>
      <c r="C1159" s="21"/>
      <c r="D1159" s="21"/>
      <c r="E1159" s="21"/>
      <c r="F1159" s="21"/>
      <c r="G1159" s="21"/>
      <c r="H1159" s="21"/>
      <c r="I1159" s="21"/>
    </row>
    <row r="1160" spans="2:9" ht="15.75" thickBot="1" x14ac:dyDescent="0.3">
      <c r="B1160" s="21"/>
      <c r="C1160" s="21"/>
      <c r="D1160" s="21"/>
      <c r="E1160" s="21"/>
      <c r="F1160" s="21"/>
      <c r="G1160" s="21"/>
      <c r="H1160" s="21"/>
      <c r="I1160" s="21"/>
    </row>
    <row r="1161" spans="2:9" ht="15.75" thickBot="1" x14ac:dyDescent="0.3">
      <c r="B1161" s="21"/>
      <c r="C1161" s="21"/>
      <c r="D1161" s="21"/>
      <c r="E1161" s="21"/>
      <c r="F1161" s="21"/>
      <c r="G1161" s="21"/>
      <c r="H1161" s="21"/>
      <c r="I1161" s="21"/>
    </row>
    <row r="1162" spans="2:9" ht="15.75" thickBot="1" x14ac:dyDescent="0.3">
      <c r="B1162" s="21"/>
      <c r="C1162" s="21"/>
      <c r="D1162" s="21"/>
      <c r="E1162" s="21"/>
      <c r="F1162" s="21"/>
      <c r="G1162" s="21"/>
      <c r="H1162" s="21"/>
      <c r="I1162" s="21"/>
    </row>
    <row r="1163" spans="2:9" ht="15.75" thickBot="1" x14ac:dyDescent="0.3">
      <c r="B1163" s="21"/>
      <c r="C1163" s="21"/>
      <c r="D1163" s="21"/>
      <c r="E1163" s="21"/>
      <c r="F1163" s="21"/>
      <c r="G1163" s="21"/>
      <c r="H1163" s="21"/>
      <c r="I1163" s="21"/>
    </row>
    <row r="1164" spans="2:9" ht="15.75" thickBot="1" x14ac:dyDescent="0.3">
      <c r="B1164" s="21"/>
      <c r="C1164" s="21"/>
      <c r="D1164" s="21"/>
      <c r="E1164" s="21"/>
      <c r="F1164" s="21"/>
      <c r="G1164" s="21"/>
      <c r="H1164" s="21"/>
      <c r="I1164" s="21"/>
    </row>
    <row r="1165" spans="2:9" ht="15.75" thickBot="1" x14ac:dyDescent="0.3">
      <c r="B1165" s="21"/>
      <c r="C1165" s="21"/>
      <c r="D1165" s="21"/>
      <c r="E1165" s="21"/>
      <c r="F1165" s="21"/>
      <c r="G1165" s="21"/>
      <c r="H1165" s="21"/>
      <c r="I1165" s="21"/>
    </row>
    <row r="1166" spans="2:9" ht="15.75" thickBot="1" x14ac:dyDescent="0.3">
      <c r="B1166" s="21"/>
      <c r="C1166" s="21"/>
      <c r="D1166" s="21"/>
      <c r="E1166" s="21"/>
      <c r="F1166" s="21"/>
      <c r="G1166" s="21"/>
      <c r="H1166" s="21"/>
      <c r="I1166" s="21"/>
    </row>
    <row r="1167" spans="2:9" ht="15.75" thickBot="1" x14ac:dyDescent="0.3">
      <c r="B1167" s="21"/>
      <c r="C1167" s="21"/>
      <c r="D1167" s="21"/>
      <c r="E1167" s="21"/>
      <c r="F1167" s="21"/>
      <c r="G1167" s="21"/>
      <c r="H1167" s="21"/>
      <c r="I1167" s="21"/>
    </row>
    <row r="1168" spans="2:9" ht="15.75" thickBot="1" x14ac:dyDescent="0.3">
      <c r="B1168" s="21"/>
      <c r="C1168" s="21"/>
      <c r="D1168" s="21"/>
      <c r="E1168" s="21"/>
      <c r="F1168" s="21"/>
      <c r="G1168" s="21"/>
      <c r="H1168" s="21"/>
      <c r="I1168" s="21"/>
    </row>
    <row r="1169" spans="2:9" ht="15.75" thickBot="1" x14ac:dyDescent="0.3">
      <c r="B1169" s="21"/>
      <c r="C1169" s="21"/>
      <c r="D1169" s="21"/>
      <c r="E1169" s="21"/>
      <c r="F1169" s="21"/>
      <c r="G1169" s="21"/>
      <c r="H1169" s="21"/>
      <c r="I1169" s="21"/>
    </row>
    <row r="1170" spans="2:9" ht="15.75" thickBot="1" x14ac:dyDescent="0.3">
      <c r="B1170" s="21"/>
      <c r="C1170" s="21"/>
      <c r="D1170" s="21"/>
      <c r="E1170" s="21"/>
      <c r="F1170" s="21"/>
      <c r="G1170" s="21"/>
      <c r="H1170" s="21"/>
      <c r="I1170" s="21"/>
    </row>
    <row r="1171" spans="2:9" ht="15.75" thickBot="1" x14ac:dyDescent="0.3">
      <c r="B1171" s="21"/>
      <c r="C1171" s="21"/>
      <c r="D1171" s="21"/>
      <c r="E1171" s="21"/>
      <c r="F1171" s="21"/>
      <c r="G1171" s="21"/>
      <c r="H1171" s="21"/>
      <c r="I1171" s="21"/>
    </row>
    <row r="1172" spans="2:9" ht="15.75" thickBot="1" x14ac:dyDescent="0.3">
      <c r="B1172" s="21"/>
      <c r="C1172" s="21"/>
      <c r="D1172" s="21"/>
      <c r="E1172" s="21"/>
      <c r="F1172" s="21"/>
      <c r="G1172" s="21"/>
      <c r="H1172" s="21"/>
      <c r="I1172" s="21"/>
    </row>
    <row r="1173" spans="2:9" ht="15.75" thickBot="1" x14ac:dyDescent="0.3">
      <c r="B1173" s="21"/>
      <c r="C1173" s="21"/>
      <c r="D1173" s="21"/>
      <c r="E1173" s="21"/>
      <c r="F1173" s="21"/>
      <c r="G1173" s="21"/>
      <c r="H1173" s="21"/>
      <c r="I1173" s="21"/>
    </row>
    <row r="1174" spans="2:9" ht="15.75" thickBot="1" x14ac:dyDescent="0.3">
      <c r="B1174" s="21"/>
      <c r="C1174" s="21"/>
      <c r="D1174" s="21"/>
      <c r="E1174" s="21"/>
      <c r="F1174" s="21"/>
      <c r="G1174" s="21"/>
      <c r="H1174" s="21"/>
      <c r="I1174" s="21"/>
    </row>
    <row r="1175" spans="2:9" ht="15.75" thickBot="1" x14ac:dyDescent="0.3">
      <c r="B1175" s="21"/>
      <c r="C1175" s="21"/>
      <c r="D1175" s="21"/>
      <c r="E1175" s="21"/>
      <c r="F1175" s="21"/>
      <c r="G1175" s="21"/>
      <c r="H1175" s="21"/>
      <c r="I1175" s="21"/>
    </row>
    <row r="1176" spans="2:9" ht="15.75" thickBot="1" x14ac:dyDescent="0.3">
      <c r="B1176" s="21"/>
      <c r="C1176" s="21"/>
      <c r="D1176" s="21"/>
      <c r="E1176" s="21"/>
      <c r="F1176" s="21"/>
      <c r="G1176" s="21"/>
      <c r="H1176" s="21"/>
      <c r="I1176" s="21"/>
    </row>
    <row r="1177" spans="2:9" ht="15.75" thickBot="1" x14ac:dyDescent="0.3">
      <c r="B1177" s="21"/>
      <c r="C1177" s="21"/>
      <c r="D1177" s="21"/>
      <c r="E1177" s="21"/>
      <c r="F1177" s="21"/>
      <c r="G1177" s="21"/>
      <c r="H1177" s="21"/>
      <c r="I1177" s="21"/>
    </row>
    <row r="1178" spans="2:9" ht="15.75" thickBot="1" x14ac:dyDescent="0.3">
      <c r="B1178" s="21"/>
      <c r="C1178" s="21"/>
      <c r="D1178" s="21"/>
      <c r="E1178" s="21"/>
      <c r="F1178" s="21"/>
      <c r="G1178" s="21"/>
      <c r="H1178" s="21"/>
      <c r="I1178" s="21"/>
    </row>
    <row r="1179" spans="2:9" ht="15.75" thickBot="1" x14ac:dyDescent="0.3">
      <c r="B1179" s="21"/>
      <c r="C1179" s="21"/>
      <c r="D1179" s="21"/>
      <c r="E1179" s="21"/>
      <c r="F1179" s="21"/>
      <c r="G1179" s="21"/>
      <c r="H1179" s="21"/>
      <c r="I1179" s="21"/>
    </row>
    <row r="1180" spans="2:9" ht="15.75" thickBot="1" x14ac:dyDescent="0.3">
      <c r="B1180" s="21"/>
      <c r="C1180" s="21"/>
      <c r="D1180" s="21"/>
      <c r="E1180" s="21"/>
      <c r="F1180" s="21"/>
      <c r="G1180" s="21"/>
      <c r="H1180" s="21"/>
      <c r="I1180" s="21"/>
    </row>
    <row r="1181" spans="2:9" ht="15.75" thickBot="1" x14ac:dyDescent="0.3">
      <c r="B1181" s="21"/>
      <c r="C1181" s="21"/>
      <c r="D1181" s="21"/>
      <c r="E1181" s="21"/>
      <c r="F1181" s="21"/>
      <c r="G1181" s="21"/>
      <c r="H1181" s="21"/>
      <c r="I1181" s="21"/>
    </row>
    <row r="1182" spans="2:9" ht="15.75" thickBot="1" x14ac:dyDescent="0.3">
      <c r="B1182" s="21"/>
      <c r="C1182" s="21"/>
      <c r="D1182" s="21"/>
      <c r="E1182" s="21"/>
      <c r="F1182" s="21"/>
      <c r="G1182" s="21"/>
      <c r="H1182" s="21"/>
      <c r="I1182" s="21"/>
    </row>
    <row r="1183" spans="2:9" ht="15.75" thickBot="1" x14ac:dyDescent="0.3">
      <c r="B1183" s="21"/>
      <c r="C1183" s="21"/>
      <c r="D1183" s="21"/>
      <c r="E1183" s="21"/>
      <c r="F1183" s="21"/>
      <c r="G1183" s="21"/>
      <c r="H1183" s="21"/>
      <c r="I1183" s="21"/>
    </row>
    <row r="1184" spans="2:9" ht="15.75" thickBot="1" x14ac:dyDescent="0.3">
      <c r="B1184" s="21"/>
      <c r="C1184" s="21"/>
      <c r="D1184" s="21"/>
      <c r="E1184" s="21"/>
      <c r="F1184" s="21"/>
      <c r="G1184" s="21"/>
      <c r="H1184" s="21"/>
      <c r="I1184" s="21"/>
    </row>
    <row r="1185" spans="2:9" ht="15.75" thickBot="1" x14ac:dyDescent="0.3">
      <c r="B1185" s="21"/>
      <c r="C1185" s="21"/>
      <c r="D1185" s="21"/>
      <c r="E1185" s="21"/>
      <c r="F1185" s="21"/>
      <c r="G1185" s="21"/>
      <c r="H1185" s="21"/>
      <c r="I1185" s="21"/>
    </row>
    <row r="1186" spans="2:9" ht="15.75" thickBot="1" x14ac:dyDescent="0.3">
      <c r="B1186" s="21"/>
      <c r="C1186" s="21"/>
      <c r="D1186" s="21"/>
      <c r="E1186" s="21"/>
      <c r="F1186" s="21"/>
      <c r="G1186" s="21"/>
      <c r="H1186" s="21"/>
      <c r="I1186" s="21"/>
    </row>
    <row r="1187" spans="2:9" ht="15.75" thickBot="1" x14ac:dyDescent="0.3">
      <c r="B1187" s="21"/>
      <c r="C1187" s="21"/>
      <c r="D1187" s="21"/>
      <c r="E1187" s="21"/>
      <c r="F1187" s="21"/>
      <c r="G1187" s="21"/>
      <c r="H1187" s="21"/>
      <c r="I1187" s="21"/>
    </row>
    <row r="1188" spans="2:9" ht="15.75" thickBot="1" x14ac:dyDescent="0.3">
      <c r="B1188" s="21"/>
      <c r="C1188" s="21"/>
      <c r="D1188" s="21"/>
      <c r="E1188" s="21"/>
      <c r="F1188" s="21"/>
      <c r="G1188" s="21"/>
      <c r="H1188" s="21"/>
      <c r="I1188" s="21"/>
    </row>
    <row r="1189" spans="2:9" ht="15.75" thickBot="1" x14ac:dyDescent="0.3">
      <c r="B1189" s="21"/>
      <c r="C1189" s="21"/>
      <c r="D1189" s="21"/>
      <c r="E1189" s="21"/>
      <c r="F1189" s="21"/>
      <c r="G1189" s="21"/>
      <c r="H1189" s="21"/>
      <c r="I1189" s="21"/>
    </row>
    <row r="1190" spans="2:9" ht="15.75" thickBot="1" x14ac:dyDescent="0.3">
      <c r="B1190" s="21"/>
      <c r="C1190" s="21"/>
      <c r="D1190" s="21"/>
      <c r="E1190" s="21"/>
      <c r="F1190" s="21"/>
      <c r="G1190" s="21"/>
      <c r="H1190" s="21"/>
      <c r="I1190" s="21"/>
    </row>
    <row r="1191" spans="2:9" ht="15.75" thickBot="1" x14ac:dyDescent="0.3">
      <c r="B1191" s="21"/>
      <c r="C1191" s="21"/>
      <c r="D1191" s="21"/>
      <c r="E1191" s="21"/>
      <c r="F1191" s="21"/>
      <c r="G1191" s="21"/>
      <c r="H1191" s="21"/>
      <c r="I1191" s="21"/>
    </row>
    <row r="1192" spans="2:9" ht="15.75" thickBot="1" x14ac:dyDescent="0.3">
      <c r="B1192" s="21"/>
      <c r="C1192" s="21"/>
      <c r="D1192" s="21"/>
      <c r="E1192" s="21"/>
      <c r="F1192" s="21"/>
      <c r="G1192" s="21"/>
      <c r="H1192" s="21"/>
      <c r="I1192" s="21"/>
    </row>
    <row r="1193" spans="2:9" ht="15.75" thickBot="1" x14ac:dyDescent="0.3">
      <c r="B1193" s="21"/>
      <c r="C1193" s="21"/>
      <c r="D1193" s="21"/>
      <c r="E1193" s="21"/>
      <c r="F1193" s="21"/>
      <c r="G1193" s="21"/>
      <c r="H1193" s="21"/>
      <c r="I1193" s="21"/>
    </row>
    <row r="1194" spans="2:9" ht="15.75" thickBot="1" x14ac:dyDescent="0.3">
      <c r="B1194" s="21"/>
      <c r="C1194" s="21"/>
      <c r="D1194" s="21"/>
      <c r="E1194" s="21"/>
      <c r="F1194" s="21"/>
      <c r="G1194" s="21"/>
      <c r="H1194" s="21"/>
      <c r="I1194" s="21"/>
    </row>
    <row r="1195" spans="2:9" ht="15.75" thickBot="1" x14ac:dyDescent="0.3">
      <c r="B1195" s="21"/>
      <c r="C1195" s="21"/>
      <c r="D1195" s="21"/>
      <c r="E1195" s="21"/>
      <c r="F1195" s="21"/>
      <c r="G1195" s="21"/>
      <c r="H1195" s="21"/>
      <c r="I1195" s="21"/>
    </row>
    <row r="1196" spans="2:9" ht="15.75" thickBot="1" x14ac:dyDescent="0.3">
      <c r="B1196" s="21"/>
      <c r="C1196" s="21"/>
      <c r="D1196" s="21"/>
      <c r="E1196" s="21"/>
      <c r="F1196" s="21"/>
      <c r="G1196" s="21"/>
      <c r="H1196" s="21"/>
      <c r="I1196" s="21"/>
    </row>
    <row r="1197" spans="2:9" ht="15.75" thickBot="1" x14ac:dyDescent="0.3">
      <c r="B1197" s="21"/>
      <c r="C1197" s="21"/>
      <c r="D1197" s="21"/>
      <c r="E1197" s="21"/>
      <c r="F1197" s="21"/>
      <c r="G1197" s="21"/>
      <c r="H1197" s="21"/>
      <c r="I1197" s="21"/>
    </row>
    <row r="1198" spans="2:9" ht="15.75" thickBot="1" x14ac:dyDescent="0.3">
      <c r="B1198" s="21"/>
      <c r="C1198" s="21"/>
      <c r="D1198" s="21"/>
      <c r="E1198" s="21"/>
      <c r="F1198" s="21"/>
      <c r="G1198" s="21"/>
      <c r="H1198" s="21"/>
      <c r="I1198" s="21"/>
    </row>
    <row r="1199" spans="2:9" ht="15.75" thickBot="1" x14ac:dyDescent="0.3">
      <c r="B1199" s="21"/>
      <c r="C1199" s="21"/>
      <c r="D1199" s="21"/>
      <c r="E1199" s="21"/>
      <c r="F1199" s="21"/>
      <c r="G1199" s="21"/>
      <c r="H1199" s="21"/>
      <c r="I1199" s="21"/>
    </row>
    <row r="1200" spans="2:9" ht="15.75" thickBot="1" x14ac:dyDescent="0.3">
      <c r="B1200" s="21"/>
      <c r="C1200" s="21"/>
      <c r="D1200" s="21"/>
      <c r="E1200" s="21"/>
      <c r="F1200" s="21"/>
      <c r="G1200" s="21"/>
      <c r="H1200" s="21"/>
      <c r="I1200" s="21"/>
    </row>
    <row r="1201" spans="2:9" ht="15.75" thickBot="1" x14ac:dyDescent="0.3">
      <c r="B1201" s="21"/>
      <c r="C1201" s="21"/>
      <c r="D1201" s="21"/>
      <c r="E1201" s="21"/>
      <c r="F1201" s="21"/>
      <c r="G1201" s="21"/>
      <c r="H1201" s="21"/>
      <c r="I1201" s="21"/>
    </row>
    <row r="1202" spans="2:9" ht="15.75" thickBot="1" x14ac:dyDescent="0.3">
      <c r="B1202" s="21"/>
      <c r="C1202" s="21"/>
      <c r="D1202" s="21"/>
      <c r="E1202" s="21"/>
      <c r="F1202" s="21"/>
      <c r="G1202" s="21"/>
      <c r="H1202" s="21"/>
      <c r="I1202" s="21"/>
    </row>
    <row r="1203" spans="2:9" ht="15.75" thickBot="1" x14ac:dyDescent="0.3">
      <c r="B1203" s="21"/>
      <c r="C1203" s="21"/>
      <c r="D1203" s="21"/>
      <c r="E1203" s="21"/>
      <c r="F1203" s="21"/>
      <c r="G1203" s="21"/>
      <c r="H1203" s="21"/>
      <c r="I1203" s="21"/>
    </row>
    <row r="1204" spans="2:9" ht="15.75" thickBot="1" x14ac:dyDescent="0.3">
      <c r="B1204" s="21"/>
      <c r="C1204" s="21"/>
      <c r="D1204" s="21"/>
      <c r="E1204" s="21"/>
      <c r="F1204" s="21"/>
      <c r="G1204" s="21"/>
      <c r="H1204" s="21"/>
      <c r="I1204" s="21"/>
    </row>
    <row r="1205" spans="2:9" ht="15.75" thickBot="1" x14ac:dyDescent="0.3">
      <c r="B1205" s="21"/>
      <c r="C1205" s="21"/>
      <c r="D1205" s="21"/>
      <c r="E1205" s="21"/>
      <c r="F1205" s="21"/>
      <c r="G1205" s="21"/>
      <c r="H1205" s="21"/>
      <c r="I1205" s="21"/>
    </row>
    <row r="1206" spans="2:9" ht="15.75" thickBot="1" x14ac:dyDescent="0.3">
      <c r="B1206" s="21"/>
      <c r="C1206" s="21"/>
      <c r="D1206" s="21"/>
      <c r="E1206" s="21"/>
      <c r="F1206" s="21"/>
      <c r="G1206" s="21"/>
      <c r="H1206" s="21"/>
      <c r="I1206" s="21"/>
    </row>
    <row r="1207" spans="2:9" ht="15.75" thickBot="1" x14ac:dyDescent="0.3">
      <c r="B1207" s="21"/>
      <c r="C1207" s="21"/>
      <c r="D1207" s="21"/>
      <c r="E1207" s="21"/>
      <c r="F1207" s="21"/>
      <c r="G1207" s="21"/>
      <c r="H1207" s="21"/>
      <c r="I1207" s="21"/>
    </row>
    <row r="1208" spans="2:9" ht="15.75" thickBot="1" x14ac:dyDescent="0.3">
      <c r="B1208" s="21"/>
      <c r="C1208" s="21"/>
      <c r="D1208" s="21"/>
      <c r="E1208" s="21"/>
      <c r="F1208" s="21"/>
      <c r="G1208" s="21"/>
      <c r="H1208" s="21"/>
      <c r="I1208" s="21"/>
    </row>
    <row r="1209" spans="2:9" ht="15.75" thickBot="1" x14ac:dyDescent="0.3">
      <c r="B1209" s="21"/>
      <c r="C1209" s="21"/>
      <c r="D1209" s="21"/>
      <c r="E1209" s="21"/>
      <c r="F1209" s="21"/>
      <c r="G1209" s="21"/>
      <c r="H1209" s="21"/>
      <c r="I1209" s="21"/>
    </row>
    <row r="1210" spans="2:9" ht="15.75" thickBot="1" x14ac:dyDescent="0.3">
      <c r="B1210" s="21"/>
      <c r="C1210" s="21"/>
      <c r="D1210" s="21"/>
      <c r="E1210" s="21"/>
      <c r="F1210" s="21"/>
      <c r="G1210" s="21"/>
      <c r="H1210" s="21"/>
      <c r="I1210" s="21"/>
    </row>
    <row r="1211" spans="2:9" ht="15.75" thickBot="1" x14ac:dyDescent="0.3">
      <c r="B1211" s="21"/>
      <c r="C1211" s="21"/>
      <c r="D1211" s="21"/>
      <c r="E1211" s="21"/>
      <c r="F1211" s="21"/>
      <c r="G1211" s="21"/>
      <c r="H1211" s="21"/>
      <c r="I1211" s="21"/>
    </row>
    <row r="1212" spans="2:9" ht="15.75" thickBot="1" x14ac:dyDescent="0.3">
      <c r="B1212" s="21"/>
      <c r="C1212" s="21"/>
      <c r="D1212" s="21"/>
      <c r="E1212" s="21"/>
      <c r="F1212" s="21"/>
      <c r="G1212" s="21"/>
      <c r="H1212" s="21"/>
      <c r="I1212" s="21"/>
    </row>
    <row r="1213" spans="2:9" ht="15.75" thickBot="1" x14ac:dyDescent="0.3">
      <c r="B1213" s="21"/>
      <c r="C1213" s="21"/>
      <c r="D1213" s="21"/>
      <c r="E1213" s="21"/>
      <c r="F1213" s="21"/>
      <c r="G1213" s="21"/>
      <c r="H1213" s="21"/>
      <c r="I1213" s="21"/>
    </row>
    <row r="1214" spans="2:9" ht="15.75" thickBot="1" x14ac:dyDescent="0.3">
      <c r="B1214" s="21"/>
      <c r="C1214" s="21"/>
      <c r="D1214" s="21"/>
      <c r="E1214" s="21"/>
      <c r="F1214" s="21"/>
      <c r="G1214" s="21"/>
      <c r="H1214" s="21"/>
      <c r="I1214" s="21"/>
    </row>
    <row r="1215" spans="2:9" ht="15.75" thickBot="1" x14ac:dyDescent="0.3">
      <c r="B1215" s="21"/>
      <c r="C1215" s="21"/>
      <c r="D1215" s="21"/>
      <c r="E1215" s="21"/>
      <c r="F1215" s="21"/>
      <c r="G1215" s="21"/>
      <c r="H1215" s="21"/>
      <c r="I1215" s="21"/>
    </row>
    <row r="1216" spans="2:9" ht="15.75" thickBot="1" x14ac:dyDescent="0.3">
      <c r="B1216" s="21"/>
      <c r="C1216" s="21"/>
      <c r="D1216" s="21"/>
      <c r="E1216" s="21"/>
      <c r="F1216" s="21"/>
      <c r="G1216" s="21"/>
      <c r="H1216" s="21"/>
      <c r="I1216" s="21"/>
    </row>
    <row r="1217" spans="2:9" ht="15.75" thickBot="1" x14ac:dyDescent="0.3">
      <c r="B1217" s="21"/>
      <c r="C1217" s="21"/>
      <c r="D1217" s="21"/>
      <c r="E1217" s="21"/>
      <c r="F1217" s="21"/>
      <c r="G1217" s="21"/>
      <c r="H1217" s="21"/>
      <c r="I1217" s="21"/>
    </row>
    <row r="1218" spans="2:9" ht="15.75" thickBot="1" x14ac:dyDescent="0.3">
      <c r="B1218" s="21"/>
      <c r="C1218" s="21"/>
      <c r="D1218" s="21"/>
      <c r="E1218" s="21"/>
      <c r="F1218" s="21"/>
      <c r="G1218" s="21"/>
      <c r="H1218" s="21"/>
      <c r="I1218" s="21"/>
    </row>
    <row r="1219" spans="2:9" ht="15.75" thickBot="1" x14ac:dyDescent="0.3">
      <c r="B1219" s="21"/>
      <c r="C1219" s="21"/>
      <c r="D1219" s="21"/>
      <c r="E1219" s="21"/>
      <c r="F1219" s="21"/>
      <c r="G1219" s="21"/>
      <c r="H1219" s="21"/>
      <c r="I1219" s="21"/>
    </row>
    <row r="1220" spans="2:9" ht="15.75" thickBot="1" x14ac:dyDescent="0.3">
      <c r="B1220" s="21"/>
      <c r="C1220" s="21"/>
      <c r="D1220" s="21"/>
      <c r="E1220" s="21"/>
      <c r="F1220" s="21"/>
      <c r="G1220" s="21"/>
      <c r="H1220" s="21"/>
      <c r="I1220" s="21"/>
    </row>
    <row r="1221" spans="2:9" ht="15.75" thickBot="1" x14ac:dyDescent="0.3">
      <c r="B1221" s="21"/>
      <c r="C1221" s="21"/>
      <c r="D1221" s="21"/>
      <c r="E1221" s="21"/>
      <c r="F1221" s="21"/>
      <c r="G1221" s="21"/>
      <c r="H1221" s="21"/>
      <c r="I1221" s="21"/>
    </row>
    <row r="1222" spans="2:9" ht="15.75" thickBot="1" x14ac:dyDescent="0.3">
      <c r="B1222" s="21"/>
      <c r="C1222" s="21"/>
      <c r="D1222" s="21"/>
      <c r="E1222" s="21"/>
      <c r="F1222" s="21"/>
      <c r="G1222" s="21"/>
      <c r="H1222" s="21"/>
      <c r="I1222" s="21"/>
    </row>
    <row r="1223" spans="2:9" ht="15.75" thickBot="1" x14ac:dyDescent="0.3">
      <c r="B1223" s="21"/>
      <c r="C1223" s="21"/>
      <c r="D1223" s="21"/>
      <c r="E1223" s="21"/>
      <c r="F1223" s="21"/>
      <c r="G1223" s="21"/>
      <c r="H1223" s="21"/>
      <c r="I1223" s="21"/>
    </row>
    <row r="1224" spans="2:9" ht="15.75" thickBot="1" x14ac:dyDescent="0.3">
      <c r="B1224" s="21"/>
      <c r="C1224" s="21"/>
      <c r="D1224" s="21"/>
      <c r="E1224" s="21"/>
      <c r="F1224" s="21"/>
      <c r="G1224" s="21"/>
      <c r="H1224" s="21"/>
      <c r="I1224" s="21"/>
    </row>
    <row r="1225" spans="2:9" ht="15.75" thickBot="1" x14ac:dyDescent="0.3">
      <c r="B1225" s="21"/>
      <c r="C1225" s="21"/>
      <c r="D1225" s="21"/>
      <c r="E1225" s="21"/>
      <c r="F1225" s="21"/>
      <c r="G1225" s="21"/>
      <c r="H1225" s="21"/>
      <c r="I1225" s="21"/>
    </row>
    <row r="1226" spans="2:9" ht="15.75" thickBot="1" x14ac:dyDescent="0.3">
      <c r="B1226" s="21"/>
      <c r="C1226" s="21"/>
      <c r="D1226" s="21"/>
      <c r="E1226" s="21"/>
      <c r="F1226" s="21"/>
      <c r="G1226" s="21"/>
      <c r="H1226" s="21"/>
      <c r="I1226" s="21"/>
    </row>
    <row r="1227" spans="2:9" ht="15.75" thickBot="1" x14ac:dyDescent="0.3">
      <c r="B1227" s="21"/>
      <c r="C1227" s="21"/>
      <c r="D1227" s="21"/>
      <c r="E1227" s="21"/>
      <c r="F1227" s="21"/>
      <c r="G1227" s="21"/>
      <c r="H1227" s="21"/>
      <c r="I1227" s="21"/>
    </row>
    <row r="1228" spans="2:9" ht="15.75" thickBot="1" x14ac:dyDescent="0.3">
      <c r="B1228" s="21"/>
      <c r="C1228" s="21"/>
      <c r="D1228" s="21"/>
      <c r="E1228" s="21"/>
      <c r="F1228" s="21"/>
      <c r="G1228" s="21"/>
      <c r="H1228" s="21"/>
      <c r="I1228" s="21"/>
    </row>
    <row r="1229" spans="2:9" ht="15.75" thickBot="1" x14ac:dyDescent="0.3">
      <c r="B1229" s="21"/>
      <c r="C1229" s="21"/>
      <c r="D1229" s="21"/>
      <c r="E1229" s="21"/>
      <c r="F1229" s="21"/>
      <c r="G1229" s="21"/>
      <c r="H1229" s="21"/>
      <c r="I1229" s="21"/>
    </row>
    <row r="1230" spans="2:9" ht="15.75" thickBot="1" x14ac:dyDescent="0.3">
      <c r="B1230" s="21"/>
      <c r="C1230" s="21"/>
      <c r="D1230" s="21"/>
      <c r="E1230" s="21"/>
      <c r="F1230" s="21"/>
      <c r="G1230" s="21"/>
      <c r="H1230" s="21"/>
      <c r="I1230" s="21"/>
    </row>
    <row r="1231" spans="2:9" ht="15.75" thickBot="1" x14ac:dyDescent="0.3">
      <c r="B1231" s="21"/>
      <c r="C1231" s="21"/>
      <c r="D1231" s="21"/>
      <c r="E1231" s="21"/>
      <c r="F1231" s="21"/>
      <c r="G1231" s="21"/>
      <c r="H1231" s="21"/>
      <c r="I1231" s="21"/>
    </row>
    <row r="1232" spans="2:9" ht="15.75" thickBot="1" x14ac:dyDescent="0.3">
      <c r="B1232" s="21"/>
      <c r="C1232" s="21"/>
      <c r="D1232" s="21"/>
      <c r="E1232" s="21"/>
      <c r="F1232" s="21"/>
      <c r="G1232" s="21"/>
      <c r="H1232" s="21"/>
      <c r="I1232" s="21"/>
    </row>
    <row r="1233" spans="2:9" ht="15.75" thickBot="1" x14ac:dyDescent="0.3">
      <c r="B1233" s="21"/>
      <c r="C1233" s="21"/>
      <c r="D1233" s="21"/>
      <c r="E1233" s="21"/>
      <c r="F1233" s="21"/>
      <c r="G1233" s="21"/>
      <c r="H1233" s="21"/>
      <c r="I1233" s="21"/>
    </row>
    <row r="1234" spans="2:9" ht="15.75" thickBot="1" x14ac:dyDescent="0.3">
      <c r="B1234" s="21"/>
      <c r="C1234" s="21"/>
      <c r="D1234" s="21"/>
      <c r="E1234" s="21"/>
      <c r="F1234" s="21"/>
      <c r="G1234" s="21"/>
      <c r="H1234" s="21"/>
      <c r="I1234" s="21"/>
    </row>
    <row r="1235" spans="2:9" ht="15.75" thickBot="1" x14ac:dyDescent="0.3">
      <c r="B1235" s="21"/>
      <c r="C1235" s="21"/>
      <c r="D1235" s="21"/>
      <c r="E1235" s="21"/>
      <c r="F1235" s="21"/>
      <c r="G1235" s="21"/>
      <c r="H1235" s="21"/>
      <c r="I1235" s="21"/>
    </row>
    <row r="1236" spans="2:9" ht="15.75" thickBot="1" x14ac:dyDescent="0.3">
      <c r="B1236" s="21"/>
      <c r="C1236" s="21"/>
      <c r="D1236" s="21"/>
      <c r="E1236" s="21"/>
      <c r="F1236" s="21"/>
      <c r="G1236" s="21"/>
      <c r="H1236" s="21"/>
      <c r="I1236" s="21"/>
    </row>
    <row r="1237" spans="2:9" ht="15.75" thickBot="1" x14ac:dyDescent="0.3">
      <c r="B1237" s="21"/>
      <c r="C1237" s="21"/>
      <c r="D1237" s="21"/>
      <c r="E1237" s="21"/>
      <c r="F1237" s="21"/>
      <c r="G1237" s="21"/>
      <c r="H1237" s="21"/>
      <c r="I1237" s="21"/>
    </row>
    <row r="1238" spans="2:9" ht="15.75" thickBot="1" x14ac:dyDescent="0.3">
      <c r="B1238" s="21"/>
      <c r="C1238" s="21"/>
      <c r="D1238" s="21"/>
      <c r="E1238" s="21"/>
      <c r="F1238" s="21"/>
      <c r="G1238" s="21"/>
      <c r="H1238" s="21"/>
      <c r="I1238" s="21"/>
    </row>
    <row r="1239" spans="2:9" ht="15.75" thickBot="1" x14ac:dyDescent="0.3">
      <c r="B1239" s="21"/>
      <c r="C1239" s="21"/>
      <c r="D1239" s="21"/>
      <c r="E1239" s="21"/>
      <c r="F1239" s="21"/>
      <c r="G1239" s="21"/>
      <c r="H1239" s="21"/>
      <c r="I1239" s="21"/>
    </row>
    <row r="1240" spans="2:9" ht="15.75" thickBot="1" x14ac:dyDescent="0.3">
      <c r="B1240" s="21"/>
      <c r="C1240" s="21"/>
      <c r="D1240" s="21"/>
      <c r="E1240" s="21"/>
      <c r="F1240" s="21"/>
      <c r="G1240" s="21"/>
      <c r="H1240" s="21"/>
      <c r="I1240" s="21"/>
    </row>
    <row r="1241" spans="2:9" ht="15.75" thickBot="1" x14ac:dyDescent="0.3">
      <c r="B1241" s="21"/>
      <c r="C1241" s="21"/>
      <c r="D1241" s="21"/>
      <c r="E1241" s="21"/>
      <c r="F1241" s="21"/>
      <c r="G1241" s="21"/>
      <c r="H1241" s="21"/>
      <c r="I1241" s="21"/>
    </row>
    <row r="1242" spans="2:9" ht="15.75" thickBot="1" x14ac:dyDescent="0.3">
      <c r="B1242" s="21"/>
      <c r="C1242" s="21"/>
      <c r="D1242" s="21"/>
      <c r="E1242" s="21"/>
      <c r="F1242" s="21"/>
      <c r="G1242" s="21"/>
      <c r="H1242" s="21"/>
      <c r="I1242" s="21"/>
    </row>
    <row r="1243" spans="2:9" ht="15.75" thickBot="1" x14ac:dyDescent="0.3">
      <c r="B1243" s="21"/>
      <c r="C1243" s="21"/>
      <c r="D1243" s="21"/>
      <c r="E1243" s="21"/>
      <c r="F1243" s="21"/>
      <c r="G1243" s="21"/>
      <c r="H1243" s="21"/>
      <c r="I1243" s="21"/>
    </row>
    <row r="1244" spans="2:9" ht="15.75" thickBot="1" x14ac:dyDescent="0.3">
      <c r="B1244" s="21"/>
      <c r="C1244" s="21"/>
      <c r="D1244" s="21"/>
      <c r="E1244" s="21"/>
      <c r="F1244" s="21"/>
      <c r="G1244" s="21"/>
      <c r="H1244" s="21"/>
      <c r="I1244" s="21"/>
    </row>
    <row r="1245" spans="2:9" ht="15.75" thickBot="1" x14ac:dyDescent="0.3">
      <c r="B1245" s="21"/>
      <c r="C1245" s="21"/>
      <c r="D1245" s="21"/>
      <c r="E1245" s="21"/>
      <c r="F1245" s="21"/>
      <c r="G1245" s="21"/>
      <c r="H1245" s="21"/>
      <c r="I1245" s="21"/>
    </row>
    <row r="1246" spans="2:9" ht="15.75" thickBot="1" x14ac:dyDescent="0.3">
      <c r="B1246" s="21"/>
      <c r="C1246" s="21"/>
      <c r="D1246" s="21"/>
      <c r="E1246" s="21"/>
      <c r="F1246" s="21"/>
      <c r="G1246" s="21"/>
      <c r="H1246" s="21"/>
      <c r="I1246" s="21"/>
    </row>
    <row r="1247" spans="2:9" ht="15.75" thickBot="1" x14ac:dyDescent="0.3">
      <c r="B1247" s="21"/>
      <c r="C1247" s="21"/>
      <c r="D1247" s="21"/>
      <c r="E1247" s="21"/>
      <c r="F1247" s="21"/>
      <c r="G1247" s="21"/>
      <c r="H1247" s="21"/>
      <c r="I1247" s="21"/>
    </row>
    <row r="1248" spans="2:9" ht="15.75" thickBot="1" x14ac:dyDescent="0.3">
      <c r="B1248" s="21"/>
      <c r="C1248" s="21"/>
      <c r="D1248" s="21"/>
      <c r="E1248" s="21"/>
      <c r="F1248" s="21"/>
      <c r="G1248" s="21"/>
      <c r="H1248" s="21"/>
      <c r="I1248" s="21"/>
    </row>
    <row r="1249" spans="2:9" ht="15.75" thickBot="1" x14ac:dyDescent="0.3">
      <c r="B1249" s="21"/>
      <c r="C1249" s="21"/>
      <c r="D1249" s="21"/>
      <c r="E1249" s="21"/>
      <c r="F1249" s="21"/>
      <c r="G1249" s="21"/>
      <c r="H1249" s="21"/>
      <c r="I1249" s="21"/>
    </row>
    <row r="1250" spans="2:9" ht="15.75" thickBot="1" x14ac:dyDescent="0.3">
      <c r="B1250" s="21"/>
      <c r="C1250" s="21"/>
      <c r="D1250" s="21"/>
      <c r="E1250" s="21"/>
      <c r="F1250" s="21"/>
      <c r="G1250" s="21"/>
      <c r="H1250" s="21"/>
      <c r="I1250" s="21"/>
    </row>
    <row r="1251" spans="2:9" ht="15.75" thickBot="1" x14ac:dyDescent="0.3">
      <c r="B1251" s="21"/>
      <c r="C1251" s="21"/>
      <c r="D1251" s="21"/>
      <c r="E1251" s="21"/>
      <c r="F1251" s="21"/>
      <c r="G1251" s="21"/>
      <c r="H1251" s="21"/>
      <c r="I1251" s="21"/>
    </row>
    <row r="1252" spans="2:9" ht="15.75" thickBot="1" x14ac:dyDescent="0.3">
      <c r="B1252" s="21"/>
      <c r="C1252" s="21"/>
      <c r="D1252" s="21"/>
      <c r="E1252" s="21"/>
      <c r="F1252" s="21"/>
      <c r="G1252" s="21"/>
      <c r="H1252" s="21"/>
      <c r="I1252" s="21"/>
    </row>
    <row r="1253" spans="2:9" ht="15.75" thickBot="1" x14ac:dyDescent="0.3">
      <c r="B1253" s="21"/>
      <c r="C1253" s="21"/>
      <c r="D1253" s="21"/>
      <c r="E1253" s="21"/>
      <c r="F1253" s="21"/>
      <c r="G1253" s="21"/>
      <c r="H1253" s="21"/>
      <c r="I1253" s="2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90A-1EB8-48F4-8D38-0E55C33E6BD8}">
  <dimension ref="A1:AC308"/>
  <sheetViews>
    <sheetView topLeftCell="A218" workbookViewId="0">
      <selection activeCell="P239" sqref="P239"/>
    </sheetView>
  </sheetViews>
  <sheetFormatPr defaultRowHeight="15" x14ac:dyDescent="0.25"/>
  <cols>
    <col min="1" max="1" width="10.42578125" customWidth="1"/>
    <col min="16" max="16" width="7.42578125" customWidth="1"/>
    <col min="18" max="18" width="7.28515625" customWidth="1"/>
    <col min="27" max="27" width="7.5703125" customWidth="1"/>
    <col min="28" max="28" width="34.7109375" customWidth="1"/>
  </cols>
  <sheetData>
    <row r="1" spans="1:29" ht="64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5" t="s">
        <v>28</v>
      </c>
    </row>
    <row r="2" spans="1:29" ht="15.75" thickBot="1" x14ac:dyDescent="0.3">
      <c r="A2" s="13">
        <v>45295</v>
      </c>
      <c r="B2" s="33">
        <v>0.5</v>
      </c>
      <c r="C2" s="6"/>
      <c r="D2" s="6"/>
      <c r="E2" s="6" t="s">
        <v>60</v>
      </c>
      <c r="F2" s="6">
        <v>30</v>
      </c>
      <c r="G2" s="8">
        <v>65983</v>
      </c>
      <c r="H2" s="82">
        <v>29.1</v>
      </c>
      <c r="I2" s="8">
        <v>25.6</v>
      </c>
      <c r="J2" s="19"/>
      <c r="K2" s="20"/>
      <c r="L2" s="20"/>
      <c r="M2" s="20"/>
      <c r="N2" s="20"/>
      <c r="O2" s="19"/>
      <c r="P2" s="19"/>
      <c r="Q2" s="21"/>
      <c r="R2" s="21"/>
      <c r="S2" s="10">
        <f>H2</f>
        <v>29.1</v>
      </c>
      <c r="T2" s="11"/>
      <c r="U2" s="11">
        <f>T2*(I2/100)</f>
        <v>0</v>
      </c>
      <c r="V2" s="11">
        <f t="shared" ref="V2:V151" si="0">U2*(273/(273+S2))</f>
        <v>0</v>
      </c>
      <c r="W2" s="12"/>
      <c r="X2" s="12"/>
      <c r="Y2" s="12"/>
      <c r="Z2" s="12"/>
      <c r="AA2" s="12"/>
      <c r="AB2" s="11"/>
      <c r="AC2" s="11"/>
    </row>
    <row r="3" spans="1:29" ht="15.75" thickBot="1" x14ac:dyDescent="0.3">
      <c r="A3" s="13">
        <v>45297</v>
      </c>
      <c r="B3" s="73"/>
      <c r="C3" s="6"/>
      <c r="D3" s="6"/>
      <c r="E3" s="6" t="s">
        <v>60</v>
      </c>
      <c r="F3" s="6">
        <v>30</v>
      </c>
      <c r="G3" s="8">
        <v>66629</v>
      </c>
      <c r="H3" s="82">
        <v>28.7</v>
      </c>
      <c r="I3" s="8">
        <v>25.3</v>
      </c>
      <c r="J3" s="19"/>
      <c r="K3" s="20"/>
      <c r="L3" s="20"/>
      <c r="M3" s="20"/>
      <c r="N3" s="20"/>
      <c r="O3" s="19"/>
      <c r="P3" s="19"/>
      <c r="Q3" s="22"/>
      <c r="R3" s="21"/>
      <c r="S3" s="10">
        <f>H3</f>
        <v>28.7</v>
      </c>
      <c r="T3" s="11">
        <f>G3-G2</f>
        <v>646</v>
      </c>
      <c r="U3" s="11">
        <f t="shared" ref="U3:U97" si="1">T3*(P3/100)</f>
        <v>0</v>
      </c>
      <c r="V3" s="11">
        <f t="shared" si="0"/>
        <v>0</v>
      </c>
      <c r="W3" s="12">
        <f t="shared" ref="W3:W151" si="2">T3*(273/(273+S3))</f>
        <v>584.54756380510446</v>
      </c>
      <c r="X3" s="12">
        <f>V3/[1]Manure!$I$2</f>
        <v>0</v>
      </c>
      <c r="Y3" s="12">
        <f>W3/[1]Manure!$I$2</f>
        <v>416.88250589907034</v>
      </c>
      <c r="Z3" s="12"/>
      <c r="AA3" s="12"/>
      <c r="AB3" s="11"/>
      <c r="AC3" s="11"/>
    </row>
    <row r="4" spans="1:29" ht="15.75" thickBot="1" x14ac:dyDescent="0.3">
      <c r="A4" s="13">
        <v>45300</v>
      </c>
      <c r="B4" s="33">
        <v>0.5</v>
      </c>
      <c r="C4" s="6"/>
      <c r="D4" s="6"/>
      <c r="E4" s="6" t="s">
        <v>60</v>
      </c>
      <c r="F4" s="6">
        <v>30</v>
      </c>
      <c r="G4" s="8">
        <v>67224</v>
      </c>
      <c r="H4" s="82">
        <v>26.5</v>
      </c>
      <c r="I4" s="8">
        <v>25.8</v>
      </c>
      <c r="J4" s="19"/>
      <c r="K4" s="20"/>
      <c r="L4" s="20"/>
      <c r="M4" s="20"/>
      <c r="N4" s="20"/>
      <c r="O4" s="19"/>
      <c r="P4" s="19"/>
      <c r="Q4" s="22"/>
      <c r="R4" s="21"/>
      <c r="S4" s="10">
        <f t="shared" ref="S4:S258" si="3">H4</f>
        <v>26.5</v>
      </c>
      <c r="T4" s="11">
        <f t="shared" ref="T4:T82" si="4">G4-G3</f>
        <v>595</v>
      </c>
      <c r="U4" s="11">
        <f t="shared" si="1"/>
        <v>0</v>
      </c>
      <c r="V4" s="11">
        <f t="shared" si="0"/>
        <v>0</v>
      </c>
      <c r="W4" s="12">
        <f t="shared" si="2"/>
        <v>542.3539232053422</v>
      </c>
      <c r="X4" s="12">
        <f>V4/[1]Manure!$I$2</f>
        <v>0</v>
      </c>
      <c r="Y4" s="12">
        <f>W4/[1]Manure!$I$2</f>
        <v>386.79121527468874</v>
      </c>
      <c r="Z4" s="12"/>
      <c r="AA4" s="12"/>
      <c r="AB4" s="11"/>
      <c r="AC4" s="11"/>
    </row>
    <row r="5" spans="1:29" ht="15.75" thickBot="1" x14ac:dyDescent="0.3">
      <c r="A5" s="13">
        <v>45301</v>
      </c>
      <c r="B5" s="33">
        <v>0.5</v>
      </c>
      <c r="C5" s="6"/>
      <c r="D5" s="6"/>
      <c r="E5" s="6" t="s">
        <v>60</v>
      </c>
      <c r="F5" s="6">
        <v>30</v>
      </c>
      <c r="G5" s="8">
        <v>68029</v>
      </c>
      <c r="H5" s="82">
        <v>29.8</v>
      </c>
      <c r="I5" s="8">
        <v>25.2</v>
      </c>
      <c r="J5" s="19"/>
      <c r="K5" s="20"/>
      <c r="L5" s="20"/>
      <c r="M5" s="20"/>
      <c r="N5" s="20"/>
      <c r="O5" s="19"/>
      <c r="P5" s="19"/>
      <c r="Q5" s="22"/>
      <c r="R5" s="21"/>
      <c r="S5" s="10">
        <f t="shared" si="3"/>
        <v>29.8</v>
      </c>
      <c r="T5" s="11">
        <f t="shared" si="4"/>
        <v>805</v>
      </c>
      <c r="U5" s="11">
        <f t="shared" si="1"/>
        <v>0</v>
      </c>
      <c r="V5" s="11">
        <f t="shared" si="0"/>
        <v>0</v>
      </c>
      <c r="W5" s="12">
        <f t="shared" si="2"/>
        <v>725.77608982826939</v>
      </c>
      <c r="X5" s="12">
        <f>V5/[1]Manure!$I$2</f>
        <v>0</v>
      </c>
      <c r="Y5" s="12">
        <f>W5/[1]Manure!$I$2</f>
        <v>517.60262771382645</v>
      </c>
      <c r="Z5" s="12"/>
      <c r="AA5" s="12"/>
      <c r="AB5" s="11"/>
      <c r="AC5" s="11"/>
    </row>
    <row r="6" spans="1:29" ht="15.75" thickBot="1" x14ac:dyDescent="0.3">
      <c r="A6" s="13">
        <v>45302</v>
      </c>
      <c r="B6" s="33">
        <v>0.4375</v>
      </c>
      <c r="C6" s="6"/>
      <c r="D6" s="6"/>
      <c r="E6" s="6" t="s">
        <v>60</v>
      </c>
      <c r="F6" s="6">
        <v>30</v>
      </c>
      <c r="G6" s="8">
        <v>68685</v>
      </c>
      <c r="H6" s="82">
        <v>27.5</v>
      </c>
      <c r="I6" s="8">
        <v>26.6</v>
      </c>
      <c r="J6" s="19"/>
      <c r="K6" s="20"/>
      <c r="L6" s="20"/>
      <c r="M6" s="20"/>
      <c r="N6" s="20"/>
      <c r="O6" s="19"/>
      <c r="P6" s="19"/>
      <c r="Q6" s="22"/>
      <c r="R6" s="21"/>
      <c r="S6" s="10">
        <f t="shared" si="3"/>
        <v>27.5</v>
      </c>
      <c r="T6" s="11">
        <f t="shared" si="4"/>
        <v>656</v>
      </c>
      <c r="U6" s="11">
        <f t="shared" si="1"/>
        <v>0</v>
      </c>
      <c r="V6" s="11">
        <f t="shared" si="0"/>
        <v>0</v>
      </c>
      <c r="W6" s="12">
        <f t="shared" si="2"/>
        <v>595.96672212978365</v>
      </c>
      <c r="X6" s="12">
        <f>V6/[1]Manure!$I$2</f>
        <v>0</v>
      </c>
      <c r="Y6" s="12">
        <f>W6/[1]Manure!$I$2</f>
        <v>425.02632110319576</v>
      </c>
      <c r="Z6" s="12"/>
      <c r="AA6" s="12"/>
      <c r="AB6" s="11"/>
      <c r="AC6" s="11"/>
    </row>
    <row r="7" spans="1:29" ht="15.75" thickBot="1" x14ac:dyDescent="0.3">
      <c r="A7" s="13">
        <v>45303</v>
      </c>
      <c r="B7" s="33">
        <v>0.47916666666666669</v>
      </c>
      <c r="C7" s="6"/>
      <c r="D7" s="6"/>
      <c r="E7" s="6" t="s">
        <v>60</v>
      </c>
      <c r="F7" s="6">
        <v>30</v>
      </c>
      <c r="G7" s="8">
        <v>69164</v>
      </c>
      <c r="H7" s="82">
        <v>25.4</v>
      </c>
      <c r="I7" s="8">
        <v>25.5</v>
      </c>
      <c r="J7" s="19"/>
      <c r="K7" s="20"/>
      <c r="L7" s="20"/>
      <c r="M7" s="20"/>
      <c r="N7" s="20"/>
      <c r="O7" s="19"/>
      <c r="P7" s="19"/>
      <c r="Q7" s="22"/>
      <c r="R7" s="21"/>
      <c r="S7" s="10">
        <f t="shared" si="3"/>
        <v>25.4</v>
      </c>
      <c r="T7" s="11">
        <f t="shared" si="4"/>
        <v>479</v>
      </c>
      <c r="U7" s="11">
        <f t="shared" si="1"/>
        <v>0</v>
      </c>
      <c r="V7" s="11">
        <f t="shared" si="0"/>
        <v>0</v>
      </c>
      <c r="W7" s="12">
        <f t="shared" si="2"/>
        <v>438.22721179624671</v>
      </c>
      <c r="X7" s="12">
        <f>V7/[1]Manure!$I$2</f>
        <v>0</v>
      </c>
      <c r="Y7" s="12">
        <f>W7/[1]Manure!$I$2</f>
        <v>312.53104027595066</v>
      </c>
      <c r="Z7" s="12"/>
      <c r="AA7" s="12"/>
      <c r="AB7" s="11"/>
      <c r="AC7" s="11"/>
    </row>
    <row r="8" spans="1:29" ht="15.75" thickBot="1" x14ac:dyDescent="0.3">
      <c r="A8" s="13">
        <v>45304</v>
      </c>
      <c r="B8" s="33">
        <v>0.41666666666666669</v>
      </c>
      <c r="C8" s="6"/>
      <c r="D8" s="6"/>
      <c r="E8" s="6" t="s">
        <v>60</v>
      </c>
      <c r="F8" s="6">
        <v>30</v>
      </c>
      <c r="G8" s="8">
        <v>69558</v>
      </c>
      <c r="H8" s="82">
        <v>22.7</v>
      </c>
      <c r="I8" s="8">
        <v>24.3</v>
      </c>
      <c r="J8" s="19"/>
      <c r="K8" s="20"/>
      <c r="L8" s="20"/>
      <c r="M8" s="20"/>
      <c r="N8" s="20"/>
      <c r="O8" s="19"/>
      <c r="P8" s="19"/>
      <c r="Q8" s="22"/>
      <c r="R8" s="21"/>
      <c r="S8" s="10">
        <f t="shared" si="3"/>
        <v>22.7</v>
      </c>
      <c r="T8" s="11">
        <f t="shared" si="4"/>
        <v>394</v>
      </c>
      <c r="U8" s="11">
        <f t="shared" si="1"/>
        <v>0</v>
      </c>
      <c r="V8" s="11">
        <f t="shared" si="0"/>
        <v>0</v>
      </c>
      <c r="W8" s="12">
        <f t="shared" si="2"/>
        <v>363.75380453161989</v>
      </c>
      <c r="X8" s="12">
        <f>V8/[1]Manure!$I$2</f>
        <v>0</v>
      </c>
      <c r="Y8" s="12">
        <f>W8/[1]Manure!$I$2</f>
        <v>259.41874870942382</v>
      </c>
      <c r="Z8" s="12"/>
      <c r="AA8" s="12"/>
      <c r="AB8" s="11"/>
      <c r="AC8" s="11"/>
    </row>
    <row r="9" spans="1:29" ht="15.75" thickBot="1" x14ac:dyDescent="0.3">
      <c r="A9" s="13">
        <v>45306</v>
      </c>
      <c r="B9" s="33">
        <v>0.41666666666666669</v>
      </c>
      <c r="C9" s="33"/>
      <c r="D9" s="6"/>
      <c r="E9" s="33" t="s">
        <v>60</v>
      </c>
      <c r="F9" s="6">
        <v>30</v>
      </c>
      <c r="G9" s="8">
        <v>71005</v>
      </c>
      <c r="H9" s="82">
        <v>27.1</v>
      </c>
      <c r="I9" s="8">
        <v>28.5</v>
      </c>
      <c r="J9" s="19"/>
      <c r="K9" s="20"/>
      <c r="L9" s="20"/>
      <c r="M9" s="20"/>
      <c r="N9" s="20"/>
      <c r="O9" s="19"/>
      <c r="P9" s="19"/>
      <c r="Q9" s="22"/>
      <c r="R9" s="21"/>
      <c r="S9" s="10">
        <f t="shared" si="3"/>
        <v>27.1</v>
      </c>
      <c r="T9" s="11">
        <f t="shared" si="4"/>
        <v>1447</v>
      </c>
      <c r="U9" s="11">
        <f t="shared" si="1"/>
        <v>0</v>
      </c>
      <c r="V9" s="11">
        <f t="shared" si="0"/>
        <v>0</v>
      </c>
      <c r="W9" s="12">
        <f t="shared" si="2"/>
        <v>1316.3312229256915</v>
      </c>
      <c r="X9" s="12">
        <f>V9/[1]Manure!$I$2</f>
        <v>0</v>
      </c>
      <c r="Y9" s="12">
        <f>W9/[1]Manure!$I$2</f>
        <v>938.76955920290516</v>
      </c>
      <c r="Z9" s="12"/>
      <c r="AA9" s="12"/>
      <c r="AB9" s="11"/>
      <c r="AC9" s="11"/>
    </row>
    <row r="10" spans="1:29" ht="15.75" thickBot="1" x14ac:dyDescent="0.3">
      <c r="A10" s="13">
        <v>45307</v>
      </c>
      <c r="B10" s="33">
        <v>0.41666666666666669</v>
      </c>
      <c r="C10" s="33"/>
      <c r="D10" s="6"/>
      <c r="E10" s="33" t="s">
        <v>60</v>
      </c>
      <c r="F10" s="6">
        <v>30</v>
      </c>
      <c r="G10" s="8">
        <v>71715</v>
      </c>
      <c r="H10" s="82">
        <v>22.7</v>
      </c>
      <c r="I10" s="8">
        <v>24.7</v>
      </c>
      <c r="J10" s="19"/>
      <c r="K10" s="20"/>
      <c r="L10" s="20"/>
      <c r="M10" s="20"/>
      <c r="N10" s="20"/>
      <c r="O10" s="19"/>
      <c r="P10" s="19"/>
      <c r="Q10" s="22"/>
      <c r="R10" s="21"/>
      <c r="S10" s="10">
        <f t="shared" si="3"/>
        <v>22.7</v>
      </c>
      <c r="T10" s="11">
        <f t="shared" si="4"/>
        <v>710</v>
      </c>
      <c r="U10" s="11">
        <f t="shared" si="1"/>
        <v>0</v>
      </c>
      <c r="V10" s="11">
        <f t="shared" si="0"/>
        <v>0</v>
      </c>
      <c r="W10" s="12">
        <f t="shared" si="2"/>
        <v>655.49543456205618</v>
      </c>
      <c r="X10" s="12">
        <f>V10/[1]Manure!$I$2</f>
        <v>0</v>
      </c>
      <c r="Y10" s="12">
        <f>W10/[1]Manure!$I$2</f>
        <v>467.48048625302272</v>
      </c>
      <c r="Z10" s="12"/>
      <c r="AA10" s="12"/>
      <c r="AB10" s="11"/>
      <c r="AC10" s="11"/>
    </row>
    <row r="11" spans="1:29" ht="15.75" thickBot="1" x14ac:dyDescent="0.3">
      <c r="A11" s="13">
        <v>45308</v>
      </c>
      <c r="B11" s="33">
        <v>0.47916666666666669</v>
      </c>
      <c r="C11" s="33"/>
      <c r="D11" s="6"/>
      <c r="E11" s="33" t="s">
        <v>60</v>
      </c>
      <c r="F11" s="6">
        <v>30</v>
      </c>
      <c r="G11" s="8">
        <v>72361</v>
      </c>
      <c r="H11" s="82">
        <v>23.5</v>
      </c>
      <c r="I11" s="8">
        <v>24.6</v>
      </c>
      <c r="J11" s="19"/>
      <c r="K11" s="23"/>
      <c r="L11" s="23"/>
      <c r="M11" s="23"/>
      <c r="N11" s="23"/>
      <c r="O11" s="19"/>
      <c r="P11" s="19"/>
      <c r="Q11" s="22"/>
      <c r="R11" s="21"/>
      <c r="S11" s="10">
        <f t="shared" si="3"/>
        <v>23.5</v>
      </c>
      <c r="T11" s="11">
        <f t="shared" si="4"/>
        <v>646</v>
      </c>
      <c r="U11" s="11">
        <f t="shared" si="1"/>
        <v>0</v>
      </c>
      <c r="V11" s="11">
        <f t="shared" si="0"/>
        <v>0</v>
      </c>
      <c r="W11" s="12">
        <f t="shared" si="2"/>
        <v>594.79932546374368</v>
      </c>
      <c r="X11" s="12">
        <f>V11/[1]Manure!$I$2</f>
        <v>0</v>
      </c>
      <c r="Y11" s="12">
        <f>W11/[1]Manure!$I$2</f>
        <v>424.19376738532713</v>
      </c>
      <c r="Z11" s="12"/>
      <c r="AA11" s="12"/>
      <c r="AB11" s="11"/>
      <c r="AC11" s="11"/>
    </row>
    <row r="12" spans="1:29" ht="15.75" thickBot="1" x14ac:dyDescent="0.3">
      <c r="A12" s="13">
        <v>45309</v>
      </c>
      <c r="B12" s="33">
        <v>0.41666666666666669</v>
      </c>
      <c r="C12" s="33"/>
      <c r="D12" s="6"/>
      <c r="E12" s="33" t="s">
        <v>60</v>
      </c>
      <c r="F12" s="6">
        <v>30</v>
      </c>
      <c r="G12" s="8">
        <v>72961</v>
      </c>
      <c r="H12" s="82">
        <v>24</v>
      </c>
      <c r="I12" s="8">
        <v>24.1</v>
      </c>
      <c r="J12" s="19"/>
      <c r="K12" s="23"/>
      <c r="L12" s="23"/>
      <c r="M12" s="23"/>
      <c r="N12" s="23"/>
      <c r="O12" s="19"/>
      <c r="P12" s="19"/>
      <c r="Q12" s="22"/>
      <c r="R12" s="21"/>
      <c r="S12" s="10">
        <f t="shared" si="3"/>
        <v>24</v>
      </c>
      <c r="T12" s="11">
        <f t="shared" si="4"/>
        <v>600</v>
      </c>
      <c r="U12" s="11">
        <f t="shared" si="1"/>
        <v>0</v>
      </c>
      <c r="V12" s="11">
        <f t="shared" si="0"/>
        <v>0</v>
      </c>
      <c r="W12" s="12">
        <f t="shared" si="2"/>
        <v>551.5151515151515</v>
      </c>
      <c r="X12" s="12">
        <f>V12/[1]Manure!$I$2</f>
        <v>0</v>
      </c>
      <c r="Y12" s="12">
        <f>W12/[1]Manure!$I$2</f>
        <v>393.32473974966223</v>
      </c>
      <c r="Z12" s="12"/>
      <c r="AA12" s="12"/>
      <c r="AB12" s="11"/>
      <c r="AC12" s="11"/>
    </row>
    <row r="13" spans="1:29" ht="15.75" thickBot="1" x14ac:dyDescent="0.3">
      <c r="A13" s="13">
        <v>45310</v>
      </c>
      <c r="B13" s="33">
        <v>0.41666666666666669</v>
      </c>
      <c r="C13" s="33"/>
      <c r="D13" s="6"/>
      <c r="E13" s="33" t="s">
        <v>60</v>
      </c>
      <c r="F13" s="6">
        <v>30</v>
      </c>
      <c r="G13" s="8">
        <v>73511</v>
      </c>
      <c r="H13" s="82">
        <v>26.8</v>
      </c>
      <c r="I13" s="8">
        <v>21.6</v>
      </c>
      <c r="J13" s="19"/>
      <c r="K13" s="23"/>
      <c r="L13" s="23"/>
      <c r="M13" s="23"/>
      <c r="N13" s="23"/>
      <c r="O13" s="19"/>
      <c r="P13" s="19"/>
      <c r="Q13" s="22"/>
      <c r="R13" s="21"/>
      <c r="S13" s="10">
        <f t="shared" si="3"/>
        <v>26.8</v>
      </c>
      <c r="T13" s="11">
        <f t="shared" si="4"/>
        <v>550</v>
      </c>
      <c r="U13" s="11">
        <f t="shared" si="1"/>
        <v>0</v>
      </c>
      <c r="V13" s="11">
        <f t="shared" si="0"/>
        <v>0</v>
      </c>
      <c r="W13" s="12">
        <f t="shared" si="2"/>
        <v>500.83388925950629</v>
      </c>
      <c r="X13" s="12">
        <f>V13/[1]Manure!$I$2</f>
        <v>0</v>
      </c>
      <c r="Y13" s="12">
        <f>W13/[1]Manure!$I$2</f>
        <v>357.18032153717661</v>
      </c>
      <c r="Z13" s="12"/>
      <c r="AA13" s="12"/>
      <c r="AB13" s="11"/>
      <c r="AC13" s="11"/>
    </row>
    <row r="14" spans="1:29" ht="15.75" thickBot="1" x14ac:dyDescent="0.3">
      <c r="A14" s="13">
        <v>45311</v>
      </c>
      <c r="B14" s="33">
        <v>0.41666666666666669</v>
      </c>
      <c r="C14" s="33"/>
      <c r="D14" s="6"/>
      <c r="E14" s="33" t="s">
        <v>60</v>
      </c>
      <c r="F14" s="6">
        <v>30</v>
      </c>
      <c r="G14" s="8">
        <v>74083</v>
      </c>
      <c r="H14" s="82">
        <v>21.3</v>
      </c>
      <c r="I14" s="8">
        <v>22</v>
      </c>
      <c r="J14" s="19"/>
      <c r="K14" s="23"/>
      <c r="L14" s="23"/>
      <c r="M14" s="23"/>
      <c r="N14" s="23"/>
      <c r="O14" s="19"/>
      <c r="P14" s="19"/>
      <c r="Q14" s="22"/>
      <c r="R14" s="21"/>
      <c r="S14" s="10">
        <f t="shared" si="3"/>
        <v>21.3</v>
      </c>
      <c r="T14" s="11">
        <f t="shared" si="4"/>
        <v>572</v>
      </c>
      <c r="U14" s="11">
        <f t="shared" si="1"/>
        <v>0</v>
      </c>
      <c r="V14" s="11">
        <f t="shared" si="0"/>
        <v>0</v>
      </c>
      <c r="W14" s="12">
        <f t="shared" si="2"/>
        <v>530.60142711518859</v>
      </c>
      <c r="X14" s="12">
        <f>V14/[1]Manure!$I$2</f>
        <v>0</v>
      </c>
      <c r="Y14" s="12">
        <f>W14/[1]Manure!$I$2</f>
        <v>378.40967316588302</v>
      </c>
      <c r="Z14" s="12"/>
      <c r="AA14" s="12"/>
      <c r="AB14" s="11"/>
      <c r="AC14" s="11"/>
    </row>
    <row r="15" spans="1:29" ht="15.75" thickBot="1" x14ac:dyDescent="0.3">
      <c r="A15" s="13">
        <v>45313</v>
      </c>
      <c r="B15" s="33">
        <v>0.41666666666666669</v>
      </c>
      <c r="C15" s="33"/>
      <c r="D15" s="6"/>
      <c r="E15" s="33" t="s">
        <v>60</v>
      </c>
      <c r="F15" s="6">
        <v>30</v>
      </c>
      <c r="G15" s="8">
        <v>75185</v>
      </c>
      <c r="H15" s="82">
        <v>25</v>
      </c>
      <c r="I15" s="8">
        <v>24.7</v>
      </c>
      <c r="J15" s="19"/>
      <c r="K15" s="23"/>
      <c r="L15" s="23"/>
      <c r="M15" s="23"/>
      <c r="N15" s="23"/>
      <c r="O15" s="19"/>
      <c r="P15" s="19"/>
      <c r="Q15" s="22"/>
      <c r="R15" s="21"/>
      <c r="S15" s="10">
        <f t="shared" si="3"/>
        <v>25</v>
      </c>
      <c r="T15" s="11">
        <f t="shared" si="4"/>
        <v>1102</v>
      </c>
      <c r="U15" s="11">
        <f t="shared" si="1"/>
        <v>0</v>
      </c>
      <c r="V15" s="11">
        <f t="shared" si="0"/>
        <v>0</v>
      </c>
      <c r="W15" s="12">
        <f t="shared" si="2"/>
        <v>1009.5503355704698</v>
      </c>
      <c r="X15" s="12">
        <f>V15/[1]Manure!$I$2</f>
        <v>0</v>
      </c>
      <c r="Y15" s="12">
        <f>W15/[1]Manure!$I$2</f>
        <v>719.9822559934338</v>
      </c>
      <c r="Z15" s="12"/>
      <c r="AA15" s="12"/>
      <c r="AB15" s="11"/>
      <c r="AC15" s="11"/>
    </row>
    <row r="16" spans="1:29" ht="15.75" thickBot="1" x14ac:dyDescent="0.3">
      <c r="A16" s="13">
        <v>45314</v>
      </c>
      <c r="B16" s="7">
        <v>0.41666666666666669</v>
      </c>
      <c r="C16" s="7"/>
      <c r="D16" s="6"/>
      <c r="E16" s="6" t="s">
        <v>60</v>
      </c>
      <c r="F16" s="6">
        <v>30</v>
      </c>
      <c r="G16" s="8">
        <v>75651</v>
      </c>
      <c r="H16" s="82">
        <v>16.600000000000001</v>
      </c>
      <c r="I16" s="8">
        <v>24.3</v>
      </c>
      <c r="J16" s="19"/>
      <c r="K16" s="23"/>
      <c r="L16" s="23"/>
      <c r="M16" s="23"/>
      <c r="N16" s="23"/>
      <c r="O16" s="19"/>
      <c r="P16" s="19"/>
      <c r="Q16" s="22"/>
      <c r="R16" s="21"/>
      <c r="S16" s="10">
        <f t="shared" si="3"/>
        <v>16.600000000000001</v>
      </c>
      <c r="T16" s="11">
        <f t="shared" si="4"/>
        <v>466</v>
      </c>
      <c r="U16" s="11">
        <f t="shared" si="1"/>
        <v>0</v>
      </c>
      <c r="V16" s="11">
        <f t="shared" si="0"/>
        <v>0</v>
      </c>
      <c r="W16" s="12">
        <f t="shared" si="2"/>
        <v>439.28867403314911</v>
      </c>
      <c r="X16" s="12">
        <f>V16/[1]Manure!$I$2</f>
        <v>0</v>
      </c>
      <c r="Y16" s="12">
        <f>W16/[1]Manure!$I$2</f>
        <v>313.28804460654209</v>
      </c>
      <c r="Z16" s="12"/>
      <c r="AA16" s="12"/>
      <c r="AB16" s="11"/>
      <c r="AC16" s="11"/>
    </row>
    <row r="17" spans="1:29" ht="15.75" thickBot="1" x14ac:dyDescent="0.3">
      <c r="A17" s="13">
        <v>45315</v>
      </c>
      <c r="B17" s="7">
        <v>0.41666666666666669</v>
      </c>
      <c r="C17" s="7"/>
      <c r="D17" s="6"/>
      <c r="E17" s="6" t="s">
        <v>60</v>
      </c>
      <c r="F17" s="6">
        <v>30</v>
      </c>
      <c r="G17" s="8">
        <v>76326</v>
      </c>
      <c r="H17" s="82">
        <v>23.6</v>
      </c>
      <c r="I17" s="8">
        <v>24.1</v>
      </c>
      <c r="J17" s="19"/>
      <c r="K17" s="23"/>
      <c r="L17" s="23"/>
      <c r="M17" s="23"/>
      <c r="N17" s="23"/>
      <c r="O17" s="19"/>
      <c r="P17" s="19"/>
      <c r="Q17" s="22"/>
      <c r="R17" s="21"/>
      <c r="S17" s="10">
        <f t="shared" si="3"/>
        <v>23.6</v>
      </c>
      <c r="T17" s="11">
        <f t="shared" si="4"/>
        <v>675</v>
      </c>
      <c r="U17" s="11">
        <f t="shared" si="1"/>
        <v>0</v>
      </c>
      <c r="V17" s="11">
        <f t="shared" si="0"/>
        <v>0</v>
      </c>
      <c r="W17" s="12">
        <f t="shared" si="2"/>
        <v>621.29130141604855</v>
      </c>
      <c r="X17" s="12">
        <f>V17/[1]Manure!$I$2</f>
        <v>0</v>
      </c>
      <c r="Y17" s="12">
        <f>W17/[1]Manure!$I$2</f>
        <v>443.08708249782842</v>
      </c>
      <c r="Z17" s="12"/>
      <c r="AA17" s="12"/>
      <c r="AB17" s="15"/>
      <c r="AC17" s="11"/>
    </row>
    <row r="18" spans="1:29" ht="15.75" thickBot="1" x14ac:dyDescent="0.3">
      <c r="A18" s="13">
        <v>45316</v>
      </c>
      <c r="B18" s="7">
        <v>0.41666666666666669</v>
      </c>
      <c r="C18" s="7"/>
      <c r="D18" s="6"/>
      <c r="E18" s="6" t="s">
        <v>60</v>
      </c>
      <c r="F18" s="6">
        <v>30</v>
      </c>
      <c r="G18" s="8">
        <v>76747</v>
      </c>
      <c r="H18" s="82">
        <v>22.5</v>
      </c>
      <c r="I18" s="8">
        <v>23.7</v>
      </c>
      <c r="J18" s="19"/>
      <c r="K18" s="23"/>
      <c r="L18" s="23"/>
      <c r="M18" s="23"/>
      <c r="N18" s="23"/>
      <c r="O18" s="19"/>
      <c r="P18" s="19"/>
      <c r="Q18" s="22"/>
      <c r="R18" s="21"/>
      <c r="S18" s="10">
        <f t="shared" si="3"/>
        <v>22.5</v>
      </c>
      <c r="T18" s="11">
        <f t="shared" si="4"/>
        <v>421</v>
      </c>
      <c r="U18" s="11">
        <f t="shared" si="1"/>
        <v>0</v>
      </c>
      <c r="V18" s="11">
        <f t="shared" si="0"/>
        <v>0</v>
      </c>
      <c r="W18" s="12">
        <f t="shared" si="2"/>
        <v>388.9441624365482</v>
      </c>
      <c r="X18" s="12">
        <f>V18/[1]Manure!$I$2</f>
        <v>0</v>
      </c>
      <c r="Y18" s="12">
        <f>W18/[1]Manure!$I$2</f>
        <v>277.38378727624655</v>
      </c>
      <c r="Z18" s="12"/>
      <c r="AA18" s="12"/>
      <c r="AB18" s="15"/>
      <c r="AC18" s="11"/>
    </row>
    <row r="19" spans="1:29" ht="15.75" thickBot="1" x14ac:dyDescent="0.3">
      <c r="A19" s="13">
        <v>45317</v>
      </c>
      <c r="B19" s="7">
        <v>0.41666666666666669</v>
      </c>
      <c r="C19" s="7"/>
      <c r="D19" s="6"/>
      <c r="E19" s="6" t="s">
        <v>60</v>
      </c>
      <c r="F19" s="6">
        <v>30</v>
      </c>
      <c r="G19" s="8">
        <v>77540</v>
      </c>
      <c r="H19" s="82">
        <v>22.8</v>
      </c>
      <c r="I19" s="8">
        <v>24.1</v>
      </c>
      <c r="J19" s="19"/>
      <c r="K19" s="23"/>
      <c r="L19" s="23"/>
      <c r="M19" s="23"/>
      <c r="N19" s="23"/>
      <c r="O19" s="19"/>
      <c r="P19" s="19"/>
      <c r="Q19" s="22"/>
      <c r="R19" s="21"/>
      <c r="S19" s="10">
        <f t="shared" si="3"/>
        <v>22.8</v>
      </c>
      <c r="T19" s="11">
        <f t="shared" si="4"/>
        <v>793</v>
      </c>
      <c r="U19" s="11">
        <f t="shared" si="1"/>
        <v>0</v>
      </c>
      <c r="V19" s="11">
        <f t="shared" si="0"/>
        <v>0</v>
      </c>
      <c r="W19" s="12">
        <f t="shared" si="2"/>
        <v>731.87626774847865</v>
      </c>
      <c r="X19" s="12">
        <f>V19/[1]Manure!$I$2</f>
        <v>0</v>
      </c>
      <c r="Y19" s="12">
        <f>W19/[1]Manure!$I$2</f>
        <v>521.95309911302797</v>
      </c>
      <c r="Z19" s="12"/>
      <c r="AA19" s="12"/>
      <c r="AB19" s="11"/>
      <c r="AC19" s="11"/>
    </row>
    <row r="20" spans="1:29" ht="15.75" thickBot="1" x14ac:dyDescent="0.3">
      <c r="A20" s="13">
        <v>45318</v>
      </c>
      <c r="B20" s="7">
        <v>0.41666666666666669</v>
      </c>
      <c r="C20" s="7"/>
      <c r="D20" s="6"/>
      <c r="E20" s="6" t="s">
        <v>60</v>
      </c>
      <c r="F20" s="6">
        <v>30</v>
      </c>
      <c r="G20" s="8">
        <v>78066</v>
      </c>
      <c r="H20" s="82">
        <v>25.2</v>
      </c>
      <c r="I20" s="8">
        <v>24.7</v>
      </c>
      <c r="J20" s="19"/>
      <c r="K20" s="23"/>
      <c r="L20" s="23"/>
      <c r="M20" s="23"/>
      <c r="N20" s="23"/>
      <c r="O20" s="19"/>
      <c r="P20" s="19"/>
      <c r="Q20" s="22"/>
      <c r="R20" s="21"/>
      <c r="S20" s="10">
        <f t="shared" si="3"/>
        <v>25.2</v>
      </c>
      <c r="T20" s="11">
        <f t="shared" si="4"/>
        <v>526</v>
      </c>
      <c r="U20" s="11">
        <f t="shared" si="1"/>
        <v>0</v>
      </c>
      <c r="V20" s="11">
        <f t="shared" si="0"/>
        <v>0</v>
      </c>
      <c r="W20" s="12">
        <f t="shared" si="2"/>
        <v>481.54929577464787</v>
      </c>
      <c r="X20" s="12">
        <f>V20/[1]Manure!$I$2</f>
        <v>0</v>
      </c>
      <c r="Y20" s="12">
        <f>W20/[1]Manure!$I$2</f>
        <v>343.42710425425742</v>
      </c>
      <c r="Z20" s="12"/>
      <c r="AA20" s="12"/>
      <c r="AB20" s="11"/>
      <c r="AC20" s="11"/>
    </row>
    <row r="21" spans="1:29" ht="15.75" thickBot="1" x14ac:dyDescent="0.3">
      <c r="A21" s="13">
        <v>45320</v>
      </c>
      <c r="B21" s="7">
        <v>0.41666666666666669</v>
      </c>
      <c r="C21" s="7"/>
      <c r="D21" s="6"/>
      <c r="E21" s="6" t="s">
        <v>60</v>
      </c>
      <c r="F21" s="6">
        <v>30</v>
      </c>
      <c r="G21" s="8">
        <v>79030</v>
      </c>
      <c r="H21" s="82">
        <v>24.8</v>
      </c>
      <c r="I21" s="8">
        <v>26.3</v>
      </c>
      <c r="J21" s="19"/>
      <c r="K21" s="23"/>
      <c r="L21" s="23"/>
      <c r="M21" s="23"/>
      <c r="N21" s="23"/>
      <c r="O21" s="19"/>
      <c r="P21" s="19"/>
      <c r="Q21" s="22"/>
      <c r="R21" s="21"/>
      <c r="S21" s="10">
        <f t="shared" si="3"/>
        <v>24.8</v>
      </c>
      <c r="T21" s="11">
        <f t="shared" si="4"/>
        <v>964</v>
      </c>
      <c r="U21" s="11">
        <f t="shared" si="1"/>
        <v>0</v>
      </c>
      <c r="V21" s="11">
        <f t="shared" si="0"/>
        <v>0</v>
      </c>
      <c r="W21" s="12">
        <f t="shared" si="2"/>
        <v>883.72061786433846</v>
      </c>
      <c r="X21" s="12">
        <f>V21/[1]Manure!$I$2</f>
        <v>0</v>
      </c>
      <c r="Y21" s="12">
        <f>W21/[1]Manure!$I$2</f>
        <v>630.24412126844811</v>
      </c>
      <c r="Z21" s="12"/>
      <c r="AA21" s="12"/>
      <c r="AB21" s="11"/>
      <c r="AC21" s="11"/>
    </row>
    <row r="22" spans="1:29" ht="15.75" thickBot="1" x14ac:dyDescent="0.3">
      <c r="A22" s="13">
        <v>45321</v>
      </c>
      <c r="B22" s="7">
        <v>0.45833333333333331</v>
      </c>
      <c r="C22" s="7"/>
      <c r="D22" s="6"/>
      <c r="E22" s="6" t="s">
        <v>60</v>
      </c>
      <c r="F22" s="6">
        <v>30</v>
      </c>
      <c r="G22" s="8">
        <v>80105</v>
      </c>
      <c r="H22" s="82">
        <v>24.4</v>
      </c>
      <c r="I22" s="8">
        <v>26.4</v>
      </c>
      <c r="J22" s="19"/>
      <c r="K22" s="23"/>
      <c r="L22" s="23"/>
      <c r="M22" s="23"/>
      <c r="N22" s="23"/>
      <c r="O22" s="19"/>
      <c r="P22" s="19"/>
      <c r="Q22" s="22"/>
      <c r="R22" s="21"/>
      <c r="S22" s="10">
        <f t="shared" si="3"/>
        <v>24.4</v>
      </c>
      <c r="T22" s="11">
        <f t="shared" si="4"/>
        <v>1075</v>
      </c>
      <c r="U22" s="11">
        <f t="shared" si="1"/>
        <v>0</v>
      </c>
      <c r="V22" s="11">
        <f t="shared" si="0"/>
        <v>0</v>
      </c>
      <c r="W22" s="12">
        <f t="shared" si="2"/>
        <v>986.8022864828514</v>
      </c>
      <c r="X22" s="12">
        <f>V22/[1]Manure!$I$2</f>
        <v>0</v>
      </c>
      <c r="Y22" s="12">
        <f>W22/[1]Manure!$I$2</f>
        <v>703.75900181334578</v>
      </c>
      <c r="Z22" s="12"/>
      <c r="AA22" s="12"/>
      <c r="AB22" s="11"/>
      <c r="AC22" s="11"/>
    </row>
    <row r="23" spans="1:29" ht="15.75" thickBot="1" x14ac:dyDescent="0.3">
      <c r="A23" s="13">
        <v>45322</v>
      </c>
      <c r="B23" s="7">
        <v>0.47916666666666669</v>
      </c>
      <c r="C23" s="7"/>
      <c r="D23" s="6"/>
      <c r="E23" s="6" t="s">
        <v>60</v>
      </c>
      <c r="F23" s="6">
        <v>30</v>
      </c>
      <c r="G23" s="8">
        <v>80839</v>
      </c>
      <c r="H23" s="82">
        <v>22</v>
      </c>
      <c r="I23" s="8">
        <v>25.9</v>
      </c>
      <c r="J23" s="19"/>
      <c r="K23" s="20"/>
      <c r="L23" s="20"/>
      <c r="M23" s="20"/>
      <c r="N23" s="20"/>
      <c r="O23" s="19"/>
      <c r="P23" s="19"/>
      <c r="Q23" s="22"/>
      <c r="R23" s="21"/>
      <c r="S23" s="10">
        <f t="shared" si="3"/>
        <v>22</v>
      </c>
      <c r="T23" s="11">
        <f t="shared" si="4"/>
        <v>734</v>
      </c>
      <c r="U23" s="11">
        <f t="shared" si="1"/>
        <v>0</v>
      </c>
      <c r="V23" s="11">
        <f t="shared" si="0"/>
        <v>0</v>
      </c>
      <c r="W23" s="12">
        <f t="shared" si="2"/>
        <v>679.26101694915246</v>
      </c>
      <c r="X23" s="12">
        <f>V23/[1]Manure!$I$2</f>
        <v>0</v>
      </c>
      <c r="Y23" s="12">
        <f>W23/[1]Manure!$I$2</f>
        <v>484.42941590930434</v>
      </c>
      <c r="Z23" s="12"/>
      <c r="AA23" s="12"/>
      <c r="AB23" s="11"/>
      <c r="AC23" s="11"/>
    </row>
    <row r="24" spans="1:29" ht="15.75" thickBot="1" x14ac:dyDescent="0.3">
      <c r="A24" s="13">
        <v>45323</v>
      </c>
      <c r="B24" s="7">
        <v>0.41666666666666669</v>
      </c>
      <c r="C24" s="7"/>
      <c r="D24" s="6"/>
      <c r="E24" s="6" t="s">
        <v>60</v>
      </c>
      <c r="F24" s="6">
        <v>30</v>
      </c>
      <c r="G24" s="8">
        <v>81419</v>
      </c>
      <c r="H24" s="82">
        <v>30</v>
      </c>
      <c r="I24" s="8">
        <v>24.8</v>
      </c>
      <c r="J24" s="19"/>
      <c r="K24" s="20"/>
      <c r="L24" s="20"/>
      <c r="M24" s="20"/>
      <c r="N24" s="20"/>
      <c r="O24" s="19"/>
      <c r="P24" s="19"/>
      <c r="Q24" s="22"/>
      <c r="R24" s="21"/>
      <c r="S24" s="10">
        <f t="shared" si="3"/>
        <v>30</v>
      </c>
      <c r="T24" s="11">
        <f t="shared" si="4"/>
        <v>580</v>
      </c>
      <c r="U24" s="11">
        <f t="shared" si="1"/>
        <v>0</v>
      </c>
      <c r="V24" s="11">
        <f t="shared" si="0"/>
        <v>0</v>
      </c>
      <c r="W24" s="12">
        <f t="shared" si="2"/>
        <v>522.57425742574264</v>
      </c>
      <c r="X24" s="12">
        <f>V24/[1]Manure!$I$2</f>
        <v>0</v>
      </c>
      <c r="Y24" s="12">
        <f>W24/[1]Manure!$I$2</f>
        <v>372.68492667368992</v>
      </c>
      <c r="Z24" s="12"/>
      <c r="AA24" s="12"/>
      <c r="AB24" s="11"/>
      <c r="AC24" s="11"/>
    </row>
    <row r="25" spans="1:29" ht="15.75" thickBot="1" x14ac:dyDescent="0.3">
      <c r="A25" s="13">
        <v>45324</v>
      </c>
      <c r="B25" s="7">
        <v>0.48958333333333331</v>
      </c>
      <c r="C25" s="7"/>
      <c r="D25" s="6"/>
      <c r="E25" s="6" t="s">
        <v>60</v>
      </c>
      <c r="F25" s="6">
        <v>30</v>
      </c>
      <c r="G25" s="8">
        <v>82113</v>
      </c>
      <c r="H25" s="82">
        <v>29.1</v>
      </c>
      <c r="I25" s="8">
        <v>24.5</v>
      </c>
      <c r="J25" s="21"/>
      <c r="K25" s="24"/>
      <c r="L25" s="24"/>
      <c r="M25" s="24"/>
      <c r="N25" s="24"/>
      <c r="O25" s="21"/>
      <c r="P25" s="21"/>
      <c r="Q25" s="22"/>
      <c r="R25" s="21"/>
      <c r="S25" s="10">
        <f t="shared" si="3"/>
        <v>29.1</v>
      </c>
      <c r="T25" s="11">
        <f t="shared" si="4"/>
        <v>694</v>
      </c>
      <c r="U25" s="11">
        <f t="shared" si="1"/>
        <v>0</v>
      </c>
      <c r="V25" s="11">
        <f t="shared" si="0"/>
        <v>0</v>
      </c>
      <c r="W25" s="12">
        <f t="shared" si="2"/>
        <v>627.14995034756691</v>
      </c>
      <c r="X25" s="12">
        <f>V25/[1]Manure!$I$2</f>
        <v>0</v>
      </c>
      <c r="Y25" s="12">
        <f>W25/[1]Manure!$I$2</f>
        <v>447.26530237074297</v>
      </c>
      <c r="Z25" s="12"/>
      <c r="AA25" s="12"/>
      <c r="AB25" s="11"/>
      <c r="AC25" s="11"/>
    </row>
    <row r="26" spans="1:29" ht="15.75" thickBot="1" x14ac:dyDescent="0.3">
      <c r="A26" s="13">
        <v>45325</v>
      </c>
      <c r="B26" s="7">
        <v>0.41666666666666669</v>
      </c>
      <c r="C26" s="7"/>
      <c r="D26" s="6"/>
      <c r="E26" s="6" t="s">
        <v>60</v>
      </c>
      <c r="F26" s="6">
        <v>30</v>
      </c>
      <c r="G26" s="8">
        <v>82701</v>
      </c>
      <c r="H26" s="82">
        <v>23.9</v>
      </c>
      <c r="I26" s="8">
        <v>23.7</v>
      </c>
      <c r="J26" s="21"/>
      <c r="K26" s="24"/>
      <c r="L26" s="24"/>
      <c r="M26" s="24"/>
      <c r="N26" s="24"/>
      <c r="O26" s="21"/>
      <c r="P26" s="21"/>
      <c r="Q26" s="22"/>
      <c r="R26" s="21"/>
      <c r="S26" s="10">
        <f t="shared" si="3"/>
        <v>23.9</v>
      </c>
      <c r="T26" s="11">
        <f t="shared" si="4"/>
        <v>588</v>
      </c>
      <c r="U26" s="11">
        <f t="shared" si="1"/>
        <v>0</v>
      </c>
      <c r="V26" s="11">
        <f t="shared" si="0"/>
        <v>0</v>
      </c>
      <c r="W26" s="12">
        <f t="shared" si="2"/>
        <v>540.66689120916135</v>
      </c>
      <c r="X26" s="12">
        <f>V26/[1]Manure!$I$2</f>
        <v>0</v>
      </c>
      <c r="Y26" s="12">
        <f>W26/[1]Manure!$I$2</f>
        <v>385.58807258853722</v>
      </c>
      <c r="Z26" s="12"/>
      <c r="AA26" s="12"/>
      <c r="AB26" s="11"/>
      <c r="AC26" s="11"/>
    </row>
    <row r="27" spans="1:29" ht="15.75" thickBot="1" x14ac:dyDescent="0.3">
      <c r="A27" s="13">
        <v>45327</v>
      </c>
      <c r="B27" s="7">
        <v>0.41666666666666669</v>
      </c>
      <c r="C27" s="7"/>
      <c r="D27" s="6"/>
      <c r="E27" s="6" t="s">
        <v>60</v>
      </c>
      <c r="F27" s="6">
        <v>30</v>
      </c>
      <c r="G27" s="8">
        <v>83829</v>
      </c>
      <c r="H27" s="82">
        <v>27.5</v>
      </c>
      <c r="I27" s="8">
        <v>25.2</v>
      </c>
      <c r="J27" s="21"/>
      <c r="K27" s="24"/>
      <c r="L27" s="24"/>
      <c r="M27" s="24"/>
      <c r="N27" s="24"/>
      <c r="O27" s="21"/>
      <c r="P27" s="21"/>
      <c r="Q27" s="22"/>
      <c r="R27" s="21"/>
      <c r="S27" s="10">
        <f t="shared" si="3"/>
        <v>27.5</v>
      </c>
      <c r="T27" s="11">
        <f t="shared" si="4"/>
        <v>1128</v>
      </c>
      <c r="U27" s="11">
        <f t="shared" si="1"/>
        <v>0</v>
      </c>
      <c r="V27" s="11">
        <f t="shared" si="0"/>
        <v>0</v>
      </c>
      <c r="W27" s="12">
        <f t="shared" si="2"/>
        <v>1024.7720465890184</v>
      </c>
      <c r="X27" s="12">
        <f>V27/[1]Manure!$I$2</f>
        <v>0</v>
      </c>
      <c r="Y27" s="12">
        <f>W27/[1]Manure!$I$2</f>
        <v>730.83794238476355</v>
      </c>
      <c r="Z27" s="12"/>
      <c r="AA27" s="12"/>
      <c r="AB27" s="11"/>
      <c r="AC27" s="11"/>
    </row>
    <row r="28" spans="1:29" ht="15.75" thickBot="1" x14ac:dyDescent="0.3">
      <c r="A28" s="13">
        <v>45328</v>
      </c>
      <c r="B28" s="7">
        <v>0.46875</v>
      </c>
      <c r="C28" s="7"/>
      <c r="D28" s="6"/>
      <c r="E28" s="6" t="s">
        <v>60</v>
      </c>
      <c r="F28" s="6">
        <v>30</v>
      </c>
      <c r="G28" s="8">
        <v>84631</v>
      </c>
      <c r="H28" s="82">
        <v>21.7</v>
      </c>
      <c r="I28" s="8">
        <v>25.7</v>
      </c>
      <c r="J28" s="21"/>
      <c r="K28" s="24"/>
      <c r="L28" s="24"/>
      <c r="M28" s="24"/>
      <c r="N28" s="24"/>
      <c r="O28" s="21"/>
      <c r="P28" s="21"/>
      <c r="Q28" s="22"/>
      <c r="R28" s="21"/>
      <c r="S28" s="10">
        <f t="shared" si="3"/>
        <v>21.7</v>
      </c>
      <c r="T28" s="11">
        <f t="shared" si="4"/>
        <v>802</v>
      </c>
      <c r="U28" s="11">
        <f t="shared" si="1"/>
        <v>0</v>
      </c>
      <c r="V28" s="11">
        <f t="shared" si="0"/>
        <v>0</v>
      </c>
      <c r="W28" s="12">
        <f t="shared" si="2"/>
        <v>742.94536817102141</v>
      </c>
      <c r="X28" s="12">
        <f>V28/[1]Manure!$I$2</f>
        <v>0</v>
      </c>
      <c r="Y28" s="12">
        <f>W28/[1]Manure!$I$2</f>
        <v>529.84726309202051</v>
      </c>
      <c r="Z28" s="12"/>
      <c r="AA28" s="12"/>
      <c r="AB28" s="11"/>
      <c r="AC28" s="11"/>
    </row>
    <row r="29" spans="1:29" ht="15.75" thickBot="1" x14ac:dyDescent="0.3">
      <c r="A29" s="13">
        <v>45329</v>
      </c>
      <c r="B29" s="7">
        <v>0.41666666666666669</v>
      </c>
      <c r="C29" s="8"/>
      <c r="D29" s="6"/>
      <c r="E29" s="6" t="s">
        <v>60</v>
      </c>
      <c r="F29" s="6">
        <v>30</v>
      </c>
      <c r="G29" s="8">
        <v>85329</v>
      </c>
      <c r="H29" s="82">
        <v>28.1</v>
      </c>
      <c r="I29" s="8">
        <v>25.5</v>
      </c>
      <c r="J29" s="21"/>
      <c r="K29" s="24"/>
      <c r="L29" s="24"/>
      <c r="M29" s="24"/>
      <c r="N29" s="24"/>
      <c r="O29" s="21"/>
      <c r="P29" s="21"/>
      <c r="Q29" s="22"/>
      <c r="R29" s="21"/>
      <c r="S29" s="10">
        <f t="shared" si="3"/>
        <v>28.1</v>
      </c>
      <c r="T29" s="11">
        <f t="shared" si="4"/>
        <v>698</v>
      </c>
      <c r="U29" s="11">
        <f t="shared" si="1"/>
        <v>0</v>
      </c>
      <c r="V29" s="11">
        <f t="shared" si="0"/>
        <v>0</v>
      </c>
      <c r="W29" s="12">
        <f t="shared" si="2"/>
        <v>632.8595151112587</v>
      </c>
      <c r="X29" s="12">
        <f>V29/[1]Manure!$I$2</f>
        <v>0</v>
      </c>
      <c r="Y29" s="12">
        <f>W29/[1]Manure!$I$2</f>
        <v>451.33719970410431</v>
      </c>
      <c r="Z29" s="12"/>
      <c r="AA29" s="12"/>
      <c r="AB29" s="11"/>
      <c r="AC29" s="11"/>
    </row>
    <row r="30" spans="1:29" ht="15.75" thickBot="1" x14ac:dyDescent="0.3">
      <c r="A30" s="13">
        <v>45330</v>
      </c>
      <c r="B30" s="7">
        <v>0.42499999999999999</v>
      </c>
      <c r="C30" s="7"/>
      <c r="D30" s="6"/>
      <c r="E30" s="6" t="s">
        <v>60</v>
      </c>
      <c r="F30" s="6">
        <v>30</v>
      </c>
      <c r="G30" s="8">
        <v>85745</v>
      </c>
      <c r="H30" s="82">
        <v>25.5</v>
      </c>
      <c r="I30" s="8">
        <v>25.7</v>
      </c>
      <c r="J30" s="21"/>
      <c r="K30" s="24"/>
      <c r="L30" s="24"/>
      <c r="M30" s="24"/>
      <c r="N30" s="24"/>
      <c r="O30" s="21"/>
      <c r="P30" s="21"/>
      <c r="Q30" s="22"/>
      <c r="R30" s="21"/>
      <c r="S30" s="10">
        <f t="shared" si="3"/>
        <v>25.5</v>
      </c>
      <c r="T30" s="11">
        <f t="shared" si="4"/>
        <v>416</v>
      </c>
      <c r="U30" s="11">
        <f t="shared" si="1"/>
        <v>0</v>
      </c>
      <c r="V30" s="11">
        <f t="shared" si="0"/>
        <v>0</v>
      </c>
      <c r="W30" s="12">
        <f t="shared" si="2"/>
        <v>380.46231155778895</v>
      </c>
      <c r="X30" s="12">
        <f>V30/[1]Manure!$I$2</f>
        <v>0</v>
      </c>
      <c r="Y30" s="12">
        <f>W30/[1]Manure!$I$2</f>
        <v>271.33477524037005</v>
      </c>
      <c r="Z30" s="12"/>
      <c r="AA30" s="12"/>
      <c r="AB30" s="11"/>
      <c r="AC30" s="11"/>
    </row>
    <row r="31" spans="1:29" ht="15.75" thickBot="1" x14ac:dyDescent="0.3">
      <c r="A31" s="13">
        <v>45331</v>
      </c>
      <c r="B31" s="7">
        <v>0.4375</v>
      </c>
      <c r="C31" s="7"/>
      <c r="D31" s="6"/>
      <c r="E31" s="6" t="s">
        <v>60</v>
      </c>
      <c r="F31" s="6">
        <v>30</v>
      </c>
      <c r="G31" s="8">
        <v>86421</v>
      </c>
      <c r="H31" s="82">
        <v>23.3</v>
      </c>
      <c r="I31" s="8">
        <v>24.9</v>
      </c>
      <c r="J31" s="21"/>
      <c r="K31" s="24"/>
      <c r="L31" s="24"/>
      <c r="M31" s="24"/>
      <c r="N31" s="24"/>
      <c r="O31" s="21"/>
      <c r="P31" s="21"/>
      <c r="Q31" s="22"/>
      <c r="R31" s="21"/>
      <c r="S31" s="10">
        <f t="shared" si="3"/>
        <v>23.3</v>
      </c>
      <c r="T31" s="11">
        <f t="shared" si="4"/>
        <v>676</v>
      </c>
      <c r="U31" s="11">
        <f t="shared" si="1"/>
        <v>0</v>
      </c>
      <c r="V31" s="11">
        <f t="shared" si="0"/>
        <v>0</v>
      </c>
      <c r="W31" s="12">
        <f t="shared" si="2"/>
        <v>622.84171447856897</v>
      </c>
      <c r="X31" s="12">
        <f>V31/[1]Manure!$I$2</f>
        <v>0</v>
      </c>
      <c r="Y31" s="12">
        <f>W31/[1]Manure!$I$2</f>
        <v>444.19279249082678</v>
      </c>
      <c r="Z31" s="12"/>
      <c r="AA31" s="12"/>
      <c r="AB31" s="11"/>
      <c r="AC31" s="11"/>
    </row>
    <row r="32" spans="1:29" ht="15.75" thickBot="1" x14ac:dyDescent="0.3">
      <c r="A32" s="13">
        <v>45332</v>
      </c>
      <c r="B32" s="7">
        <v>0.41666666666666669</v>
      </c>
      <c r="C32" s="7"/>
      <c r="D32" s="6"/>
      <c r="E32" s="6" t="s">
        <v>60</v>
      </c>
      <c r="F32" s="6">
        <v>30</v>
      </c>
      <c r="G32" s="8">
        <v>87028</v>
      </c>
      <c r="H32" s="82">
        <v>27.5</v>
      </c>
      <c r="I32" s="8">
        <v>25.2</v>
      </c>
      <c r="J32" s="21"/>
      <c r="K32" s="24"/>
      <c r="L32" s="24"/>
      <c r="M32" s="24"/>
      <c r="N32" s="24"/>
      <c r="O32" s="21"/>
      <c r="P32" s="21"/>
      <c r="Q32" s="22"/>
      <c r="R32" s="21"/>
      <c r="S32" s="10">
        <f t="shared" si="3"/>
        <v>27.5</v>
      </c>
      <c r="T32" s="11">
        <f t="shared" si="4"/>
        <v>607</v>
      </c>
      <c r="U32" s="11">
        <f t="shared" si="1"/>
        <v>0</v>
      </c>
      <c r="V32" s="11">
        <f t="shared" si="0"/>
        <v>0</v>
      </c>
      <c r="W32" s="12">
        <f t="shared" si="2"/>
        <v>551.45091514143098</v>
      </c>
      <c r="X32" s="12">
        <f>V32/[1]Manure!$I$2</f>
        <v>0</v>
      </c>
      <c r="Y32" s="12">
        <f>W32/[1]Manure!$I$2</f>
        <v>393.27892821591439</v>
      </c>
      <c r="Z32" s="12"/>
      <c r="AA32" s="12"/>
      <c r="AB32" s="11"/>
      <c r="AC32" s="11"/>
    </row>
    <row r="33" spans="1:29" ht="15.75" thickBot="1" x14ac:dyDescent="0.3">
      <c r="A33" s="13">
        <v>45334</v>
      </c>
      <c r="B33" s="7">
        <v>0.41666666666666669</v>
      </c>
      <c r="C33" s="7"/>
      <c r="D33" s="6"/>
      <c r="E33" s="6" t="s">
        <v>60</v>
      </c>
      <c r="F33" s="6">
        <v>30</v>
      </c>
      <c r="G33" s="8">
        <v>87694</v>
      </c>
      <c r="H33" s="82">
        <v>30.3</v>
      </c>
      <c r="I33" s="8">
        <v>25.7</v>
      </c>
      <c r="J33" s="21"/>
      <c r="K33" s="24"/>
      <c r="L33" s="24"/>
      <c r="M33" s="24"/>
      <c r="N33" s="24"/>
      <c r="O33" s="21"/>
      <c r="P33" s="21"/>
      <c r="Q33" s="22"/>
      <c r="R33" s="21"/>
      <c r="S33" s="10">
        <f t="shared" si="3"/>
        <v>30.3</v>
      </c>
      <c r="T33" s="11">
        <f t="shared" si="4"/>
        <v>666</v>
      </c>
      <c r="U33" s="11">
        <f t="shared" si="1"/>
        <v>0</v>
      </c>
      <c r="V33" s="11">
        <f t="shared" si="0"/>
        <v>0</v>
      </c>
      <c r="W33" s="12">
        <f t="shared" si="2"/>
        <v>599.46587537091989</v>
      </c>
      <c r="X33" s="12">
        <f>V33/[1]Manure!$I$2</f>
        <v>0</v>
      </c>
      <c r="Y33" s="12">
        <f>W33/[1]Manure!$I$2</f>
        <v>427.52181652908394</v>
      </c>
      <c r="Z33" s="12"/>
      <c r="AA33" s="12"/>
      <c r="AB33" s="11"/>
      <c r="AC33" s="11"/>
    </row>
    <row r="34" spans="1:29" ht="15.75" thickBot="1" x14ac:dyDescent="0.3">
      <c r="A34" s="13">
        <v>45335</v>
      </c>
      <c r="B34" s="7">
        <v>0.41666666666666669</v>
      </c>
      <c r="C34" s="7"/>
      <c r="D34" s="6"/>
      <c r="E34" s="6" t="s">
        <v>60</v>
      </c>
      <c r="F34" s="6">
        <v>30</v>
      </c>
      <c r="G34" s="8">
        <v>88411</v>
      </c>
      <c r="H34" s="82">
        <v>29.4</v>
      </c>
      <c r="I34" s="8">
        <v>29.1</v>
      </c>
      <c r="J34" s="21"/>
      <c r="K34" s="25"/>
      <c r="L34" s="25"/>
      <c r="M34" s="25"/>
      <c r="N34" s="25"/>
      <c r="O34" s="21"/>
      <c r="P34" s="21"/>
      <c r="Q34" s="22"/>
      <c r="R34" s="21"/>
      <c r="S34" s="10">
        <f t="shared" si="3"/>
        <v>29.4</v>
      </c>
      <c r="T34" s="11">
        <f t="shared" si="4"/>
        <v>717</v>
      </c>
      <c r="U34" s="11">
        <f t="shared" si="1"/>
        <v>0</v>
      </c>
      <c r="V34" s="11">
        <f t="shared" si="0"/>
        <v>0</v>
      </c>
      <c r="W34" s="12">
        <f t="shared" si="2"/>
        <v>647.29166666666674</v>
      </c>
      <c r="X34" s="12">
        <f>V34/[1]Manure!$I$2</f>
        <v>0</v>
      </c>
      <c r="Y34" s="12">
        <f>W34/[1]Manure!$I$2</f>
        <v>461.62979500083134</v>
      </c>
      <c r="Z34" s="12"/>
      <c r="AA34" s="12"/>
      <c r="AB34" s="11"/>
      <c r="AC34" s="11"/>
    </row>
    <row r="35" spans="1:29" ht="15.75" thickBot="1" x14ac:dyDescent="0.3">
      <c r="A35" s="13">
        <v>45336</v>
      </c>
      <c r="B35" s="16">
        <v>0.41666666666666669</v>
      </c>
      <c r="C35" s="7"/>
      <c r="D35" s="6"/>
      <c r="E35" s="6" t="s">
        <v>60</v>
      </c>
      <c r="F35" s="6">
        <v>30</v>
      </c>
      <c r="G35" s="8">
        <v>89725</v>
      </c>
      <c r="H35" s="83">
        <v>28.5</v>
      </c>
      <c r="I35" s="17">
        <v>25</v>
      </c>
      <c r="J35" s="21"/>
      <c r="K35" s="25"/>
      <c r="L35" s="25"/>
      <c r="M35" s="25"/>
      <c r="N35" s="25"/>
      <c r="O35" s="21"/>
      <c r="P35" s="21"/>
      <c r="Q35" s="22"/>
      <c r="R35" s="21"/>
      <c r="S35" s="10">
        <f t="shared" si="3"/>
        <v>28.5</v>
      </c>
      <c r="T35" s="11">
        <f t="shared" si="4"/>
        <v>1314</v>
      </c>
      <c r="U35" s="11">
        <f t="shared" si="1"/>
        <v>0</v>
      </c>
      <c r="V35" s="11">
        <f t="shared" si="0"/>
        <v>0</v>
      </c>
      <c r="W35" s="12">
        <f t="shared" si="2"/>
        <v>1189.7910447761194</v>
      </c>
      <c r="X35" s="12">
        <f>V35/[1]Manure!$I$2</f>
        <v>0</v>
      </c>
      <c r="Y35" s="12">
        <f>W35/[1]Manure!$I$2</f>
        <v>848.52474452859974</v>
      </c>
      <c r="Z35" s="12"/>
      <c r="AA35" s="12"/>
      <c r="AB35" s="11"/>
      <c r="AC35" s="11"/>
    </row>
    <row r="36" spans="1:29" ht="15.75" thickBot="1" x14ac:dyDescent="0.3">
      <c r="A36" s="13">
        <v>45337</v>
      </c>
      <c r="B36" s="7">
        <v>0.41666666666666669</v>
      </c>
      <c r="C36" s="7"/>
      <c r="D36" s="6"/>
      <c r="E36" s="6" t="s">
        <v>60</v>
      </c>
      <c r="F36" s="6">
        <v>30</v>
      </c>
      <c r="G36" s="8">
        <v>90252</v>
      </c>
      <c r="H36" s="82">
        <v>25.2</v>
      </c>
      <c r="I36" s="8">
        <v>27.1</v>
      </c>
      <c r="J36" s="21"/>
      <c r="K36" s="25"/>
      <c r="L36" s="25"/>
      <c r="M36" s="25"/>
      <c r="N36" s="25"/>
      <c r="O36" s="21"/>
      <c r="P36" s="21"/>
      <c r="Q36" s="22"/>
      <c r="R36" s="21"/>
      <c r="S36" s="10">
        <f t="shared" si="3"/>
        <v>25.2</v>
      </c>
      <c r="T36" s="11">
        <f t="shared" si="4"/>
        <v>527</v>
      </c>
      <c r="U36" s="11">
        <f t="shared" si="1"/>
        <v>0</v>
      </c>
      <c r="V36" s="11">
        <f t="shared" si="0"/>
        <v>0</v>
      </c>
      <c r="W36" s="12">
        <f t="shared" si="2"/>
        <v>482.46478873239437</v>
      </c>
      <c r="X36" s="12">
        <f>V36/[1]Manure!$I$2</f>
        <v>0</v>
      </c>
      <c r="Y36" s="12">
        <f>W36/[1]Manure!$I$2</f>
        <v>344.08000749428453</v>
      </c>
      <c r="Z36" s="12"/>
      <c r="AA36" s="12"/>
      <c r="AB36" s="11"/>
      <c r="AC36" s="11"/>
    </row>
    <row r="37" spans="1:29" ht="15.75" thickBot="1" x14ac:dyDescent="0.3">
      <c r="A37" s="13">
        <v>45338</v>
      </c>
      <c r="B37" s="7">
        <v>0.41666666666666669</v>
      </c>
      <c r="C37" s="7"/>
      <c r="D37" s="6"/>
      <c r="E37" s="6" t="s">
        <v>60</v>
      </c>
      <c r="F37" s="6">
        <v>30</v>
      </c>
      <c r="G37" s="8">
        <v>91065</v>
      </c>
      <c r="H37" s="82">
        <v>30.9</v>
      </c>
      <c r="I37" s="8">
        <v>26.3</v>
      </c>
      <c r="J37" s="21"/>
      <c r="K37" s="25"/>
      <c r="L37" s="25"/>
      <c r="M37" s="25"/>
      <c r="N37" s="25"/>
      <c r="O37" s="21"/>
      <c r="P37" s="21"/>
      <c r="Q37" s="22"/>
      <c r="R37" s="21"/>
      <c r="S37" s="10">
        <f t="shared" si="3"/>
        <v>30.9</v>
      </c>
      <c r="T37" s="11">
        <f t="shared" si="4"/>
        <v>813</v>
      </c>
      <c r="U37" s="11">
        <f t="shared" si="1"/>
        <v>0</v>
      </c>
      <c r="V37" s="11">
        <f t="shared" si="0"/>
        <v>0</v>
      </c>
      <c r="W37" s="12">
        <f t="shared" si="2"/>
        <v>730.33563672260618</v>
      </c>
      <c r="X37" s="12">
        <f>V37/[1]Manure!$I$2</f>
        <v>0</v>
      </c>
      <c r="Y37" s="12">
        <f>W37/[1]Manure!$I$2</f>
        <v>520.85436538715146</v>
      </c>
      <c r="Z37" s="12"/>
      <c r="AA37" s="12"/>
      <c r="AB37" s="11"/>
      <c r="AC37" s="11"/>
    </row>
    <row r="38" spans="1:29" ht="15.75" thickBot="1" x14ac:dyDescent="0.3">
      <c r="A38" s="13">
        <v>45339</v>
      </c>
      <c r="B38" s="7">
        <v>0.41666666666666669</v>
      </c>
      <c r="C38" s="7"/>
      <c r="D38" s="6"/>
      <c r="E38" s="6" t="s">
        <v>60</v>
      </c>
      <c r="F38" s="6">
        <v>30</v>
      </c>
      <c r="G38" s="8">
        <v>91429</v>
      </c>
      <c r="H38" s="82">
        <v>37.5</v>
      </c>
      <c r="I38" s="8">
        <v>27.2</v>
      </c>
      <c r="J38" s="21"/>
      <c r="K38" s="25"/>
      <c r="L38" s="25"/>
      <c r="M38" s="25"/>
      <c r="N38" s="25"/>
      <c r="O38" s="21"/>
      <c r="P38" s="21"/>
      <c r="Q38" s="22"/>
      <c r="R38" s="21"/>
      <c r="S38" s="10">
        <f t="shared" si="3"/>
        <v>37.5</v>
      </c>
      <c r="T38" s="11">
        <f t="shared" si="4"/>
        <v>364</v>
      </c>
      <c r="U38" s="11">
        <f t="shared" si="1"/>
        <v>0</v>
      </c>
      <c r="V38" s="11">
        <f t="shared" si="0"/>
        <v>0</v>
      </c>
      <c r="W38" s="12">
        <f t="shared" si="2"/>
        <v>320.03864734299515</v>
      </c>
      <c r="X38" s="12">
        <f>V38/[1]Manure!$I$2</f>
        <v>0</v>
      </c>
      <c r="Y38" s="12">
        <f>W38/[1]Manure!$I$2</f>
        <v>228.24235622574602</v>
      </c>
      <c r="Z38" s="12"/>
      <c r="AA38" s="12"/>
      <c r="AB38" s="11"/>
      <c r="AC38" s="11"/>
    </row>
    <row r="39" spans="1:29" ht="15.75" thickBot="1" x14ac:dyDescent="0.3">
      <c r="A39" s="13">
        <v>45341</v>
      </c>
      <c r="B39" s="7">
        <v>0.41666666666666669</v>
      </c>
      <c r="C39" s="7"/>
      <c r="D39" s="6"/>
      <c r="E39" s="6" t="s">
        <v>60</v>
      </c>
      <c r="F39" s="6">
        <v>30</v>
      </c>
      <c r="G39" s="8">
        <v>92844</v>
      </c>
      <c r="H39" s="82">
        <v>28.2</v>
      </c>
      <c r="I39" s="8">
        <v>26.8</v>
      </c>
      <c r="J39" s="21"/>
      <c r="K39" s="25"/>
      <c r="L39" s="25"/>
      <c r="M39" s="25"/>
      <c r="N39" s="25"/>
      <c r="O39" s="21"/>
      <c r="P39" s="21"/>
      <c r="Q39" s="22"/>
      <c r="R39" s="21"/>
      <c r="S39" s="10">
        <f t="shared" si="3"/>
        <v>28.2</v>
      </c>
      <c r="T39" s="11">
        <f t="shared" si="4"/>
        <v>1415</v>
      </c>
      <c r="U39" s="11">
        <f t="shared" si="1"/>
        <v>0</v>
      </c>
      <c r="V39" s="11">
        <f t="shared" si="0"/>
        <v>0</v>
      </c>
      <c r="W39" s="12">
        <f t="shared" si="2"/>
        <v>1282.5199203187253</v>
      </c>
      <c r="X39" s="12">
        <f>V39/[1]Manure!$I$2</f>
        <v>0</v>
      </c>
      <c r="Y39" s="12">
        <f>W39/[1]Manure!$I$2</f>
        <v>914.65631088697626</v>
      </c>
      <c r="Z39" s="12"/>
      <c r="AA39" s="12"/>
      <c r="AB39" s="11"/>
      <c r="AC39" s="11"/>
    </row>
    <row r="40" spans="1:29" ht="15.75" thickBot="1" x14ac:dyDescent="0.3">
      <c r="A40" s="13">
        <v>45342</v>
      </c>
      <c r="B40" s="7">
        <v>0.41666666666666669</v>
      </c>
      <c r="C40" s="7"/>
      <c r="D40" s="6"/>
      <c r="E40" s="6" t="s">
        <v>60</v>
      </c>
      <c r="F40" s="6">
        <v>30</v>
      </c>
      <c r="G40" s="8">
        <v>94094</v>
      </c>
      <c r="H40" s="82">
        <v>26.4</v>
      </c>
      <c r="I40" s="8">
        <v>26.7</v>
      </c>
      <c r="J40" s="21"/>
      <c r="K40" s="25"/>
      <c r="L40" s="25"/>
      <c r="M40" s="25"/>
      <c r="N40" s="25"/>
      <c r="O40" s="21"/>
      <c r="P40" s="21"/>
      <c r="Q40" s="22"/>
      <c r="R40" s="21"/>
      <c r="S40" s="10">
        <f t="shared" si="3"/>
        <v>26.4</v>
      </c>
      <c r="T40" s="11">
        <f t="shared" si="4"/>
        <v>1250</v>
      </c>
      <c r="U40" s="11">
        <f t="shared" si="1"/>
        <v>0</v>
      </c>
      <c r="V40" s="11">
        <f t="shared" si="0"/>
        <v>0</v>
      </c>
      <c r="W40" s="12">
        <f t="shared" si="2"/>
        <v>1139.7795591182364</v>
      </c>
      <c r="X40" s="12">
        <f>V40/[1]Manure!$I$2</f>
        <v>0</v>
      </c>
      <c r="Y40" s="12">
        <f>W40/[1]Manure!$I$2</f>
        <v>812.85799171711255</v>
      </c>
      <c r="Z40" s="12"/>
      <c r="AA40" s="12"/>
      <c r="AB40" s="11"/>
      <c r="AC40" s="11"/>
    </row>
    <row r="41" spans="1:29" ht="15.75" thickBot="1" x14ac:dyDescent="0.3">
      <c r="A41" s="13">
        <v>45343</v>
      </c>
      <c r="B41" s="7">
        <v>0.41666666666666669</v>
      </c>
      <c r="C41" s="7"/>
      <c r="D41" s="6"/>
      <c r="E41" s="6" t="s">
        <v>60</v>
      </c>
      <c r="F41" s="6">
        <v>30</v>
      </c>
      <c r="G41" s="8">
        <v>95401</v>
      </c>
      <c r="H41" s="82">
        <v>24.4</v>
      </c>
      <c r="I41" s="8">
        <v>26.8</v>
      </c>
      <c r="J41" s="21"/>
      <c r="K41" s="25"/>
      <c r="L41" s="25"/>
      <c r="M41" s="25"/>
      <c r="N41" s="25"/>
      <c r="O41" s="21"/>
      <c r="P41" s="21"/>
      <c r="Q41" s="22"/>
      <c r="R41" s="21"/>
      <c r="S41" s="10">
        <f t="shared" si="3"/>
        <v>24.4</v>
      </c>
      <c r="T41" s="11">
        <f t="shared" si="4"/>
        <v>1307</v>
      </c>
      <c r="U41" s="11">
        <f t="shared" si="1"/>
        <v>0</v>
      </c>
      <c r="V41" s="11">
        <f t="shared" si="0"/>
        <v>0</v>
      </c>
      <c r="W41" s="12">
        <f t="shared" si="2"/>
        <v>1199.7679892400809</v>
      </c>
      <c r="X41" s="12">
        <f>V41/[1]Manure!$I$2</f>
        <v>0</v>
      </c>
      <c r="Y41" s="12">
        <f>W41/[1]Manure!$I$2</f>
        <v>855.6400142977144</v>
      </c>
      <c r="Z41" s="12"/>
      <c r="AA41" s="12"/>
      <c r="AB41" s="11"/>
      <c r="AC41" s="11"/>
    </row>
    <row r="42" spans="1:29" ht="15.75" thickBot="1" x14ac:dyDescent="0.3">
      <c r="A42" s="13">
        <v>45344</v>
      </c>
      <c r="B42" s="7">
        <v>0.41666666666666669</v>
      </c>
      <c r="C42" s="7"/>
      <c r="D42" s="6"/>
      <c r="E42" s="6" t="s">
        <v>60</v>
      </c>
      <c r="F42" s="6">
        <v>30</v>
      </c>
      <c r="G42" s="8">
        <v>96311</v>
      </c>
      <c r="H42" s="82">
        <v>23.7</v>
      </c>
      <c r="I42" s="8">
        <v>26.6</v>
      </c>
      <c r="J42" s="21"/>
      <c r="K42" s="25"/>
      <c r="L42" s="25"/>
      <c r="M42" s="25"/>
      <c r="N42" s="25"/>
      <c r="O42" s="21"/>
      <c r="P42" s="21"/>
      <c r="Q42" s="22"/>
      <c r="R42" s="21"/>
      <c r="S42" s="10">
        <f t="shared" si="3"/>
        <v>23.7</v>
      </c>
      <c r="T42" s="11">
        <f t="shared" si="4"/>
        <v>910</v>
      </c>
      <c r="U42" s="11">
        <f t="shared" si="1"/>
        <v>0</v>
      </c>
      <c r="V42" s="11">
        <f t="shared" si="0"/>
        <v>0</v>
      </c>
      <c r="W42" s="12">
        <f t="shared" si="2"/>
        <v>837.3104145601618</v>
      </c>
      <c r="X42" s="12">
        <f>V42/[1]Manure!$I$2</f>
        <v>0</v>
      </c>
      <c r="Y42" s="12">
        <f>W42/[1]Manure!$I$2</f>
        <v>597.14569942782396</v>
      </c>
      <c r="Z42" s="12"/>
      <c r="AA42" s="12"/>
      <c r="AB42" s="11"/>
      <c r="AC42" s="11"/>
    </row>
    <row r="43" spans="1:29" ht="15.75" thickBot="1" x14ac:dyDescent="0.3">
      <c r="A43" s="13">
        <v>45345</v>
      </c>
      <c r="B43" s="7">
        <v>0.41666666666666669</v>
      </c>
      <c r="C43" s="7"/>
      <c r="D43" s="6"/>
      <c r="E43" s="6" t="s">
        <v>60</v>
      </c>
      <c r="F43" s="6">
        <v>30</v>
      </c>
      <c r="G43" s="8">
        <v>96688</v>
      </c>
      <c r="H43" s="82">
        <v>23.5</v>
      </c>
      <c r="I43" s="8">
        <v>24.6</v>
      </c>
      <c r="J43" s="21"/>
      <c r="K43" s="25"/>
      <c r="L43" s="25"/>
      <c r="M43" s="25"/>
      <c r="N43" s="25"/>
      <c r="O43" s="21"/>
      <c r="P43" s="21"/>
      <c r="Q43" s="22"/>
      <c r="R43" s="21"/>
      <c r="S43" s="10">
        <f t="shared" si="3"/>
        <v>23.5</v>
      </c>
      <c r="T43" s="11">
        <f t="shared" si="4"/>
        <v>377</v>
      </c>
      <c r="U43" s="11">
        <f t="shared" si="1"/>
        <v>0</v>
      </c>
      <c r="V43" s="11">
        <f t="shared" si="0"/>
        <v>0</v>
      </c>
      <c r="W43" s="12">
        <f t="shared" si="2"/>
        <v>347.11973018549747</v>
      </c>
      <c r="X43" s="12">
        <f>V43/[1]Manure!$I$2</f>
        <v>0</v>
      </c>
      <c r="Y43" s="12">
        <f>W43/[1]Manure!$I$2</f>
        <v>247.555805424564</v>
      </c>
      <c r="Z43" s="12"/>
      <c r="AA43" s="12"/>
      <c r="AB43" s="11"/>
      <c r="AC43" s="11"/>
    </row>
    <row r="44" spans="1:29" ht="15.75" thickBot="1" x14ac:dyDescent="0.3">
      <c r="A44" s="13">
        <v>45346</v>
      </c>
      <c r="B44" s="7">
        <v>0.41666666666666669</v>
      </c>
      <c r="C44" s="7"/>
      <c r="D44" s="6"/>
      <c r="E44" s="6" t="s">
        <v>60</v>
      </c>
      <c r="F44" s="6">
        <v>30</v>
      </c>
      <c r="G44" s="8">
        <v>97153</v>
      </c>
      <c r="H44" s="82">
        <v>23.3</v>
      </c>
      <c r="I44" s="8">
        <v>24.1</v>
      </c>
      <c r="J44" s="21"/>
      <c r="K44" s="25"/>
      <c r="L44" s="25"/>
      <c r="M44" s="25"/>
      <c r="N44" s="25"/>
      <c r="O44" s="21"/>
      <c r="P44" s="21"/>
      <c r="Q44" s="22"/>
      <c r="R44" s="21"/>
      <c r="S44" s="10">
        <f t="shared" si="3"/>
        <v>23.3</v>
      </c>
      <c r="T44" s="11">
        <f t="shared" si="4"/>
        <v>465</v>
      </c>
      <c r="U44" s="11">
        <f t="shared" si="1"/>
        <v>0</v>
      </c>
      <c r="V44" s="11">
        <f t="shared" si="0"/>
        <v>0</v>
      </c>
      <c r="W44" s="12">
        <f t="shared" si="2"/>
        <v>428.43401957475527</v>
      </c>
      <c r="X44" s="12">
        <f>V44/[1]Manure!$I$2</f>
        <v>0</v>
      </c>
      <c r="Y44" s="12">
        <f>W44/[1]Manure!$I$2</f>
        <v>305.54681731987347</v>
      </c>
      <c r="Z44" s="12"/>
      <c r="AA44" s="12"/>
      <c r="AB44" s="11"/>
      <c r="AC44" s="11"/>
    </row>
    <row r="45" spans="1:29" ht="15.75" thickBot="1" x14ac:dyDescent="0.3">
      <c r="A45" s="13">
        <v>45348</v>
      </c>
      <c r="B45" s="7">
        <v>0.41666666666666669</v>
      </c>
      <c r="C45" s="7"/>
      <c r="D45" s="6"/>
      <c r="E45" s="6" t="s">
        <v>60</v>
      </c>
      <c r="F45" s="6">
        <v>30</v>
      </c>
      <c r="G45" s="8">
        <v>98310</v>
      </c>
      <c r="H45" s="82">
        <v>28</v>
      </c>
      <c r="I45" s="8">
        <v>22.5</v>
      </c>
      <c r="J45" s="21"/>
      <c r="K45" s="25"/>
      <c r="L45" s="25"/>
      <c r="M45" s="25"/>
      <c r="N45" s="25"/>
      <c r="O45" s="21"/>
      <c r="P45" s="21"/>
      <c r="Q45" s="22"/>
      <c r="R45" s="21"/>
      <c r="S45" s="10">
        <f t="shared" si="3"/>
        <v>28</v>
      </c>
      <c r="T45" s="11">
        <f t="shared" si="4"/>
        <v>1157</v>
      </c>
      <c r="U45" s="11">
        <f t="shared" si="1"/>
        <v>0</v>
      </c>
      <c r="V45" s="11">
        <f t="shared" si="0"/>
        <v>0</v>
      </c>
      <c r="W45" s="12">
        <f t="shared" si="2"/>
        <v>1049.3720930232557</v>
      </c>
      <c r="X45" s="12">
        <f>V45/[1]Manure!$I$2</f>
        <v>0</v>
      </c>
      <c r="Y45" s="12">
        <f>W45/[1]Manure!$I$2</f>
        <v>748.38198779311563</v>
      </c>
      <c r="Z45" s="12"/>
      <c r="AA45" s="12"/>
      <c r="AB45" s="11"/>
      <c r="AC45" s="11"/>
    </row>
    <row r="46" spans="1:29" ht="15.75" thickBot="1" x14ac:dyDescent="0.3">
      <c r="A46" s="13">
        <v>45349</v>
      </c>
      <c r="B46" s="7">
        <v>0.41666666666666669</v>
      </c>
      <c r="C46" s="7"/>
      <c r="D46" s="6"/>
      <c r="E46" s="6" t="s">
        <v>60</v>
      </c>
      <c r="F46" s="6">
        <v>30</v>
      </c>
      <c r="G46" s="8">
        <v>99684</v>
      </c>
      <c r="H46" s="82">
        <v>27</v>
      </c>
      <c r="I46" s="8">
        <v>24.7</v>
      </c>
      <c r="J46" s="21"/>
      <c r="K46" s="25"/>
      <c r="L46" s="25"/>
      <c r="M46" s="25"/>
      <c r="N46" s="25"/>
      <c r="O46" s="21"/>
      <c r="P46" s="21"/>
      <c r="Q46" s="22"/>
      <c r="R46" s="21"/>
      <c r="S46" s="10">
        <f t="shared" si="3"/>
        <v>27</v>
      </c>
      <c r="T46" s="11">
        <f t="shared" si="4"/>
        <v>1374</v>
      </c>
      <c r="U46" s="11">
        <f t="shared" si="1"/>
        <v>0</v>
      </c>
      <c r="V46" s="11">
        <f t="shared" si="0"/>
        <v>0</v>
      </c>
      <c r="W46" s="12">
        <f t="shared" si="2"/>
        <v>1250.3400000000001</v>
      </c>
      <c r="X46" s="12">
        <f>V46/[1]Manure!$I$2</f>
        <v>0</v>
      </c>
      <c r="Y46" s="12">
        <f>W46/[1]Manure!$I$2</f>
        <v>891.70651748645946</v>
      </c>
      <c r="Z46" s="12"/>
      <c r="AA46" s="12"/>
      <c r="AB46" s="11"/>
      <c r="AC46" s="11"/>
    </row>
    <row r="47" spans="1:29" ht="15.75" thickBot="1" x14ac:dyDescent="0.3">
      <c r="A47" s="13">
        <v>45350</v>
      </c>
      <c r="B47" s="7">
        <v>0.41666666666666669</v>
      </c>
      <c r="C47" s="7"/>
      <c r="D47" s="6"/>
      <c r="E47" s="6" t="s">
        <v>60</v>
      </c>
      <c r="F47" s="6">
        <v>30</v>
      </c>
      <c r="G47" s="8">
        <v>100426</v>
      </c>
      <c r="H47" s="82">
        <v>27.1</v>
      </c>
      <c r="I47" s="8">
        <v>23.5</v>
      </c>
      <c r="J47" s="21"/>
      <c r="K47" s="25"/>
      <c r="L47" s="25"/>
      <c r="M47" s="25"/>
      <c r="N47" s="25"/>
      <c r="O47" s="21"/>
      <c r="P47" s="21"/>
      <c r="Q47" s="22"/>
      <c r="R47" s="21"/>
      <c r="S47" s="10">
        <f t="shared" si="3"/>
        <v>27.1</v>
      </c>
      <c r="T47" s="11">
        <f t="shared" si="4"/>
        <v>742</v>
      </c>
      <c r="U47" s="11">
        <f t="shared" si="1"/>
        <v>0</v>
      </c>
      <c r="V47" s="11">
        <f t="shared" si="0"/>
        <v>0</v>
      </c>
      <c r="W47" s="12">
        <f t="shared" si="2"/>
        <v>674.99500166611131</v>
      </c>
      <c r="X47" s="12">
        <f>V47/[1]Manure!$I$2</f>
        <v>0</v>
      </c>
      <c r="Y47" s="12">
        <f>W47/[1]Manure!$I$2</f>
        <v>481.38701653666595</v>
      </c>
      <c r="Z47" s="12"/>
      <c r="AA47" s="12"/>
      <c r="AB47" s="11"/>
      <c r="AC47" s="11"/>
    </row>
    <row r="48" spans="1:29" ht="15.75" thickBot="1" x14ac:dyDescent="0.3">
      <c r="A48" s="13">
        <v>45351</v>
      </c>
      <c r="B48" s="7">
        <v>0.41666666666666669</v>
      </c>
      <c r="C48" s="7"/>
      <c r="D48" s="6"/>
      <c r="E48" s="6" t="s">
        <v>60</v>
      </c>
      <c r="F48" s="6">
        <v>30</v>
      </c>
      <c r="G48" s="8">
        <v>100834</v>
      </c>
      <c r="H48" s="82">
        <v>30.6</v>
      </c>
      <c r="I48" s="8">
        <v>24.7</v>
      </c>
      <c r="J48" s="21"/>
      <c r="K48" s="25"/>
      <c r="L48" s="25"/>
      <c r="M48" s="25"/>
      <c r="N48" s="25"/>
      <c r="O48" s="21"/>
      <c r="P48" s="21"/>
      <c r="Q48" s="22"/>
      <c r="R48" s="21"/>
      <c r="S48" s="10">
        <f t="shared" si="3"/>
        <v>30.6</v>
      </c>
      <c r="T48" s="11">
        <f t="shared" si="4"/>
        <v>408</v>
      </c>
      <c r="U48" s="11">
        <f t="shared" si="1"/>
        <v>0</v>
      </c>
      <c r="V48" s="11">
        <f t="shared" si="0"/>
        <v>0</v>
      </c>
      <c r="W48" s="12">
        <f t="shared" si="2"/>
        <v>366.87747035573119</v>
      </c>
      <c r="X48" s="12">
        <f>V48/[1]Manure!$I$2</f>
        <v>0</v>
      </c>
      <c r="Y48" s="12">
        <f>W48/[1]Manure!$I$2</f>
        <v>261.64645731173181</v>
      </c>
      <c r="Z48" s="12"/>
      <c r="AA48" s="12"/>
      <c r="AB48" s="11"/>
      <c r="AC48" s="11"/>
    </row>
    <row r="49" spans="1:29" ht="15.75" thickBot="1" x14ac:dyDescent="0.3">
      <c r="A49" s="13">
        <v>45352</v>
      </c>
      <c r="B49" s="7">
        <v>0.41666666666666669</v>
      </c>
      <c r="C49" s="7"/>
      <c r="D49" s="6"/>
      <c r="E49" s="6" t="s">
        <v>60</v>
      </c>
      <c r="F49" s="6">
        <v>30</v>
      </c>
      <c r="G49" s="8">
        <v>101365</v>
      </c>
      <c r="H49" s="82">
        <v>29.1</v>
      </c>
      <c r="I49" s="8">
        <v>24.5</v>
      </c>
      <c r="J49" s="21"/>
      <c r="K49" s="25"/>
      <c r="L49" s="25"/>
      <c r="M49" s="25"/>
      <c r="N49" s="25"/>
      <c r="O49" s="21"/>
      <c r="P49" s="21"/>
      <c r="Q49" s="22"/>
      <c r="R49" s="21"/>
      <c r="S49" s="10">
        <f t="shared" si="3"/>
        <v>29.1</v>
      </c>
      <c r="T49" s="11">
        <f t="shared" si="4"/>
        <v>531</v>
      </c>
      <c r="U49" s="11">
        <f t="shared" si="1"/>
        <v>0</v>
      </c>
      <c r="V49" s="11">
        <f t="shared" si="0"/>
        <v>0</v>
      </c>
      <c r="W49" s="12">
        <f t="shared" si="2"/>
        <v>479.8510427010923</v>
      </c>
      <c r="X49" s="12">
        <f>V49/[1]Manure!$I$2</f>
        <v>0</v>
      </c>
      <c r="Y49" s="12">
        <f>W49/[1]Manure!$I$2</f>
        <v>342.21595901853681</v>
      </c>
      <c r="Z49" s="12"/>
      <c r="AA49" s="12"/>
      <c r="AB49" s="11"/>
      <c r="AC49" s="11"/>
    </row>
    <row r="50" spans="1:29" ht="15.75" thickBot="1" x14ac:dyDescent="0.3">
      <c r="A50" s="13">
        <v>45353</v>
      </c>
      <c r="B50" s="7">
        <v>0.41666666666666669</v>
      </c>
      <c r="C50" s="7"/>
      <c r="D50" s="6"/>
      <c r="E50" s="6" t="s">
        <v>60</v>
      </c>
      <c r="F50" s="6">
        <v>30</v>
      </c>
      <c r="G50" s="8">
        <v>102062</v>
      </c>
      <c r="H50" s="82">
        <v>27.8</v>
      </c>
      <c r="I50" s="8">
        <v>24.2</v>
      </c>
      <c r="J50" s="21"/>
      <c r="K50" s="25"/>
      <c r="L50" s="25"/>
      <c r="M50" s="25"/>
      <c r="N50" s="25"/>
      <c r="O50" s="21"/>
      <c r="P50" s="21"/>
      <c r="Q50" s="22"/>
      <c r="R50" s="21"/>
      <c r="S50" s="10">
        <f t="shared" si="3"/>
        <v>27.8</v>
      </c>
      <c r="T50" s="11">
        <f t="shared" si="4"/>
        <v>697</v>
      </c>
      <c r="U50" s="11">
        <f t="shared" si="1"/>
        <v>0</v>
      </c>
      <c r="V50" s="11">
        <f t="shared" si="0"/>
        <v>0</v>
      </c>
      <c r="W50" s="12">
        <f t="shared" si="2"/>
        <v>632.58311170212767</v>
      </c>
      <c r="X50" s="12">
        <f>V50/[1]Manure!$I$2</f>
        <v>0</v>
      </c>
      <c r="Y50" s="12">
        <f>W50/[1]Manure!$I$2</f>
        <v>451.14007674444724</v>
      </c>
      <c r="Z50" s="12"/>
      <c r="AA50" s="12"/>
      <c r="AB50" s="11"/>
      <c r="AC50" s="11"/>
    </row>
    <row r="51" spans="1:29" ht="15.75" thickBot="1" x14ac:dyDescent="0.3">
      <c r="A51" s="13">
        <v>45355</v>
      </c>
      <c r="B51" s="7">
        <v>0.41666666666666669</v>
      </c>
      <c r="C51" s="7"/>
      <c r="D51" s="6"/>
      <c r="E51" s="6" t="s">
        <v>60</v>
      </c>
      <c r="F51" s="6">
        <v>30</v>
      </c>
      <c r="G51" s="8">
        <v>102743</v>
      </c>
      <c r="H51" s="6">
        <v>27.3</v>
      </c>
      <c r="I51" s="8">
        <v>26.2</v>
      </c>
      <c r="J51" s="21"/>
      <c r="K51" s="25"/>
      <c r="L51" s="25"/>
      <c r="M51" s="25"/>
      <c r="N51" s="25"/>
      <c r="O51" s="21"/>
      <c r="P51" s="75">
        <v>0.56100000000000005</v>
      </c>
      <c r="Q51" s="77">
        <v>0.46500000000000002</v>
      </c>
      <c r="R51" s="21"/>
      <c r="S51" s="10">
        <f t="shared" si="3"/>
        <v>27.3</v>
      </c>
      <c r="T51" s="11">
        <f t="shared" si="4"/>
        <v>681</v>
      </c>
      <c r="U51" s="11">
        <f t="shared" si="1"/>
        <v>3.8204100000000003</v>
      </c>
      <c r="V51" s="11">
        <f t="shared" si="0"/>
        <v>3.4731000000000001</v>
      </c>
      <c r="W51" s="12">
        <f t="shared" si="2"/>
        <v>619.09090909090912</v>
      </c>
      <c r="X51" s="12">
        <f>V51/[1]Manure!$I$2</f>
        <v>2.4769150038247374</v>
      </c>
      <c r="Y51" s="12">
        <f>W51/[1]Manure!$I$2</f>
        <v>441.51782599371433</v>
      </c>
      <c r="Z51" s="12"/>
      <c r="AA51" s="12"/>
      <c r="AB51" s="11"/>
      <c r="AC51" s="11"/>
    </row>
    <row r="52" spans="1:29" ht="15.75" thickBot="1" x14ac:dyDescent="0.3">
      <c r="A52" s="13">
        <v>45356</v>
      </c>
      <c r="B52" s="7">
        <v>0.41666666666666669</v>
      </c>
      <c r="C52" s="7"/>
      <c r="D52" s="6"/>
      <c r="E52" s="6" t="s">
        <v>60</v>
      </c>
      <c r="F52" s="6">
        <v>30</v>
      </c>
      <c r="G52" s="8">
        <v>104276</v>
      </c>
      <c r="H52" s="6">
        <v>26.9</v>
      </c>
      <c r="I52" s="8">
        <v>25.2</v>
      </c>
      <c r="J52" s="21"/>
      <c r="K52" s="25"/>
      <c r="L52" s="25"/>
      <c r="M52" s="25"/>
      <c r="N52" s="25"/>
      <c r="O52" s="21"/>
      <c r="P52" s="21"/>
      <c r="Q52" s="22"/>
      <c r="R52" s="21"/>
      <c r="S52" s="10">
        <f t="shared" si="3"/>
        <v>26.9</v>
      </c>
      <c r="T52" s="95">
        <f t="shared" si="4"/>
        <v>1533</v>
      </c>
      <c r="U52" s="11">
        <f t="shared" si="1"/>
        <v>0</v>
      </c>
      <c r="V52" s="11">
        <f t="shared" si="0"/>
        <v>0</v>
      </c>
      <c r="W52" s="96">
        <f t="shared" si="2"/>
        <v>1395.4951650550183</v>
      </c>
      <c r="X52" s="12">
        <f>V52/[1]Manure!$I$2</f>
        <v>0</v>
      </c>
      <c r="Y52" s="12">
        <f>W52/[1]Manure!$I$2</f>
        <v>995.22700529488145</v>
      </c>
      <c r="Z52" s="12"/>
      <c r="AA52" s="12"/>
      <c r="AB52" s="11"/>
      <c r="AC52" s="11"/>
    </row>
    <row r="53" spans="1:29" ht="15.75" thickBot="1" x14ac:dyDescent="0.3">
      <c r="A53" s="13">
        <v>45357</v>
      </c>
      <c r="B53" s="7">
        <v>0.41666666666666669</v>
      </c>
      <c r="C53" s="7"/>
      <c r="D53" s="6"/>
      <c r="E53" s="6" t="s">
        <v>60</v>
      </c>
      <c r="F53" s="6">
        <v>30</v>
      </c>
      <c r="G53" s="8">
        <v>104835</v>
      </c>
      <c r="H53" s="6">
        <v>27.1</v>
      </c>
      <c r="I53" s="8">
        <v>23.9</v>
      </c>
      <c r="J53" s="21"/>
      <c r="K53" s="25"/>
      <c r="L53" s="25"/>
      <c r="M53" s="25"/>
      <c r="N53" s="25"/>
      <c r="O53" s="21"/>
      <c r="P53" s="21"/>
      <c r="Q53" s="22"/>
      <c r="R53" s="21"/>
      <c r="S53" s="10">
        <f t="shared" si="3"/>
        <v>27.1</v>
      </c>
      <c r="T53" s="95">
        <f t="shared" si="4"/>
        <v>559</v>
      </c>
      <c r="U53" s="11">
        <f t="shared" si="1"/>
        <v>0</v>
      </c>
      <c r="V53" s="11">
        <f t="shared" si="0"/>
        <v>0</v>
      </c>
      <c r="W53" s="96">
        <f t="shared" si="2"/>
        <v>508.52049316894363</v>
      </c>
      <c r="X53" s="12">
        <f>V53/[1]Manure!$I$2</f>
        <v>0</v>
      </c>
      <c r="Y53" s="12">
        <f>W53/[1]Manure!$I$2</f>
        <v>362.66218631266338</v>
      </c>
      <c r="Z53" s="12"/>
      <c r="AA53" s="12"/>
      <c r="AB53" s="11"/>
      <c r="AC53" s="11"/>
    </row>
    <row r="54" spans="1:29" ht="15.75" thickBot="1" x14ac:dyDescent="0.3">
      <c r="A54" s="13">
        <v>45358</v>
      </c>
      <c r="B54" s="7">
        <v>0.41666666666666669</v>
      </c>
      <c r="C54" s="7"/>
      <c r="D54" s="6"/>
      <c r="E54" s="6" t="s">
        <v>60</v>
      </c>
      <c r="F54" s="6">
        <v>30</v>
      </c>
      <c r="G54" s="8">
        <v>104917</v>
      </c>
      <c r="H54" s="6">
        <v>27.6</v>
      </c>
      <c r="I54" s="8">
        <v>24.2</v>
      </c>
      <c r="J54" s="21"/>
      <c r="K54" s="25"/>
      <c r="L54" s="25"/>
      <c r="M54" s="25"/>
      <c r="N54" s="25"/>
      <c r="O54" s="21"/>
      <c r="P54" s="21"/>
      <c r="Q54" s="22"/>
      <c r="R54" s="21"/>
      <c r="S54" s="10">
        <f t="shared" si="3"/>
        <v>27.6</v>
      </c>
      <c r="T54" s="95">
        <f t="shared" si="4"/>
        <v>82</v>
      </c>
      <c r="U54" s="11">
        <f t="shared" si="1"/>
        <v>0</v>
      </c>
      <c r="V54" s="11">
        <f t="shared" si="0"/>
        <v>0</v>
      </c>
      <c r="W54" s="96">
        <f t="shared" si="2"/>
        <v>74.471057884231527</v>
      </c>
      <c r="X54" s="12">
        <f>V54/[1]Manure!$I$2</f>
        <v>0</v>
      </c>
      <c r="Y54" s="12">
        <f>W54/[1]Manure!$I$2</f>
        <v>53.110616056017264</v>
      </c>
      <c r="Z54" s="12"/>
      <c r="AA54" s="12"/>
      <c r="AB54" s="11"/>
      <c r="AC54" s="11"/>
    </row>
    <row r="55" spans="1:29" ht="15.75" thickBot="1" x14ac:dyDescent="0.3">
      <c r="A55" s="13">
        <v>45359</v>
      </c>
      <c r="B55" s="16">
        <v>0.41666666666666669</v>
      </c>
      <c r="C55" s="7"/>
      <c r="D55" s="6"/>
      <c r="E55" s="6" t="s">
        <v>60</v>
      </c>
      <c r="F55" s="6">
        <v>30</v>
      </c>
      <c r="G55" s="8">
        <v>105332</v>
      </c>
      <c r="H55" s="6">
        <v>28.5</v>
      </c>
      <c r="I55" s="8">
        <v>24.8</v>
      </c>
      <c r="J55" s="21"/>
      <c r="K55" s="25"/>
      <c r="L55" s="25"/>
      <c r="M55" s="25"/>
      <c r="N55" s="25"/>
      <c r="O55" s="21"/>
      <c r="P55" s="21"/>
      <c r="Q55" s="22"/>
      <c r="R55" s="21"/>
      <c r="S55" s="10">
        <f t="shared" si="3"/>
        <v>28.5</v>
      </c>
      <c r="T55" s="95">
        <f t="shared" si="4"/>
        <v>415</v>
      </c>
      <c r="U55" s="11">
        <f t="shared" si="1"/>
        <v>0</v>
      </c>
      <c r="V55" s="11">
        <f t="shared" si="0"/>
        <v>0</v>
      </c>
      <c r="W55" s="96">
        <f t="shared" si="2"/>
        <v>375.77114427860698</v>
      </c>
      <c r="X55" s="12">
        <f>V55/[1]Manure!$I$2</f>
        <v>0</v>
      </c>
      <c r="Y55" s="12">
        <f>W55/[1]Manure!$I$2</f>
        <v>267.98916969510572</v>
      </c>
      <c r="Z55" s="12"/>
      <c r="AA55" s="12"/>
      <c r="AB55" s="11"/>
      <c r="AC55" s="11"/>
    </row>
    <row r="56" spans="1:29" ht="15.75" thickBot="1" x14ac:dyDescent="0.3">
      <c r="A56" s="13">
        <v>45360</v>
      </c>
      <c r="B56" s="7">
        <v>0.41666666666666669</v>
      </c>
      <c r="C56" s="7"/>
      <c r="D56" s="6"/>
      <c r="E56" s="6" t="s">
        <v>60</v>
      </c>
      <c r="F56" s="6">
        <v>30</v>
      </c>
      <c r="G56" s="8">
        <v>106237</v>
      </c>
      <c r="H56" s="6">
        <v>26.9</v>
      </c>
      <c r="I56" s="8">
        <v>23.9</v>
      </c>
      <c r="J56" s="21"/>
      <c r="K56" s="25"/>
      <c r="L56" s="25"/>
      <c r="M56" s="25"/>
      <c r="N56" s="25"/>
      <c r="O56" s="21"/>
      <c r="P56" s="21"/>
      <c r="Q56" s="22"/>
      <c r="R56" s="21"/>
      <c r="S56" s="10">
        <f t="shared" si="3"/>
        <v>26.9</v>
      </c>
      <c r="T56" s="95">
        <f t="shared" si="4"/>
        <v>905</v>
      </c>
      <c r="U56" s="11">
        <f t="shared" si="1"/>
        <v>0</v>
      </c>
      <c r="V56" s="11">
        <f t="shared" si="0"/>
        <v>0</v>
      </c>
      <c r="W56" s="96">
        <f t="shared" si="2"/>
        <v>823.82460820273423</v>
      </c>
      <c r="X56" s="12">
        <f>V56/[1]Manure!$I$2</f>
        <v>0</v>
      </c>
      <c r="Y56" s="12">
        <f>W56/[1]Manure!$I$2</f>
        <v>587.52801030128353</v>
      </c>
      <c r="Z56" s="12"/>
      <c r="AA56" s="12"/>
      <c r="AB56" s="11"/>
      <c r="AC56" s="11"/>
    </row>
    <row r="57" spans="1:29" ht="15.75" thickBot="1" x14ac:dyDescent="0.3">
      <c r="A57" s="13">
        <v>45362</v>
      </c>
      <c r="B57" s="7">
        <v>0.41666666666666669</v>
      </c>
      <c r="C57" s="7"/>
      <c r="D57" s="6"/>
      <c r="E57" s="6" t="s">
        <v>60</v>
      </c>
      <c r="F57" s="6">
        <v>30</v>
      </c>
      <c r="G57" s="8">
        <v>106948</v>
      </c>
      <c r="H57" s="6">
        <v>28.7</v>
      </c>
      <c r="I57" s="8">
        <v>25.5</v>
      </c>
      <c r="J57" s="21"/>
      <c r="K57" s="25"/>
      <c r="L57" s="25"/>
      <c r="M57" s="25"/>
      <c r="N57" s="25"/>
      <c r="O57" s="21"/>
      <c r="P57" s="21"/>
      <c r="Q57" s="22"/>
      <c r="R57" s="21"/>
      <c r="S57" s="10">
        <f t="shared" si="3"/>
        <v>28.7</v>
      </c>
      <c r="T57" s="95">
        <f t="shared" si="4"/>
        <v>711</v>
      </c>
      <c r="U57" s="11">
        <f t="shared" si="1"/>
        <v>0</v>
      </c>
      <c r="V57" s="11">
        <f t="shared" si="0"/>
        <v>0</v>
      </c>
      <c r="W57" s="96">
        <f t="shared" si="2"/>
        <v>643.36426914153139</v>
      </c>
      <c r="X57" s="12">
        <f>V57/[1]Manure!$I$2</f>
        <v>0</v>
      </c>
      <c r="Y57" s="12">
        <f>W57/[1]Manure!$I$2</f>
        <v>458.82888807157741</v>
      </c>
      <c r="Z57" s="12"/>
      <c r="AA57" s="12"/>
      <c r="AB57" s="11"/>
      <c r="AC57" s="11"/>
    </row>
    <row r="58" spans="1:29" ht="15.75" thickBot="1" x14ac:dyDescent="0.3">
      <c r="A58" s="13">
        <v>45363</v>
      </c>
      <c r="B58" s="7">
        <v>0.41666666666666669</v>
      </c>
      <c r="C58" s="7"/>
      <c r="D58" s="6"/>
      <c r="E58" s="6" t="s">
        <v>60</v>
      </c>
      <c r="F58" s="6">
        <v>30</v>
      </c>
      <c r="G58" s="8">
        <v>107154</v>
      </c>
      <c r="H58" s="6">
        <v>31.1</v>
      </c>
      <c r="I58" s="8">
        <v>23.8</v>
      </c>
      <c r="J58" s="21"/>
      <c r="K58" s="25"/>
      <c r="L58" s="25"/>
      <c r="M58" s="25"/>
      <c r="N58" s="25"/>
      <c r="O58" s="21"/>
      <c r="P58" s="21"/>
      <c r="Q58" s="22"/>
      <c r="R58" s="21"/>
      <c r="S58" s="10">
        <f t="shared" si="3"/>
        <v>31.1</v>
      </c>
      <c r="T58" s="95">
        <f t="shared" si="4"/>
        <v>206</v>
      </c>
      <c r="U58" s="11">
        <f t="shared" si="1"/>
        <v>0</v>
      </c>
      <c r="V58" s="11">
        <f t="shared" si="0"/>
        <v>0</v>
      </c>
      <c r="W58" s="96">
        <f t="shared" si="2"/>
        <v>184.93258796448535</v>
      </c>
      <c r="X58" s="12">
        <f>V58/[1]Manure!$I$2</f>
        <v>0</v>
      </c>
      <c r="Y58" s="12">
        <f>W58/[1]Manure!$I$2</f>
        <v>131.88860148725109</v>
      </c>
      <c r="Z58" s="12"/>
      <c r="AA58" s="12"/>
      <c r="AB58" s="11"/>
      <c r="AC58" s="11"/>
    </row>
    <row r="59" spans="1:29" ht="15.75" thickBot="1" x14ac:dyDescent="0.3">
      <c r="A59" s="13">
        <v>45364</v>
      </c>
      <c r="B59" s="7">
        <v>0.41666666666666669</v>
      </c>
      <c r="C59" s="7"/>
      <c r="D59" s="6"/>
      <c r="E59" s="6" t="s">
        <v>60</v>
      </c>
      <c r="F59" s="6">
        <v>30</v>
      </c>
      <c r="G59" s="8">
        <v>107602</v>
      </c>
      <c r="H59" s="6">
        <v>30.1</v>
      </c>
      <c r="I59" s="8">
        <v>22.7</v>
      </c>
      <c r="J59" s="21"/>
      <c r="K59" s="25"/>
      <c r="L59" s="25"/>
      <c r="M59" s="25"/>
      <c r="N59" s="25"/>
      <c r="O59" s="21"/>
      <c r="P59" s="21"/>
      <c r="Q59" s="22"/>
      <c r="R59" s="21"/>
      <c r="S59" s="10">
        <f t="shared" si="3"/>
        <v>30.1</v>
      </c>
      <c r="T59" s="95">
        <f t="shared" si="4"/>
        <v>448</v>
      </c>
      <c r="U59" s="11">
        <f t="shared" si="1"/>
        <v>0</v>
      </c>
      <c r="V59" s="11">
        <f t="shared" si="0"/>
        <v>0</v>
      </c>
      <c r="W59" s="96">
        <f t="shared" si="2"/>
        <v>403.51039260969975</v>
      </c>
      <c r="X59" s="12">
        <f>V59/[1]Manure!$I$2</f>
        <v>0</v>
      </c>
      <c r="Y59" s="12">
        <f>W59/[1]Manure!$I$2</f>
        <v>287.77200358589607</v>
      </c>
      <c r="Z59" s="12"/>
      <c r="AA59" s="12"/>
      <c r="AB59" s="11"/>
      <c r="AC59" s="11"/>
    </row>
    <row r="60" spans="1:29" ht="15.75" thickBot="1" x14ac:dyDescent="0.3">
      <c r="A60" s="13">
        <v>45365</v>
      </c>
      <c r="B60" s="7">
        <v>0.41666666666666669</v>
      </c>
      <c r="C60" s="7"/>
      <c r="D60" s="6"/>
      <c r="E60" s="6" t="s">
        <v>60</v>
      </c>
      <c r="F60" s="6">
        <v>30</v>
      </c>
      <c r="G60" s="8">
        <v>107783</v>
      </c>
      <c r="H60" s="6">
        <v>31.1</v>
      </c>
      <c r="I60" s="8">
        <v>22.4</v>
      </c>
      <c r="J60" s="21"/>
      <c r="K60" s="25"/>
      <c r="L60" s="25"/>
      <c r="M60" s="25"/>
      <c r="N60" s="25"/>
      <c r="O60" s="21"/>
      <c r="P60" s="21"/>
      <c r="Q60" s="22"/>
      <c r="R60" s="21"/>
      <c r="S60" s="10">
        <f t="shared" si="3"/>
        <v>31.1</v>
      </c>
      <c r="T60" s="95">
        <f t="shared" si="4"/>
        <v>181</v>
      </c>
      <c r="U60" s="11">
        <f t="shared" si="1"/>
        <v>0</v>
      </c>
      <c r="V60" s="11">
        <f t="shared" si="0"/>
        <v>0</v>
      </c>
      <c r="W60" s="96">
        <f t="shared" si="2"/>
        <v>162.48931272607695</v>
      </c>
      <c r="X60" s="12">
        <f>V60/[1]Manure!$I$2</f>
        <v>0</v>
      </c>
      <c r="Y60" s="12">
        <f>W60/[1]Manure!$I$2</f>
        <v>115.88270324850704</v>
      </c>
      <c r="Z60" s="12"/>
      <c r="AA60" s="12"/>
      <c r="AB60" s="11"/>
      <c r="AC60" s="11"/>
    </row>
    <row r="61" spans="1:29" ht="15.75" thickBot="1" x14ac:dyDescent="0.3">
      <c r="A61" s="13">
        <v>45366</v>
      </c>
      <c r="B61" s="7">
        <v>0.41666666666666669</v>
      </c>
      <c r="C61" s="7"/>
      <c r="D61" s="6"/>
      <c r="E61" s="6" t="s">
        <v>60</v>
      </c>
      <c r="F61" s="6">
        <v>30</v>
      </c>
      <c r="G61" s="8">
        <v>107971</v>
      </c>
      <c r="H61" s="6">
        <v>24.7</v>
      </c>
      <c r="I61" s="8">
        <v>24.8</v>
      </c>
      <c r="J61" s="21"/>
      <c r="K61" s="25"/>
      <c r="L61" s="25"/>
      <c r="M61" s="25"/>
      <c r="N61" s="25"/>
      <c r="O61" s="21"/>
      <c r="P61" s="21"/>
      <c r="Q61" s="22"/>
      <c r="R61" s="21"/>
      <c r="S61" s="10">
        <f t="shared" si="3"/>
        <v>24.7</v>
      </c>
      <c r="T61" s="95">
        <f t="shared" si="4"/>
        <v>188</v>
      </c>
      <c r="U61" s="11">
        <f t="shared" si="1"/>
        <v>0</v>
      </c>
      <c r="V61" s="11">
        <f t="shared" si="0"/>
        <v>0</v>
      </c>
      <c r="W61" s="96">
        <f t="shared" si="2"/>
        <v>172.40174672489084</v>
      </c>
      <c r="X61" s="12">
        <f>V61/[1]Manure!$I$2</f>
        <v>0</v>
      </c>
      <c r="Y61" s="12">
        <f>W61/[1]Manure!$I$2</f>
        <v>122.95196600975335</v>
      </c>
      <c r="Z61" s="12"/>
      <c r="AA61" s="12"/>
      <c r="AB61" s="11"/>
      <c r="AC61" s="11"/>
    </row>
    <row r="62" spans="1:29" ht="15.75" thickBot="1" x14ac:dyDescent="0.3">
      <c r="A62" s="13">
        <v>45367</v>
      </c>
      <c r="B62" s="7">
        <v>0.41666666666666669</v>
      </c>
      <c r="C62" s="7"/>
      <c r="D62" s="6"/>
      <c r="E62" s="6" t="s">
        <v>60</v>
      </c>
      <c r="F62" s="6">
        <v>30</v>
      </c>
      <c r="G62" s="8">
        <v>108243</v>
      </c>
      <c r="H62" s="6">
        <v>27.8</v>
      </c>
      <c r="I62" s="8">
        <v>25.1</v>
      </c>
      <c r="J62" s="21"/>
      <c r="K62" s="25"/>
      <c r="L62" s="25"/>
      <c r="M62" s="25"/>
      <c r="N62" s="25"/>
      <c r="O62" s="21"/>
      <c r="P62" s="21"/>
      <c r="Q62" s="22"/>
      <c r="R62" s="21"/>
      <c r="S62" s="10">
        <f t="shared" si="3"/>
        <v>27.8</v>
      </c>
      <c r="T62" s="95">
        <f t="shared" si="4"/>
        <v>272</v>
      </c>
      <c r="U62" s="11">
        <f t="shared" si="1"/>
        <v>0</v>
      </c>
      <c r="V62" s="11">
        <f t="shared" si="0"/>
        <v>0</v>
      </c>
      <c r="W62" s="96">
        <f t="shared" si="2"/>
        <v>246.86170212765956</v>
      </c>
      <c r="X62" s="12">
        <f>V62/[1]Manure!$I$2</f>
        <v>0</v>
      </c>
      <c r="Y62" s="12">
        <f>W62/[1]Manure!$I$2</f>
        <v>176.05466409539403</v>
      </c>
      <c r="Z62" s="12"/>
      <c r="AA62" s="12"/>
      <c r="AB62" s="11"/>
      <c r="AC62" s="11"/>
    </row>
    <row r="63" spans="1:29" ht="15.75" thickBot="1" x14ac:dyDescent="0.3">
      <c r="A63" s="13">
        <v>45369</v>
      </c>
      <c r="B63" s="7">
        <v>0.41666666666666669</v>
      </c>
      <c r="C63" s="7"/>
      <c r="D63" s="6"/>
      <c r="E63" s="6" t="s">
        <v>60</v>
      </c>
      <c r="F63" s="6">
        <v>30</v>
      </c>
      <c r="G63" s="8">
        <v>109253</v>
      </c>
      <c r="H63" s="6">
        <v>33.700000000000003</v>
      </c>
      <c r="I63" s="8">
        <v>25.2</v>
      </c>
      <c r="J63" s="21"/>
      <c r="K63" s="25"/>
      <c r="L63" s="25"/>
      <c r="M63" s="25"/>
      <c r="N63" s="25"/>
      <c r="O63" s="21"/>
      <c r="P63" s="21"/>
      <c r="Q63" s="22"/>
      <c r="R63" s="21"/>
      <c r="S63" s="10">
        <f t="shared" si="3"/>
        <v>33.700000000000003</v>
      </c>
      <c r="T63" s="95">
        <f t="shared" si="4"/>
        <v>1010</v>
      </c>
      <c r="U63" s="11">
        <f t="shared" si="1"/>
        <v>0</v>
      </c>
      <c r="V63" s="11">
        <f t="shared" si="0"/>
        <v>0</v>
      </c>
      <c r="W63" s="96">
        <f t="shared" si="2"/>
        <v>899.02184545158138</v>
      </c>
      <c r="X63" s="12">
        <f>V63/[1]Manure!$I$2</f>
        <v>0</v>
      </c>
      <c r="Y63" s="12">
        <f>W63/[1]Manure!$I$2</f>
        <v>641.15651658899139</v>
      </c>
      <c r="Z63" s="12"/>
      <c r="AA63" s="12"/>
      <c r="AB63" s="11"/>
      <c r="AC63" s="11"/>
    </row>
    <row r="64" spans="1:29" ht="15.75" thickBot="1" x14ac:dyDescent="0.3">
      <c r="A64" s="13">
        <v>45370</v>
      </c>
      <c r="B64" s="7">
        <v>0.41666666666666669</v>
      </c>
      <c r="C64" s="7"/>
      <c r="D64" s="6"/>
      <c r="E64" s="6" t="s">
        <v>60</v>
      </c>
      <c r="F64" s="6">
        <v>30</v>
      </c>
      <c r="G64" s="8">
        <v>109743</v>
      </c>
      <c r="H64" s="6">
        <v>28.8</v>
      </c>
      <c r="I64" s="8">
        <v>24.2</v>
      </c>
      <c r="J64" s="21"/>
      <c r="K64" s="25"/>
      <c r="L64" s="25"/>
      <c r="M64" s="25"/>
      <c r="N64" s="25"/>
      <c r="O64" s="21"/>
      <c r="P64" s="21"/>
      <c r="Q64" s="22"/>
      <c r="R64" s="21"/>
      <c r="S64" s="10">
        <f t="shared" si="3"/>
        <v>28.8</v>
      </c>
      <c r="T64" s="95">
        <f t="shared" si="4"/>
        <v>490</v>
      </c>
      <c r="U64" s="11">
        <f t="shared" si="1"/>
        <v>0</v>
      </c>
      <c r="V64" s="11">
        <f t="shared" si="0"/>
        <v>0</v>
      </c>
      <c r="W64" s="96">
        <f t="shared" si="2"/>
        <v>443.24055666003977</v>
      </c>
      <c r="X64" s="12">
        <f>V64/[1]Manure!$I$2</f>
        <v>0</v>
      </c>
      <c r="Y64" s="12">
        <f>W64/[1]Manure!$I$2</f>
        <v>316.10641360596617</v>
      </c>
      <c r="Z64" s="12"/>
      <c r="AA64" s="12"/>
      <c r="AB64" s="11"/>
      <c r="AC64" s="11"/>
    </row>
    <row r="65" spans="1:29" ht="15.75" thickBot="1" x14ac:dyDescent="0.3">
      <c r="A65" s="13">
        <v>45371</v>
      </c>
      <c r="B65" s="7">
        <v>0.41666666666666669</v>
      </c>
      <c r="C65" s="7"/>
      <c r="D65" s="6"/>
      <c r="E65" s="6" t="s">
        <v>60</v>
      </c>
      <c r="F65" s="6">
        <v>30</v>
      </c>
      <c r="G65" s="8">
        <v>110414</v>
      </c>
      <c r="H65" s="6">
        <v>28.4</v>
      </c>
      <c r="I65" s="8">
        <v>24.8</v>
      </c>
      <c r="J65" s="21"/>
      <c r="K65" s="25"/>
      <c r="L65" s="25"/>
      <c r="M65" s="25"/>
      <c r="N65" s="25"/>
      <c r="O65" s="21"/>
      <c r="P65" s="21"/>
      <c r="Q65" s="22"/>
      <c r="R65" s="21"/>
      <c r="S65" s="10">
        <f t="shared" si="3"/>
        <v>28.4</v>
      </c>
      <c r="T65" s="95">
        <f t="shared" si="4"/>
        <v>671</v>
      </c>
      <c r="U65" s="11">
        <f t="shared" si="1"/>
        <v>0</v>
      </c>
      <c r="V65" s="11">
        <f t="shared" si="0"/>
        <v>0</v>
      </c>
      <c r="W65" s="96">
        <f t="shared" si="2"/>
        <v>607.77372262773724</v>
      </c>
      <c r="X65" s="12">
        <f>V65/[1]Manure!$I$2</f>
        <v>0</v>
      </c>
      <c r="Y65" s="12">
        <f>W65/[1]Manure!$I$2</f>
        <v>433.44673418762966</v>
      </c>
      <c r="Z65" s="12"/>
      <c r="AA65" s="12"/>
      <c r="AB65" s="11"/>
      <c r="AC65" s="11"/>
    </row>
    <row r="66" spans="1:29" ht="15.75" thickBot="1" x14ac:dyDescent="0.3">
      <c r="A66" s="13">
        <v>45386</v>
      </c>
      <c r="B66" s="7">
        <v>0.41666666666666669</v>
      </c>
      <c r="C66" s="7"/>
      <c r="D66" s="6"/>
      <c r="E66" s="6" t="s">
        <v>60</v>
      </c>
      <c r="F66" s="6">
        <v>30</v>
      </c>
      <c r="G66" s="8">
        <v>110908</v>
      </c>
      <c r="H66" s="6">
        <v>28.4</v>
      </c>
      <c r="I66" s="8">
        <v>23.7</v>
      </c>
      <c r="J66" s="21"/>
      <c r="K66" s="25"/>
      <c r="L66" s="25"/>
      <c r="M66" s="25"/>
      <c r="N66" s="25"/>
      <c r="O66" s="21"/>
      <c r="P66" s="21"/>
      <c r="Q66" s="22"/>
      <c r="R66" s="21"/>
      <c r="S66" s="10">
        <f t="shared" si="3"/>
        <v>28.4</v>
      </c>
      <c r="T66" s="95">
        <f t="shared" si="4"/>
        <v>494</v>
      </c>
      <c r="U66" s="11">
        <f t="shared" si="1"/>
        <v>0</v>
      </c>
      <c r="V66" s="11">
        <f t="shared" si="0"/>
        <v>0</v>
      </c>
      <c r="W66" s="96">
        <f t="shared" si="2"/>
        <v>447.45189117451895</v>
      </c>
      <c r="X66" s="12">
        <f>V66/[1]Manure!$I$2</f>
        <v>0</v>
      </c>
      <c r="Y66" s="12">
        <f>W66/[1]Manure!$I$2</f>
        <v>319.10981622755446</v>
      </c>
      <c r="Z66" s="12"/>
      <c r="AA66" s="12"/>
      <c r="AB66" s="11" t="s">
        <v>80</v>
      </c>
      <c r="AC66" s="11"/>
    </row>
    <row r="67" spans="1:29" ht="15.75" thickBot="1" x14ac:dyDescent="0.3">
      <c r="A67" s="13">
        <v>45387</v>
      </c>
      <c r="B67" s="7">
        <v>0.41666666666666669</v>
      </c>
      <c r="C67" s="7"/>
      <c r="D67" s="6"/>
      <c r="E67" s="6" t="s">
        <v>60</v>
      </c>
      <c r="F67" s="6">
        <v>30</v>
      </c>
      <c r="G67" s="8">
        <v>110908</v>
      </c>
      <c r="H67" s="6">
        <v>21.4</v>
      </c>
      <c r="I67" s="8">
        <v>23.6</v>
      </c>
      <c r="J67" s="21"/>
      <c r="K67" s="25"/>
      <c r="L67" s="25"/>
      <c r="M67" s="25"/>
      <c r="N67" s="25"/>
      <c r="O67" s="21"/>
      <c r="P67" s="21"/>
      <c r="Q67" s="22"/>
      <c r="R67" s="21"/>
      <c r="S67" s="10">
        <f t="shared" si="3"/>
        <v>21.4</v>
      </c>
      <c r="T67" s="95">
        <f t="shared" si="4"/>
        <v>0</v>
      </c>
      <c r="U67" s="11">
        <f t="shared" si="1"/>
        <v>0</v>
      </c>
      <c r="V67" s="11">
        <f t="shared" si="0"/>
        <v>0</v>
      </c>
      <c r="W67" s="96">
        <f t="shared" si="2"/>
        <v>0</v>
      </c>
      <c r="X67" s="12">
        <f>V67/[1]Manure!$I$2</f>
        <v>0</v>
      </c>
      <c r="Y67" s="12">
        <f>W67/[1]Manure!$I$2</f>
        <v>0</v>
      </c>
      <c r="Z67" s="12"/>
      <c r="AA67" s="12"/>
      <c r="AB67" s="11"/>
      <c r="AC67" s="11"/>
    </row>
    <row r="68" spans="1:29" ht="15.75" thickBot="1" x14ac:dyDescent="0.3">
      <c r="A68" s="13">
        <v>45388</v>
      </c>
      <c r="B68" s="7">
        <v>0.41666666666666669</v>
      </c>
      <c r="C68" s="7"/>
      <c r="D68" s="6"/>
      <c r="E68" s="6" t="s">
        <v>60</v>
      </c>
      <c r="F68" s="6">
        <v>30</v>
      </c>
      <c r="G68" s="8">
        <v>110908</v>
      </c>
      <c r="H68" s="6">
        <v>20.8</v>
      </c>
      <c r="I68" s="8">
        <v>22.9</v>
      </c>
      <c r="J68" s="21"/>
      <c r="K68" s="25"/>
      <c r="L68" s="25"/>
      <c r="M68" s="25"/>
      <c r="N68" s="25"/>
      <c r="O68" s="21"/>
      <c r="P68" s="21"/>
      <c r="Q68" s="22"/>
      <c r="R68" s="21"/>
      <c r="S68" s="10">
        <f t="shared" si="3"/>
        <v>20.8</v>
      </c>
      <c r="T68" s="95">
        <f t="shared" si="4"/>
        <v>0</v>
      </c>
      <c r="U68" s="11">
        <f t="shared" si="1"/>
        <v>0</v>
      </c>
      <c r="V68" s="11">
        <f t="shared" si="0"/>
        <v>0</v>
      </c>
      <c r="W68" s="96">
        <f t="shared" si="2"/>
        <v>0</v>
      </c>
      <c r="X68" s="12">
        <f>V68/[1]Manure!$I$2</f>
        <v>0</v>
      </c>
      <c r="Y68" s="12">
        <f>W68/[1]Manure!$I$2</f>
        <v>0</v>
      </c>
      <c r="Z68" s="12"/>
      <c r="AA68" s="12"/>
      <c r="AB68" s="11"/>
      <c r="AC68" s="11"/>
    </row>
    <row r="69" spans="1:29" ht="15.75" thickBot="1" x14ac:dyDescent="0.3">
      <c r="A69" s="13">
        <v>45390</v>
      </c>
      <c r="B69" s="7">
        <v>0.41666666666666669</v>
      </c>
      <c r="C69" s="7"/>
      <c r="D69" s="6"/>
      <c r="E69" s="6" t="s">
        <v>60</v>
      </c>
      <c r="F69" s="6">
        <v>30</v>
      </c>
      <c r="G69" s="8">
        <v>111144</v>
      </c>
      <c r="H69" s="6">
        <v>20.8</v>
      </c>
      <c r="I69" s="8">
        <v>25.1</v>
      </c>
      <c r="J69" s="21"/>
      <c r="K69" s="25"/>
      <c r="L69" s="25"/>
      <c r="M69" s="25"/>
      <c r="N69" s="25"/>
      <c r="O69" s="21"/>
      <c r="P69" s="21"/>
      <c r="Q69" s="22"/>
      <c r="R69" s="21"/>
      <c r="S69" s="10">
        <f t="shared" si="3"/>
        <v>20.8</v>
      </c>
      <c r="T69" s="95">
        <f t="shared" si="4"/>
        <v>236</v>
      </c>
      <c r="U69" s="11">
        <f t="shared" si="1"/>
        <v>0</v>
      </c>
      <c r="V69" s="11">
        <f t="shared" si="0"/>
        <v>0</v>
      </c>
      <c r="W69" s="96">
        <f t="shared" si="2"/>
        <v>219.2920353982301</v>
      </c>
      <c r="X69" s="12">
        <f>V69/[1]Manure!$I$2</f>
        <v>0</v>
      </c>
      <c r="Y69" s="12">
        <f>W69/[1]Manure!$I$2</f>
        <v>156.39277092428708</v>
      </c>
      <c r="Z69" s="12"/>
      <c r="AA69" s="12"/>
      <c r="AB69" s="11" t="s">
        <v>86</v>
      </c>
      <c r="AC69" s="11"/>
    </row>
    <row r="70" spans="1:29" ht="15.75" thickBot="1" x14ac:dyDescent="0.3">
      <c r="A70" s="13">
        <v>45391</v>
      </c>
      <c r="B70" s="7">
        <v>0.41666666666666669</v>
      </c>
      <c r="C70" s="7"/>
      <c r="D70" s="6"/>
      <c r="E70" s="6" t="s">
        <v>60</v>
      </c>
      <c r="F70" s="6">
        <v>30</v>
      </c>
      <c r="G70" s="8">
        <v>111144</v>
      </c>
      <c r="H70" s="6">
        <v>23.3</v>
      </c>
      <c r="I70" s="8">
        <v>22.4</v>
      </c>
      <c r="J70" s="21"/>
      <c r="K70" s="25"/>
      <c r="L70" s="25"/>
      <c r="M70" s="25"/>
      <c r="N70" s="25"/>
      <c r="O70" s="21"/>
      <c r="P70" s="21"/>
      <c r="Q70" s="22"/>
      <c r="R70" s="21"/>
      <c r="S70" s="10">
        <f t="shared" si="3"/>
        <v>23.3</v>
      </c>
      <c r="T70" s="95">
        <f t="shared" si="4"/>
        <v>0</v>
      </c>
      <c r="U70" s="11">
        <f t="shared" si="1"/>
        <v>0</v>
      </c>
      <c r="V70" s="11">
        <f t="shared" si="0"/>
        <v>0</v>
      </c>
      <c r="W70" s="96">
        <f t="shared" si="2"/>
        <v>0</v>
      </c>
      <c r="X70" s="12">
        <f>V70/[1]Manure!$I$2</f>
        <v>0</v>
      </c>
      <c r="Y70" s="12">
        <f>W70/[1]Manure!$I$2</f>
        <v>0</v>
      </c>
      <c r="Z70" s="12"/>
      <c r="AA70" s="12"/>
      <c r="AB70" s="11"/>
      <c r="AC70" s="11"/>
    </row>
    <row r="71" spans="1:29" ht="15.75" thickBot="1" x14ac:dyDescent="0.3">
      <c r="A71" s="13">
        <v>45392</v>
      </c>
      <c r="B71" s="7">
        <v>0.41666666666666669</v>
      </c>
      <c r="C71" s="7"/>
      <c r="D71" s="6"/>
      <c r="E71" s="6" t="s">
        <v>60</v>
      </c>
      <c r="F71" s="6">
        <v>30</v>
      </c>
      <c r="G71" s="8">
        <v>111160</v>
      </c>
      <c r="H71" s="6">
        <v>20.5</v>
      </c>
      <c r="I71" s="8">
        <v>23.5</v>
      </c>
      <c r="J71" s="21"/>
      <c r="K71" s="25"/>
      <c r="L71" s="25"/>
      <c r="M71" s="25"/>
      <c r="N71" s="25"/>
      <c r="O71" s="21"/>
      <c r="P71" s="21"/>
      <c r="Q71" s="22"/>
      <c r="R71" s="21"/>
      <c r="S71" s="10">
        <f t="shared" si="3"/>
        <v>20.5</v>
      </c>
      <c r="T71" s="95">
        <f t="shared" si="4"/>
        <v>16</v>
      </c>
      <c r="U71" s="11">
        <f t="shared" si="1"/>
        <v>0</v>
      </c>
      <c r="V71" s="11">
        <f t="shared" si="0"/>
        <v>0</v>
      </c>
      <c r="W71" s="96">
        <f t="shared" si="2"/>
        <v>14.882453151618398</v>
      </c>
      <c r="X71" s="12">
        <f>V71/[1]Manure!$I$2</f>
        <v>0</v>
      </c>
      <c r="Y71" s="12">
        <f>W71/[1]Manure!$I$2</f>
        <v>10.613737440604174</v>
      </c>
      <c r="Z71" s="12"/>
      <c r="AA71" s="12"/>
      <c r="AB71" s="11"/>
      <c r="AC71" s="11"/>
    </row>
    <row r="72" spans="1:29" ht="15.75" thickBot="1" x14ac:dyDescent="0.3">
      <c r="A72" s="13">
        <v>45393</v>
      </c>
      <c r="B72" s="33">
        <v>0.41666666666666669</v>
      </c>
      <c r="C72" s="7"/>
      <c r="D72" s="6"/>
      <c r="E72" s="6" t="s">
        <v>60</v>
      </c>
      <c r="F72" s="6">
        <v>30</v>
      </c>
      <c r="G72" s="8">
        <v>111362</v>
      </c>
      <c r="H72" s="6">
        <v>26.4</v>
      </c>
      <c r="I72" s="8">
        <v>22.9</v>
      </c>
      <c r="J72" s="21"/>
      <c r="K72" s="25"/>
      <c r="L72" s="25"/>
      <c r="M72" s="25"/>
      <c r="N72" s="25"/>
      <c r="O72" s="21"/>
      <c r="P72" s="21"/>
      <c r="Q72" s="22"/>
      <c r="R72" s="21"/>
      <c r="S72" s="10">
        <f t="shared" si="3"/>
        <v>26.4</v>
      </c>
      <c r="T72" s="95">
        <f t="shared" si="4"/>
        <v>202</v>
      </c>
      <c r="U72" s="11">
        <f t="shared" si="1"/>
        <v>0</v>
      </c>
      <c r="V72" s="11">
        <f t="shared" si="0"/>
        <v>0</v>
      </c>
      <c r="W72" s="96">
        <f t="shared" si="2"/>
        <v>184.18837675350701</v>
      </c>
      <c r="X72" s="12">
        <f>V72/[1]Manure!$I$2</f>
        <v>0</v>
      </c>
      <c r="Y72" s="12">
        <f>W72/[1]Manure!$I$2</f>
        <v>131.35785146148541</v>
      </c>
      <c r="Z72" s="12"/>
      <c r="AA72" s="12"/>
      <c r="AB72" s="11"/>
      <c r="AC72" s="11"/>
    </row>
    <row r="73" spans="1:29" ht="15.75" thickBot="1" x14ac:dyDescent="0.3">
      <c r="A73" s="13">
        <v>45394</v>
      </c>
      <c r="B73" s="33">
        <v>0.41666666666666669</v>
      </c>
      <c r="C73" s="7"/>
      <c r="D73" s="6"/>
      <c r="E73" s="6" t="s">
        <v>60</v>
      </c>
      <c r="F73" s="6">
        <v>30</v>
      </c>
      <c r="G73" s="8">
        <v>111654</v>
      </c>
      <c r="H73" s="6">
        <v>24.8</v>
      </c>
      <c r="I73" s="8">
        <v>25.4</v>
      </c>
      <c r="J73" s="21"/>
      <c r="K73" s="25"/>
      <c r="L73" s="25"/>
      <c r="M73" s="25"/>
      <c r="N73" s="25"/>
      <c r="O73" s="21"/>
      <c r="P73" s="21"/>
      <c r="Q73" s="22"/>
      <c r="R73" s="21"/>
      <c r="S73" s="10">
        <f t="shared" si="3"/>
        <v>24.8</v>
      </c>
      <c r="T73" s="95">
        <f t="shared" si="4"/>
        <v>292</v>
      </c>
      <c r="U73" s="11">
        <f t="shared" si="1"/>
        <v>0</v>
      </c>
      <c r="V73" s="11">
        <f t="shared" si="0"/>
        <v>0</v>
      </c>
      <c r="W73" s="96">
        <f t="shared" si="2"/>
        <v>267.68300873069177</v>
      </c>
      <c r="X73" s="12">
        <f>V73/[1]Manure!$I$2</f>
        <v>0</v>
      </c>
      <c r="Y73" s="12">
        <f>W73/[1]Manure!$I$2</f>
        <v>190.90382096513159</v>
      </c>
      <c r="Z73" s="12"/>
      <c r="AA73" s="12"/>
      <c r="AB73" s="11"/>
      <c r="AC73" s="11"/>
    </row>
    <row r="74" spans="1:29" ht="15.75" thickBot="1" x14ac:dyDescent="0.3">
      <c r="A74" s="13">
        <v>45395</v>
      </c>
      <c r="B74" s="33">
        <v>0.41666666666666669</v>
      </c>
      <c r="C74" s="7"/>
      <c r="D74" s="6"/>
      <c r="E74" s="6" t="s">
        <v>60</v>
      </c>
      <c r="F74" s="6">
        <v>30</v>
      </c>
      <c r="G74" s="8">
        <v>111654</v>
      </c>
      <c r="H74" s="6">
        <v>25.6</v>
      </c>
      <c r="I74" s="8">
        <v>24.1</v>
      </c>
      <c r="J74" s="21"/>
      <c r="K74" s="25"/>
      <c r="L74" s="25"/>
      <c r="M74" s="25"/>
      <c r="N74" s="25"/>
      <c r="O74" s="21"/>
      <c r="P74" s="21"/>
      <c r="Q74" s="22"/>
      <c r="R74" s="21"/>
      <c r="S74" s="10">
        <f t="shared" si="3"/>
        <v>25.6</v>
      </c>
      <c r="T74" s="95">
        <f t="shared" si="4"/>
        <v>0</v>
      </c>
      <c r="U74" s="11">
        <f t="shared" si="1"/>
        <v>0</v>
      </c>
      <c r="V74" s="11">
        <f t="shared" si="0"/>
        <v>0</v>
      </c>
      <c r="W74" s="96">
        <f t="shared" si="2"/>
        <v>0</v>
      </c>
      <c r="X74" s="12">
        <f>V74/[1]Manure!$I$2</f>
        <v>0</v>
      </c>
      <c r="Y74" s="12">
        <f>W74/[1]Manure!$I$2</f>
        <v>0</v>
      </c>
      <c r="Z74" s="12"/>
      <c r="AA74" s="12"/>
      <c r="AB74" s="11"/>
      <c r="AC74" s="11"/>
    </row>
    <row r="75" spans="1:29" ht="15.75" thickBot="1" x14ac:dyDescent="0.3">
      <c r="A75" s="13">
        <v>45397</v>
      </c>
      <c r="B75" s="33">
        <v>0.41666666666666669</v>
      </c>
      <c r="C75" s="7"/>
      <c r="D75" s="6"/>
      <c r="E75" s="6" t="s">
        <v>60</v>
      </c>
      <c r="F75" s="6">
        <v>30</v>
      </c>
      <c r="G75" s="8">
        <v>112001</v>
      </c>
      <c r="H75" s="6">
        <v>20.5</v>
      </c>
      <c r="I75" s="8">
        <v>25.6</v>
      </c>
      <c r="J75" s="21"/>
      <c r="K75" s="25"/>
      <c r="L75" s="25"/>
      <c r="M75" s="25"/>
      <c r="N75" s="25"/>
      <c r="O75" s="21"/>
      <c r="P75" s="21"/>
      <c r="Q75" s="22"/>
      <c r="R75" s="21"/>
      <c r="S75" s="10">
        <f t="shared" si="3"/>
        <v>20.5</v>
      </c>
      <c r="T75" s="95">
        <f t="shared" si="4"/>
        <v>347</v>
      </c>
      <c r="U75" s="11">
        <f t="shared" si="1"/>
        <v>0</v>
      </c>
      <c r="V75" s="11">
        <f t="shared" si="0"/>
        <v>0</v>
      </c>
      <c r="W75" s="96">
        <f t="shared" si="2"/>
        <v>322.763202725724</v>
      </c>
      <c r="X75" s="12">
        <f>V75/[1]Manure!$I$2</f>
        <v>0</v>
      </c>
      <c r="Y75" s="12">
        <f>W75/[1]Manure!$I$2</f>
        <v>230.18543074310301</v>
      </c>
      <c r="Z75" s="12"/>
      <c r="AA75" s="12"/>
      <c r="AB75" s="11"/>
      <c r="AC75" s="11"/>
    </row>
    <row r="76" spans="1:29" ht="15.75" thickBot="1" x14ac:dyDescent="0.3">
      <c r="A76" s="13">
        <v>45400</v>
      </c>
      <c r="B76" s="7">
        <v>0.41666666666666669</v>
      </c>
      <c r="C76" s="7"/>
      <c r="D76" s="6"/>
      <c r="E76" s="6" t="s">
        <v>60</v>
      </c>
      <c r="F76" s="6">
        <v>30</v>
      </c>
      <c r="G76" s="8">
        <v>112597</v>
      </c>
      <c r="H76" s="6">
        <v>29.7</v>
      </c>
      <c r="I76" s="8">
        <v>25.4</v>
      </c>
      <c r="J76" s="21"/>
      <c r="K76" s="25"/>
      <c r="L76" s="25"/>
      <c r="M76" s="25"/>
      <c r="N76" s="25"/>
      <c r="O76" s="21"/>
      <c r="P76" s="21"/>
      <c r="Q76" s="22"/>
      <c r="R76" s="21"/>
      <c r="S76" s="10">
        <f t="shared" si="3"/>
        <v>29.7</v>
      </c>
      <c r="T76" s="95">
        <f t="shared" si="4"/>
        <v>596</v>
      </c>
      <c r="U76" s="11">
        <f t="shared" si="1"/>
        <v>0</v>
      </c>
      <c r="V76" s="11">
        <f t="shared" si="0"/>
        <v>0</v>
      </c>
      <c r="W76" s="96">
        <f t="shared" si="2"/>
        <v>537.52229930624378</v>
      </c>
      <c r="X76" s="12">
        <f>V76/[1]Manure!$I$2</f>
        <v>0</v>
      </c>
      <c r="Y76" s="12">
        <f>W76/[1]Manure!$I$2</f>
        <v>383.34544010883832</v>
      </c>
      <c r="Z76" s="12"/>
      <c r="AA76" s="12"/>
      <c r="AB76" s="11"/>
      <c r="AC76" s="11"/>
    </row>
    <row r="77" spans="1:29" ht="15.75" thickBot="1" x14ac:dyDescent="0.3">
      <c r="A77" s="13">
        <v>45401</v>
      </c>
      <c r="B77" s="7">
        <v>0.41666666666666669</v>
      </c>
      <c r="C77" s="8"/>
      <c r="D77" s="6"/>
      <c r="E77" s="6" t="s">
        <v>60</v>
      </c>
      <c r="F77" s="6">
        <v>30</v>
      </c>
      <c r="G77" s="8">
        <v>114011</v>
      </c>
      <c r="H77" s="6">
        <v>28.8</v>
      </c>
      <c r="I77" s="8">
        <v>23.6</v>
      </c>
      <c r="J77" s="21"/>
      <c r="K77" s="25"/>
      <c r="L77" s="25"/>
      <c r="M77" s="25"/>
      <c r="N77" s="25"/>
      <c r="O77" s="21"/>
      <c r="P77" s="21"/>
      <c r="Q77" s="22"/>
      <c r="R77" s="21"/>
      <c r="S77" s="10">
        <f t="shared" si="3"/>
        <v>28.8</v>
      </c>
      <c r="T77" s="95">
        <f t="shared" si="4"/>
        <v>1414</v>
      </c>
      <c r="U77" s="11">
        <f t="shared" si="1"/>
        <v>0</v>
      </c>
      <c r="V77" s="11">
        <f t="shared" si="0"/>
        <v>0</v>
      </c>
      <c r="W77" s="96">
        <f t="shared" si="2"/>
        <v>1279.0656063618289</v>
      </c>
      <c r="X77" s="12">
        <f>V77/[1]Manure!$I$2</f>
        <v>0</v>
      </c>
      <c r="Y77" s="12">
        <f>W77/[1]Manure!$I$2</f>
        <v>912.19279354864511</v>
      </c>
      <c r="Z77" s="12"/>
      <c r="AA77" s="12"/>
      <c r="AB77" s="11" t="s">
        <v>80</v>
      </c>
      <c r="AC77" s="11"/>
    </row>
    <row r="78" spans="1:29" ht="15.75" thickBot="1" x14ac:dyDescent="0.3">
      <c r="A78" s="13">
        <v>45402</v>
      </c>
      <c r="B78" s="7">
        <v>0.41666666666666669</v>
      </c>
      <c r="C78" s="7"/>
      <c r="D78" s="6"/>
      <c r="E78" s="6" t="s">
        <v>60</v>
      </c>
      <c r="F78" s="6">
        <v>30</v>
      </c>
      <c r="G78" s="8">
        <v>114011</v>
      </c>
      <c r="H78" s="6">
        <v>25.5</v>
      </c>
      <c r="I78" s="8">
        <v>23.3</v>
      </c>
      <c r="J78" s="21"/>
      <c r="K78" s="25"/>
      <c r="L78" s="25"/>
      <c r="M78" s="25"/>
      <c r="N78" s="25"/>
      <c r="O78" s="21"/>
      <c r="P78" s="21"/>
      <c r="Q78" s="22"/>
      <c r="R78" s="21"/>
      <c r="S78" s="10">
        <f t="shared" si="3"/>
        <v>25.5</v>
      </c>
      <c r="T78" s="95">
        <f t="shared" si="4"/>
        <v>0</v>
      </c>
      <c r="U78" s="11">
        <f t="shared" si="1"/>
        <v>0</v>
      </c>
      <c r="V78" s="11">
        <f t="shared" si="0"/>
        <v>0</v>
      </c>
      <c r="W78" s="96">
        <f t="shared" si="2"/>
        <v>0</v>
      </c>
      <c r="X78" s="12">
        <f>V78/[1]Manure!$I$2</f>
        <v>0</v>
      </c>
      <c r="Y78" s="12">
        <f>W78/[1]Manure!$I$2</f>
        <v>0</v>
      </c>
      <c r="Z78" s="12"/>
      <c r="AA78" s="12"/>
      <c r="AB78" s="15"/>
      <c r="AC78" s="11"/>
    </row>
    <row r="79" spans="1:29" ht="15.75" thickBot="1" x14ac:dyDescent="0.3">
      <c r="A79" s="13">
        <v>45404</v>
      </c>
      <c r="B79" s="7">
        <v>0.41666666666666669</v>
      </c>
      <c r="C79" s="7"/>
      <c r="D79" s="6"/>
      <c r="E79" s="6" t="s">
        <v>60</v>
      </c>
      <c r="F79" s="6">
        <v>30</v>
      </c>
      <c r="G79" s="8">
        <v>114011</v>
      </c>
      <c r="H79" s="6">
        <v>23.4</v>
      </c>
      <c r="I79" s="8">
        <v>25.1</v>
      </c>
      <c r="J79" s="21"/>
      <c r="K79" s="25"/>
      <c r="L79" s="25"/>
      <c r="M79" s="25"/>
      <c r="N79" s="25"/>
      <c r="O79" s="21"/>
      <c r="P79" s="21"/>
      <c r="Q79" s="22"/>
      <c r="R79" s="21"/>
      <c r="S79" s="10">
        <f t="shared" si="3"/>
        <v>23.4</v>
      </c>
      <c r="T79" s="95">
        <f t="shared" si="4"/>
        <v>0</v>
      </c>
      <c r="U79" s="11">
        <f t="shared" si="1"/>
        <v>0</v>
      </c>
      <c r="V79" s="11">
        <f t="shared" si="0"/>
        <v>0</v>
      </c>
      <c r="W79" s="96">
        <f t="shared" si="2"/>
        <v>0</v>
      </c>
      <c r="X79" s="12">
        <f>V79/[1]Manure!$I$2</f>
        <v>0</v>
      </c>
      <c r="Y79" s="12">
        <f>W79/[1]Manure!$I$2</f>
        <v>0</v>
      </c>
      <c r="Z79" s="12"/>
      <c r="AA79" s="12"/>
      <c r="AB79" s="11"/>
      <c r="AC79" s="11"/>
    </row>
    <row r="80" spans="1:29" ht="15.75" thickBot="1" x14ac:dyDescent="0.3">
      <c r="A80" s="13">
        <v>45405</v>
      </c>
      <c r="B80" s="7">
        <v>0.41666666666666669</v>
      </c>
      <c r="C80" s="7"/>
      <c r="D80" s="6"/>
      <c r="E80" s="6" t="s">
        <v>60</v>
      </c>
      <c r="F80" s="6">
        <v>30</v>
      </c>
      <c r="G80" s="8">
        <v>114011</v>
      </c>
      <c r="H80" s="6">
        <v>21.6</v>
      </c>
      <c r="I80" s="8">
        <v>24.3</v>
      </c>
      <c r="J80" s="21"/>
      <c r="K80" s="25"/>
      <c r="L80" s="25"/>
      <c r="M80" s="25"/>
      <c r="N80" s="25"/>
      <c r="O80" s="21"/>
      <c r="P80" s="21"/>
      <c r="Q80" s="22"/>
      <c r="R80" s="21"/>
      <c r="S80" s="10">
        <f t="shared" si="3"/>
        <v>21.6</v>
      </c>
      <c r="T80" s="95">
        <f t="shared" si="4"/>
        <v>0</v>
      </c>
      <c r="U80" s="11">
        <f t="shared" si="1"/>
        <v>0</v>
      </c>
      <c r="V80" s="11">
        <f t="shared" si="0"/>
        <v>0</v>
      </c>
      <c r="W80" s="96">
        <f t="shared" si="2"/>
        <v>0</v>
      </c>
      <c r="X80" s="12">
        <f>V80/[1]Manure!$I$2</f>
        <v>0</v>
      </c>
      <c r="Y80" s="12">
        <f>W80/[1]Manure!$I$2</f>
        <v>0</v>
      </c>
      <c r="Z80" s="12"/>
      <c r="AA80" s="12"/>
      <c r="AB80" s="11"/>
      <c r="AC80" s="11"/>
    </row>
    <row r="81" spans="1:29" ht="15.75" thickBot="1" x14ac:dyDescent="0.3">
      <c r="A81" s="13">
        <v>45406</v>
      </c>
      <c r="B81" s="7">
        <v>0.41666666666666669</v>
      </c>
      <c r="C81" s="7"/>
      <c r="D81" s="6"/>
      <c r="E81" s="6" t="s">
        <v>60</v>
      </c>
      <c r="F81" s="6">
        <v>30</v>
      </c>
      <c r="G81" s="8">
        <v>114011</v>
      </c>
      <c r="H81" s="6">
        <v>27.8</v>
      </c>
      <c r="I81" s="8">
        <v>22.4</v>
      </c>
      <c r="J81" s="21"/>
      <c r="K81" s="25"/>
      <c r="L81" s="25"/>
      <c r="M81" s="25"/>
      <c r="N81" s="25"/>
      <c r="O81" s="21"/>
      <c r="P81" s="21"/>
      <c r="Q81" s="22"/>
      <c r="R81" s="21"/>
      <c r="S81" s="10">
        <f t="shared" si="3"/>
        <v>27.8</v>
      </c>
      <c r="T81" s="95">
        <f t="shared" si="4"/>
        <v>0</v>
      </c>
      <c r="U81" s="11">
        <f t="shared" si="1"/>
        <v>0</v>
      </c>
      <c r="V81" s="11">
        <f t="shared" si="0"/>
        <v>0</v>
      </c>
      <c r="W81" s="96">
        <f t="shared" si="2"/>
        <v>0</v>
      </c>
      <c r="X81" s="12">
        <f>V81/[1]Manure!$I$2</f>
        <v>0</v>
      </c>
      <c r="Y81" s="12">
        <f>W81/[1]Manure!$I$2</f>
        <v>0</v>
      </c>
      <c r="Z81" s="12"/>
      <c r="AA81" s="12"/>
      <c r="AB81" s="11"/>
      <c r="AC81" s="11"/>
    </row>
    <row r="82" spans="1:29" ht="15.75" thickBot="1" x14ac:dyDescent="0.3">
      <c r="A82" s="13">
        <v>45407</v>
      </c>
      <c r="B82" s="7">
        <v>0.41666666666666669</v>
      </c>
      <c r="C82" s="7"/>
      <c r="D82" s="6"/>
      <c r="E82" s="6" t="s">
        <v>60</v>
      </c>
      <c r="F82" s="6">
        <v>30</v>
      </c>
      <c r="G82" s="8">
        <v>114633</v>
      </c>
      <c r="H82" s="6">
        <v>22</v>
      </c>
      <c r="I82" s="8">
        <v>22.9</v>
      </c>
      <c r="J82" s="21"/>
      <c r="K82" s="25"/>
      <c r="L82" s="25"/>
      <c r="M82" s="25"/>
      <c r="N82" s="25"/>
      <c r="O82" s="21"/>
      <c r="P82" s="21"/>
      <c r="Q82" s="22"/>
      <c r="R82" s="21"/>
      <c r="S82" s="10">
        <f t="shared" si="3"/>
        <v>22</v>
      </c>
      <c r="T82" s="95">
        <f t="shared" si="4"/>
        <v>622</v>
      </c>
      <c r="U82" s="11">
        <f t="shared" si="1"/>
        <v>0</v>
      </c>
      <c r="V82" s="11">
        <f t="shared" si="0"/>
        <v>0</v>
      </c>
      <c r="W82" s="96">
        <f t="shared" si="2"/>
        <v>575.61355932203389</v>
      </c>
      <c r="X82" s="12">
        <f>V82/[1]Manure!$I$2</f>
        <v>0</v>
      </c>
      <c r="Y82" s="12">
        <f>W82/[1]Manure!$I$2</f>
        <v>410.5110309204187</v>
      </c>
      <c r="Z82" s="12"/>
      <c r="AA82" s="12"/>
      <c r="AB82" s="11"/>
      <c r="AC82" s="11"/>
    </row>
    <row r="83" spans="1:29" ht="15.75" thickBot="1" x14ac:dyDescent="0.3">
      <c r="A83" s="13">
        <v>45408</v>
      </c>
      <c r="B83" s="7">
        <v>0.41666666666666669</v>
      </c>
      <c r="C83" s="7"/>
      <c r="D83" s="6"/>
      <c r="E83" s="6" t="s">
        <v>60</v>
      </c>
      <c r="F83" s="6">
        <v>30</v>
      </c>
      <c r="G83" s="8">
        <v>114959</v>
      </c>
      <c r="H83" s="6">
        <v>22.1</v>
      </c>
      <c r="I83" s="8">
        <v>21.7</v>
      </c>
      <c r="J83" s="21"/>
      <c r="K83" s="25"/>
      <c r="L83" s="25"/>
      <c r="M83" s="25"/>
      <c r="N83" s="25"/>
      <c r="O83" s="21"/>
      <c r="P83" s="21"/>
      <c r="Q83" s="22"/>
      <c r="R83" s="21"/>
      <c r="S83" s="10">
        <f t="shared" si="3"/>
        <v>22.1</v>
      </c>
      <c r="T83" s="95">
        <f t="shared" ref="T83:T146" si="5">G83-G82</f>
        <v>326</v>
      </c>
      <c r="U83" s="11">
        <f t="shared" si="1"/>
        <v>0</v>
      </c>
      <c r="V83" s="11">
        <f t="shared" si="0"/>
        <v>0</v>
      </c>
      <c r="W83" s="96">
        <f t="shared" si="2"/>
        <v>301.58590308370043</v>
      </c>
      <c r="X83" s="12">
        <f>V83/[1]Manure!$I$2</f>
        <v>0</v>
      </c>
      <c r="Y83" s="12">
        <f>W83/[1]Manure!$I$2</f>
        <v>215.0823898793731</v>
      </c>
      <c r="Z83" s="12"/>
      <c r="AA83" s="12"/>
      <c r="AB83" s="11"/>
      <c r="AC83" s="11"/>
    </row>
    <row r="84" spans="1:29" ht="15.75" thickBot="1" x14ac:dyDescent="0.3">
      <c r="A84" s="13">
        <v>45409</v>
      </c>
      <c r="B84" s="7">
        <v>0.41666666666666669</v>
      </c>
      <c r="C84" s="7"/>
      <c r="D84" s="6"/>
      <c r="E84" s="6" t="s">
        <v>60</v>
      </c>
      <c r="F84" s="6">
        <v>30</v>
      </c>
      <c r="G84" s="8">
        <v>115087</v>
      </c>
      <c r="H84" s="6">
        <v>24.7</v>
      </c>
      <c r="I84" s="8">
        <v>23</v>
      </c>
      <c r="J84" s="21"/>
      <c r="K84" s="25"/>
      <c r="L84" s="25"/>
      <c r="M84" s="25"/>
      <c r="N84" s="25"/>
      <c r="O84" s="21"/>
      <c r="P84" s="21"/>
      <c r="Q84" s="22"/>
      <c r="R84" s="21"/>
      <c r="S84" s="10">
        <f t="shared" si="3"/>
        <v>24.7</v>
      </c>
      <c r="T84" s="95">
        <f t="shared" si="5"/>
        <v>128</v>
      </c>
      <c r="U84" s="11">
        <f t="shared" si="1"/>
        <v>0</v>
      </c>
      <c r="V84" s="11">
        <f t="shared" si="0"/>
        <v>0</v>
      </c>
      <c r="W84" s="96">
        <f t="shared" si="2"/>
        <v>117.37991266375546</v>
      </c>
      <c r="X84" s="12">
        <f>V84/[1]Manure!$I$2</f>
        <v>0</v>
      </c>
      <c r="Y84" s="12">
        <f>W84/[1]Manure!$I$2</f>
        <v>83.7119768577044</v>
      </c>
      <c r="Z84" s="12"/>
      <c r="AA84" s="12"/>
      <c r="AB84" s="11"/>
      <c r="AC84" s="11"/>
    </row>
    <row r="85" spans="1:29" ht="15.75" thickBot="1" x14ac:dyDescent="0.3">
      <c r="A85" s="13">
        <v>45411</v>
      </c>
      <c r="B85" s="16">
        <v>0.41666666666666669</v>
      </c>
      <c r="C85" s="7"/>
      <c r="D85" s="6"/>
      <c r="E85" s="6" t="s">
        <v>60</v>
      </c>
      <c r="F85" s="6">
        <v>30</v>
      </c>
      <c r="G85" s="8">
        <v>115523</v>
      </c>
      <c r="H85" s="6">
        <v>22.4</v>
      </c>
      <c r="I85" s="8">
        <v>24.2</v>
      </c>
      <c r="J85" s="21"/>
      <c r="K85" s="25"/>
      <c r="L85" s="25"/>
      <c r="M85" s="25"/>
      <c r="N85" s="25"/>
      <c r="O85" s="21"/>
      <c r="P85" s="21"/>
      <c r="Q85" s="22"/>
      <c r="R85" s="21"/>
      <c r="S85" s="10">
        <f t="shared" si="3"/>
        <v>22.4</v>
      </c>
      <c r="T85" s="95">
        <f t="shared" si="5"/>
        <v>436</v>
      </c>
      <c r="U85" s="11">
        <f t="shared" si="1"/>
        <v>0</v>
      </c>
      <c r="V85" s="11">
        <f t="shared" si="0"/>
        <v>0</v>
      </c>
      <c r="W85" s="96">
        <f t="shared" si="2"/>
        <v>402.93838862559244</v>
      </c>
      <c r="X85" s="12">
        <f>V85/[1]Manure!$I$2</f>
        <v>0</v>
      </c>
      <c r="Y85" s="12">
        <f>W85/[1]Manure!$I$2</f>
        <v>287.36406680017643</v>
      </c>
      <c r="Z85" s="12"/>
      <c r="AA85" s="12"/>
      <c r="AB85" s="11"/>
      <c r="AC85" s="11"/>
    </row>
    <row r="86" spans="1:29" ht="15.75" thickBot="1" x14ac:dyDescent="0.3">
      <c r="A86" s="13">
        <v>45412</v>
      </c>
      <c r="B86" s="7">
        <v>0.41666666666666669</v>
      </c>
      <c r="C86" s="7"/>
      <c r="D86" s="6"/>
      <c r="E86" s="6" t="s">
        <v>60</v>
      </c>
      <c r="F86" s="6">
        <v>30</v>
      </c>
      <c r="G86" s="8">
        <v>115901</v>
      </c>
      <c r="H86" s="6">
        <v>26.3</v>
      </c>
      <c r="I86" s="8">
        <v>23.1</v>
      </c>
      <c r="J86" s="21"/>
      <c r="K86" s="25"/>
      <c r="L86" s="25"/>
      <c r="M86" s="25"/>
      <c r="N86" s="25"/>
      <c r="O86" s="21"/>
      <c r="P86" s="21"/>
      <c r="Q86" s="22"/>
      <c r="R86" s="21"/>
      <c r="S86" s="10">
        <f t="shared" si="3"/>
        <v>26.3</v>
      </c>
      <c r="T86" s="95">
        <f t="shared" si="5"/>
        <v>378</v>
      </c>
      <c r="U86" s="11">
        <f t="shared" si="1"/>
        <v>0</v>
      </c>
      <c r="V86" s="11">
        <f t="shared" si="0"/>
        <v>0</v>
      </c>
      <c r="W86" s="96">
        <f t="shared" si="2"/>
        <v>344.78449716004008</v>
      </c>
      <c r="X86" s="12">
        <f>V86/[1]Manure!$I$2</f>
        <v>0</v>
      </c>
      <c r="Y86" s="12">
        <f>W86/[1]Manure!$I$2</f>
        <v>245.89038441215939</v>
      </c>
      <c r="Z86" s="12"/>
      <c r="AA86" s="12"/>
      <c r="AB86" s="11"/>
      <c r="AC86" s="11"/>
    </row>
    <row r="87" spans="1:29" ht="15.75" thickBot="1" x14ac:dyDescent="0.3">
      <c r="A87" s="13">
        <v>45413</v>
      </c>
      <c r="B87" s="7">
        <v>0.41666666666666669</v>
      </c>
      <c r="C87" s="7"/>
      <c r="D87" s="6"/>
      <c r="E87" s="6" t="s">
        <v>60</v>
      </c>
      <c r="F87" s="6">
        <v>30</v>
      </c>
      <c r="G87" s="8">
        <v>116061</v>
      </c>
      <c r="H87" s="6">
        <v>26.5</v>
      </c>
      <c r="I87" s="8">
        <v>23.7</v>
      </c>
      <c r="J87" s="21"/>
      <c r="K87" s="25"/>
      <c r="L87" s="25"/>
      <c r="M87" s="25"/>
      <c r="N87" s="25"/>
      <c r="O87" s="21"/>
      <c r="P87" s="21"/>
      <c r="Q87" s="21"/>
      <c r="R87" s="21"/>
      <c r="S87" s="10">
        <f t="shared" si="3"/>
        <v>26.5</v>
      </c>
      <c r="T87" s="95">
        <f t="shared" si="5"/>
        <v>160</v>
      </c>
      <c r="U87" s="11">
        <f t="shared" si="1"/>
        <v>0</v>
      </c>
      <c r="V87" s="11">
        <f t="shared" si="0"/>
        <v>0</v>
      </c>
      <c r="W87" s="96">
        <f t="shared" si="2"/>
        <v>145.84307178631053</v>
      </c>
      <c r="X87" s="12">
        <f>V87/[1]Manure!$I$2</f>
        <v>0</v>
      </c>
      <c r="Y87" s="12">
        <f>W87/[1]Manure!$I$2</f>
        <v>104.01108309907598</v>
      </c>
      <c r="Z87" s="12"/>
      <c r="AA87" s="12"/>
      <c r="AB87" s="11"/>
      <c r="AC87" s="11"/>
    </row>
    <row r="88" spans="1:29" ht="15.75" thickBot="1" x14ac:dyDescent="0.3">
      <c r="A88" s="13">
        <v>45414</v>
      </c>
      <c r="B88" s="7">
        <v>0.41666666666666669</v>
      </c>
      <c r="C88" s="7"/>
      <c r="D88" s="6"/>
      <c r="E88" s="6" t="s">
        <v>60</v>
      </c>
      <c r="F88" s="6">
        <v>30</v>
      </c>
      <c r="G88" s="8">
        <v>116515</v>
      </c>
      <c r="H88" s="6">
        <v>21.3</v>
      </c>
      <c r="I88" s="8">
        <v>23.5</v>
      </c>
      <c r="J88" s="21"/>
      <c r="K88" s="25"/>
      <c r="L88" s="25"/>
      <c r="M88" s="25"/>
      <c r="N88" s="25"/>
      <c r="O88" s="21"/>
      <c r="P88" s="21"/>
      <c r="Q88" s="21"/>
      <c r="R88" s="21"/>
      <c r="S88" s="10">
        <f t="shared" si="3"/>
        <v>21.3</v>
      </c>
      <c r="T88" s="95">
        <f t="shared" si="5"/>
        <v>454</v>
      </c>
      <c r="U88" s="11">
        <f t="shared" si="1"/>
        <v>0</v>
      </c>
      <c r="V88" s="11">
        <f t="shared" si="0"/>
        <v>0</v>
      </c>
      <c r="W88" s="96">
        <f t="shared" si="2"/>
        <v>421.14169215086645</v>
      </c>
      <c r="X88" s="12">
        <f>V88/[1]Manure!$I$2</f>
        <v>0</v>
      </c>
      <c r="Y88" s="12">
        <f>W88/[1]Manure!$I$2</f>
        <v>300.34613919110296</v>
      </c>
      <c r="Z88" s="12"/>
      <c r="AA88" s="12"/>
      <c r="AB88" s="11"/>
      <c r="AC88" s="11"/>
    </row>
    <row r="89" spans="1:29" ht="15.75" thickBot="1" x14ac:dyDescent="0.3">
      <c r="A89" s="13">
        <v>45415</v>
      </c>
      <c r="B89" s="7">
        <v>0.41666666666666669</v>
      </c>
      <c r="C89" s="7"/>
      <c r="D89" s="6"/>
      <c r="E89" s="6" t="s">
        <v>60</v>
      </c>
      <c r="F89" s="6">
        <v>30</v>
      </c>
      <c r="G89" s="8">
        <v>116802</v>
      </c>
      <c r="H89" s="6">
        <v>24.5</v>
      </c>
      <c r="I89" s="8">
        <v>24.1</v>
      </c>
      <c r="J89" s="21"/>
      <c r="K89" s="25"/>
      <c r="L89" s="25"/>
      <c r="M89" s="25"/>
      <c r="N89" s="25"/>
      <c r="O89" s="21"/>
      <c r="P89" s="21"/>
      <c r="Q89" s="21"/>
      <c r="R89" s="21"/>
      <c r="S89" s="10">
        <f t="shared" si="3"/>
        <v>24.5</v>
      </c>
      <c r="T89" s="95">
        <f t="shared" si="5"/>
        <v>287</v>
      </c>
      <c r="U89" s="11">
        <f t="shared" si="1"/>
        <v>0</v>
      </c>
      <c r="V89" s="11">
        <f t="shared" si="0"/>
        <v>0</v>
      </c>
      <c r="W89" s="96">
        <f t="shared" si="2"/>
        <v>263.36470588235295</v>
      </c>
      <c r="X89" s="12">
        <f>V89/[1]Manure!$I$2</f>
        <v>0</v>
      </c>
      <c r="Y89" s="12">
        <f>W89/[1]Manure!$I$2</f>
        <v>187.82413160516225</v>
      </c>
      <c r="Z89" s="12"/>
      <c r="AA89" s="12"/>
      <c r="AB89" s="11"/>
      <c r="AC89" s="11"/>
    </row>
    <row r="90" spans="1:29" ht="15.75" thickBot="1" x14ac:dyDescent="0.3">
      <c r="A90" s="13">
        <v>45416</v>
      </c>
      <c r="B90" s="7">
        <v>0.41666666666666669</v>
      </c>
      <c r="C90" s="7"/>
      <c r="D90" s="6"/>
      <c r="E90" s="6" t="s">
        <v>60</v>
      </c>
      <c r="F90" s="6">
        <v>30</v>
      </c>
      <c r="G90" s="8">
        <v>117103</v>
      </c>
      <c r="H90" s="6">
        <v>24.1</v>
      </c>
      <c r="I90" s="8">
        <v>24</v>
      </c>
      <c r="J90" s="21"/>
      <c r="K90" s="25"/>
      <c r="L90" s="25"/>
      <c r="M90" s="25"/>
      <c r="N90" s="25"/>
      <c r="O90" s="21"/>
      <c r="P90" s="21"/>
      <c r="Q90" s="21"/>
      <c r="R90" s="21"/>
      <c r="S90" s="10">
        <f t="shared" si="3"/>
        <v>24.1</v>
      </c>
      <c r="T90" s="95">
        <f t="shared" si="5"/>
        <v>301</v>
      </c>
      <c r="U90" s="11">
        <f t="shared" si="1"/>
        <v>0</v>
      </c>
      <c r="V90" s="11">
        <f t="shared" si="0"/>
        <v>0</v>
      </c>
      <c r="W90" s="96">
        <f t="shared" si="2"/>
        <v>276.58364187142377</v>
      </c>
      <c r="X90" s="12">
        <f>V90/[1]Manure!$I$2</f>
        <v>0</v>
      </c>
      <c r="Y90" s="12">
        <f>W90/[1]Manure!$I$2</f>
        <v>197.25149646247368</v>
      </c>
      <c r="Z90" s="12"/>
      <c r="AA90" s="12"/>
      <c r="AB90" s="11"/>
      <c r="AC90" s="11"/>
    </row>
    <row r="91" spans="1:29" ht="15.75" thickBot="1" x14ac:dyDescent="0.3">
      <c r="A91" s="13">
        <v>45418</v>
      </c>
      <c r="B91" s="7">
        <v>0.41666666666666669</v>
      </c>
      <c r="C91" s="7"/>
      <c r="D91" s="6"/>
      <c r="E91" s="6" t="s">
        <v>60</v>
      </c>
      <c r="F91" s="6">
        <v>30</v>
      </c>
      <c r="G91" s="8">
        <v>117505</v>
      </c>
      <c r="H91" s="6">
        <v>24.4</v>
      </c>
      <c r="I91" s="8">
        <v>23.8</v>
      </c>
      <c r="J91" s="21"/>
      <c r="K91" s="25"/>
      <c r="L91" s="25"/>
      <c r="M91" s="25"/>
      <c r="N91" s="25"/>
      <c r="O91" s="21"/>
      <c r="P91" s="21"/>
      <c r="Q91" s="21"/>
      <c r="R91" s="21"/>
      <c r="S91" s="10">
        <f t="shared" si="3"/>
        <v>24.4</v>
      </c>
      <c r="T91" s="95">
        <f t="shared" si="5"/>
        <v>402</v>
      </c>
      <c r="U91" s="11">
        <f t="shared" si="1"/>
        <v>0</v>
      </c>
      <c r="V91" s="11">
        <f t="shared" si="0"/>
        <v>0</v>
      </c>
      <c r="W91" s="96">
        <f t="shared" si="2"/>
        <v>369.0181573638198</v>
      </c>
      <c r="X91" s="12">
        <f>V91/[1]Manure!$I$2</f>
        <v>0</v>
      </c>
      <c r="Y91" s="12">
        <f>W91/[1]Manure!$I$2</f>
        <v>263.17313370136281</v>
      </c>
      <c r="Z91" s="12"/>
      <c r="AA91" s="12"/>
      <c r="AB91" s="11"/>
      <c r="AC91" s="11"/>
    </row>
    <row r="92" spans="1:29" ht="15.75" thickBot="1" x14ac:dyDescent="0.3">
      <c r="A92" s="13">
        <v>45419</v>
      </c>
      <c r="B92" s="7">
        <v>0.41666666666666669</v>
      </c>
      <c r="C92" s="7"/>
      <c r="D92" s="6"/>
      <c r="E92" s="6" t="s">
        <v>60</v>
      </c>
      <c r="F92" s="6">
        <v>30</v>
      </c>
      <c r="G92" s="8">
        <v>0</v>
      </c>
      <c r="H92" s="6">
        <v>19.600000000000001</v>
      </c>
      <c r="I92" s="8"/>
      <c r="J92" s="21"/>
      <c r="K92" s="25"/>
      <c r="L92" s="25"/>
      <c r="M92" s="25"/>
      <c r="N92" s="25"/>
      <c r="O92" s="21"/>
      <c r="P92" s="21"/>
      <c r="Q92" s="21"/>
      <c r="R92" s="21"/>
      <c r="S92" s="10">
        <f t="shared" si="3"/>
        <v>19.600000000000001</v>
      </c>
      <c r="T92" s="95">
        <f t="shared" si="5"/>
        <v>-117505</v>
      </c>
      <c r="U92" s="11">
        <f t="shared" si="1"/>
        <v>0</v>
      </c>
      <c r="V92" s="11">
        <f t="shared" si="0"/>
        <v>0</v>
      </c>
      <c r="W92" s="96">
        <f t="shared" si="2"/>
        <v>-109633.85167464113</v>
      </c>
      <c r="X92" s="12">
        <f>V92/[1]Manure!$I$2</f>
        <v>0</v>
      </c>
      <c r="Y92" s="12">
        <f>W92/[1]Manure!$I$2</f>
        <v>-78187.709003488068</v>
      </c>
      <c r="Z92" s="12"/>
      <c r="AA92" s="12"/>
      <c r="AB92" s="11"/>
      <c r="AC92" s="11"/>
    </row>
    <row r="93" spans="1:29" ht="15.75" thickBot="1" x14ac:dyDescent="0.3">
      <c r="A93" s="13">
        <v>45420</v>
      </c>
      <c r="B93" s="7">
        <v>0.41666666666666669</v>
      </c>
      <c r="C93" s="7"/>
      <c r="D93" s="6"/>
      <c r="E93" s="6" t="s">
        <v>60</v>
      </c>
      <c r="F93" s="6">
        <v>30</v>
      </c>
      <c r="G93" s="8">
        <v>0</v>
      </c>
      <c r="H93" s="6">
        <v>20.3</v>
      </c>
      <c r="I93" s="8"/>
      <c r="J93" s="21"/>
      <c r="K93" s="25"/>
      <c r="L93" s="25"/>
      <c r="M93" s="25"/>
      <c r="N93" s="25"/>
      <c r="O93" s="21"/>
      <c r="P93" s="21"/>
      <c r="Q93" s="21"/>
      <c r="R93" s="21"/>
      <c r="S93" s="10">
        <f t="shared" si="3"/>
        <v>20.3</v>
      </c>
      <c r="T93" s="95">
        <f t="shared" si="5"/>
        <v>0</v>
      </c>
      <c r="U93" s="11">
        <f t="shared" si="1"/>
        <v>0</v>
      </c>
      <c r="V93" s="11">
        <f t="shared" si="0"/>
        <v>0</v>
      </c>
      <c r="W93" s="96">
        <f t="shared" si="2"/>
        <v>0</v>
      </c>
      <c r="X93" s="12">
        <f>V93/[1]Manure!$I$2</f>
        <v>0</v>
      </c>
      <c r="Y93" s="12">
        <f>W93/[1]Manure!$I$2</f>
        <v>0</v>
      </c>
      <c r="Z93" s="12"/>
      <c r="AA93" s="12"/>
      <c r="AB93" s="11" t="s">
        <v>80</v>
      </c>
      <c r="AC93" s="11"/>
    </row>
    <row r="94" spans="1:29" ht="15.75" thickBot="1" x14ac:dyDescent="0.3">
      <c r="A94" s="13">
        <v>45421</v>
      </c>
      <c r="B94" s="7">
        <v>0.41666666666666669</v>
      </c>
      <c r="C94" s="7"/>
      <c r="D94" s="6"/>
      <c r="E94" s="6" t="s">
        <v>60</v>
      </c>
      <c r="F94" s="6">
        <v>30</v>
      </c>
      <c r="G94" s="8">
        <v>0</v>
      </c>
      <c r="H94" s="6">
        <v>0</v>
      </c>
      <c r="I94" s="8"/>
      <c r="J94" s="21"/>
      <c r="K94" s="25"/>
      <c r="L94" s="25"/>
      <c r="M94" s="25"/>
      <c r="N94" s="25"/>
      <c r="O94" s="21"/>
      <c r="P94" s="21"/>
      <c r="Q94" s="21"/>
      <c r="R94" s="21"/>
      <c r="S94" s="10">
        <f t="shared" si="3"/>
        <v>0</v>
      </c>
      <c r="T94" s="95">
        <f t="shared" si="5"/>
        <v>0</v>
      </c>
      <c r="U94" s="11">
        <f t="shared" si="1"/>
        <v>0</v>
      </c>
      <c r="V94" s="11">
        <f t="shared" si="0"/>
        <v>0</v>
      </c>
      <c r="W94" s="96">
        <f t="shared" si="2"/>
        <v>0</v>
      </c>
      <c r="X94" s="12">
        <f>V94/[1]Manure!$I$2</f>
        <v>0</v>
      </c>
      <c r="Y94" s="12">
        <f>W94/[1]Manure!$I$2</f>
        <v>0</v>
      </c>
      <c r="Z94" s="12"/>
      <c r="AA94" s="12"/>
      <c r="AB94" s="11"/>
      <c r="AC94" s="11"/>
    </row>
    <row r="95" spans="1:29" ht="15.75" thickBot="1" x14ac:dyDescent="0.3">
      <c r="A95" s="13">
        <v>45422</v>
      </c>
      <c r="B95" s="7">
        <v>0.41666666666666669</v>
      </c>
      <c r="C95" s="7"/>
      <c r="D95" s="6"/>
      <c r="E95" s="6" t="s">
        <v>60</v>
      </c>
      <c r="F95" s="6">
        <v>30</v>
      </c>
      <c r="G95" s="8">
        <v>117727</v>
      </c>
      <c r="H95" s="6">
        <v>0</v>
      </c>
      <c r="I95" s="8">
        <v>22.3</v>
      </c>
      <c r="J95" s="21"/>
      <c r="K95" s="25"/>
      <c r="L95" s="25"/>
      <c r="M95" s="25"/>
      <c r="N95" s="25"/>
      <c r="O95" s="21"/>
      <c r="P95" s="21"/>
      <c r="Q95" s="21"/>
      <c r="R95" s="21"/>
      <c r="S95" s="10">
        <f t="shared" si="3"/>
        <v>0</v>
      </c>
      <c r="T95" s="95">
        <f t="shared" si="5"/>
        <v>117727</v>
      </c>
      <c r="U95" s="11">
        <f t="shared" si="1"/>
        <v>0</v>
      </c>
      <c r="V95" s="11">
        <f t="shared" si="0"/>
        <v>0</v>
      </c>
      <c r="W95" s="96">
        <f t="shared" si="2"/>
        <v>117727</v>
      </c>
      <c r="X95" s="12">
        <f>V95/[1]Manure!$I$2</f>
        <v>0</v>
      </c>
      <c r="Y95" s="12">
        <f>W95/[1]Manure!$I$2</f>
        <v>83959.509560702209</v>
      </c>
      <c r="Z95" s="12"/>
      <c r="AA95" s="12"/>
      <c r="AB95" s="11"/>
      <c r="AC95" s="11"/>
    </row>
    <row r="96" spans="1:29" ht="15.75" thickBot="1" x14ac:dyDescent="0.3">
      <c r="A96" s="13">
        <v>45423</v>
      </c>
      <c r="B96" s="7">
        <v>0.41666666666666669</v>
      </c>
      <c r="C96" s="7"/>
      <c r="D96" s="6"/>
      <c r="E96" s="6" t="s">
        <v>60</v>
      </c>
      <c r="F96" s="82">
        <v>20</v>
      </c>
      <c r="G96" s="8">
        <v>117827</v>
      </c>
      <c r="H96" s="6">
        <v>0</v>
      </c>
      <c r="I96" s="8">
        <v>20.5</v>
      </c>
      <c r="J96" s="21"/>
      <c r="K96" s="25"/>
      <c r="L96" s="25"/>
      <c r="M96" s="25"/>
      <c r="N96" s="25"/>
      <c r="O96" s="21"/>
      <c r="P96" s="21"/>
      <c r="Q96" s="21"/>
      <c r="R96" s="21"/>
      <c r="S96" s="10">
        <f t="shared" si="3"/>
        <v>0</v>
      </c>
      <c r="T96" s="95">
        <f t="shared" si="5"/>
        <v>100</v>
      </c>
      <c r="U96" s="11">
        <f t="shared" si="1"/>
        <v>0</v>
      </c>
      <c r="V96" s="11">
        <f t="shared" si="0"/>
        <v>0</v>
      </c>
      <c r="W96" s="96">
        <f t="shared" si="2"/>
        <v>100</v>
      </c>
      <c r="X96" s="12">
        <f>V96/[1]Manure!$I$2</f>
        <v>0</v>
      </c>
      <c r="Y96" s="12">
        <f>W96/[1]Manure!$I$2</f>
        <v>71.317123141422272</v>
      </c>
      <c r="Z96" s="12"/>
      <c r="AA96" s="12"/>
      <c r="AB96" s="11"/>
      <c r="AC96" s="11"/>
    </row>
    <row r="97" spans="1:29" ht="15.75" thickBot="1" x14ac:dyDescent="0.3">
      <c r="A97" s="13">
        <v>45425</v>
      </c>
      <c r="B97" s="7">
        <v>0.41666666666666669</v>
      </c>
      <c r="C97" s="7"/>
      <c r="D97" s="6"/>
      <c r="E97" s="6" t="s">
        <v>60</v>
      </c>
      <c r="F97" s="82">
        <v>20</v>
      </c>
      <c r="G97" s="8">
        <v>117928</v>
      </c>
      <c r="H97" s="6">
        <v>20.2</v>
      </c>
      <c r="I97" s="8">
        <v>24.5</v>
      </c>
      <c r="J97" s="21"/>
      <c r="K97" s="25"/>
      <c r="L97" s="25"/>
      <c r="M97" s="25"/>
      <c r="N97" s="25"/>
      <c r="O97" s="21"/>
      <c r="P97" s="21"/>
      <c r="Q97" s="21"/>
      <c r="R97" s="21"/>
      <c r="S97" s="10">
        <f t="shared" si="3"/>
        <v>20.2</v>
      </c>
      <c r="T97" s="95">
        <f t="shared" si="5"/>
        <v>101</v>
      </c>
      <c r="U97" s="11">
        <f t="shared" si="1"/>
        <v>0</v>
      </c>
      <c r="V97" s="11">
        <f t="shared" si="0"/>
        <v>0</v>
      </c>
      <c r="W97" s="96">
        <f t="shared" si="2"/>
        <v>94.041609822646663</v>
      </c>
      <c r="X97" s="12">
        <f>V97/[1]Manure!$I$2</f>
        <v>0</v>
      </c>
      <c r="Y97" s="12">
        <f>W97/[1]Manure!$I$2</f>
        <v>67.067770681392787</v>
      </c>
      <c r="Z97" s="12"/>
      <c r="AA97" s="12"/>
      <c r="AB97" s="11"/>
      <c r="AC97" s="11"/>
    </row>
    <row r="98" spans="1:29" ht="15.75" thickBot="1" x14ac:dyDescent="0.3">
      <c r="A98" s="13">
        <v>45426</v>
      </c>
      <c r="B98" s="7">
        <v>0.41666666666666669</v>
      </c>
      <c r="C98" s="7"/>
      <c r="D98" s="6"/>
      <c r="E98" s="6" t="s">
        <v>60</v>
      </c>
      <c r="F98" s="82">
        <v>20</v>
      </c>
      <c r="G98" s="8">
        <v>118114</v>
      </c>
      <c r="H98" s="6">
        <v>26.2</v>
      </c>
      <c r="I98" s="8">
        <v>24.8</v>
      </c>
      <c r="J98" s="21"/>
      <c r="K98" s="25"/>
      <c r="L98" s="25"/>
      <c r="M98" s="25"/>
      <c r="N98" s="25"/>
      <c r="O98" s="21"/>
      <c r="P98" s="21"/>
      <c r="Q98" s="21"/>
      <c r="R98" s="21"/>
      <c r="S98" s="10">
        <f t="shared" si="3"/>
        <v>26.2</v>
      </c>
      <c r="T98" s="95">
        <f t="shared" si="5"/>
        <v>186</v>
      </c>
      <c r="U98" s="11">
        <v>0</v>
      </c>
      <c r="V98" s="11">
        <f t="shared" si="0"/>
        <v>0</v>
      </c>
      <c r="W98" s="96">
        <f t="shared" si="2"/>
        <v>169.71256684491979</v>
      </c>
      <c r="X98" s="12">
        <f>V98/[1]Manure!$I$2</f>
        <v>0</v>
      </c>
      <c r="Y98" s="12">
        <f>W98/[1]Manure!$I$2</f>
        <v>121.03412028326005</v>
      </c>
      <c r="Z98" s="12"/>
      <c r="AA98" s="12"/>
      <c r="AB98" s="11"/>
      <c r="AC98" s="11"/>
    </row>
    <row r="99" spans="1:29" ht="15.75" thickBot="1" x14ac:dyDescent="0.3">
      <c r="A99" s="13">
        <v>45427</v>
      </c>
      <c r="B99" s="7">
        <v>0.41666666666666669</v>
      </c>
      <c r="C99" s="7"/>
      <c r="D99" s="6"/>
      <c r="E99" s="6" t="s">
        <v>60</v>
      </c>
      <c r="F99" s="82">
        <v>20</v>
      </c>
      <c r="G99" s="8">
        <v>118861</v>
      </c>
      <c r="H99" s="6">
        <v>25</v>
      </c>
      <c r="I99" s="8">
        <v>22.8</v>
      </c>
      <c r="J99" s="21"/>
      <c r="K99" s="25"/>
      <c r="L99" s="25"/>
      <c r="M99" s="25"/>
      <c r="N99" s="25"/>
      <c r="O99" s="21"/>
      <c r="P99" s="21"/>
      <c r="Q99" s="21"/>
      <c r="R99" s="21"/>
      <c r="S99" s="10">
        <f t="shared" si="3"/>
        <v>25</v>
      </c>
      <c r="T99" s="95">
        <f t="shared" si="5"/>
        <v>747</v>
      </c>
      <c r="U99" s="11">
        <f>U100*(P99/100)</f>
        <v>0</v>
      </c>
      <c r="V99" s="11">
        <f t="shared" si="0"/>
        <v>0</v>
      </c>
      <c r="W99" s="96">
        <f t="shared" si="2"/>
        <v>684.33221476510062</v>
      </c>
      <c r="X99" s="12">
        <f>V99/[1]Manure!$I$2</f>
        <v>0</v>
      </c>
      <c r="Y99" s="12">
        <f>W99/[1]Manure!$I$2</f>
        <v>488.04604830044917</v>
      </c>
      <c r="Z99" s="12"/>
      <c r="AA99" s="12"/>
      <c r="AB99" s="11"/>
      <c r="AC99" s="11"/>
    </row>
    <row r="100" spans="1:29" ht="15.75" thickBot="1" x14ac:dyDescent="0.3">
      <c r="A100" s="13">
        <v>45428</v>
      </c>
      <c r="B100" s="7">
        <v>0.41666666666666669</v>
      </c>
      <c r="C100" s="7"/>
      <c r="D100" s="6"/>
      <c r="E100" s="6" t="s">
        <v>60</v>
      </c>
      <c r="F100" s="82">
        <v>20</v>
      </c>
      <c r="G100" s="8">
        <v>119253</v>
      </c>
      <c r="H100" s="6">
        <v>25.2</v>
      </c>
      <c r="I100" s="8">
        <v>22.2</v>
      </c>
      <c r="J100" s="21"/>
      <c r="K100" s="25"/>
      <c r="L100" s="25"/>
      <c r="M100" s="25"/>
      <c r="N100" s="25"/>
      <c r="O100" s="21"/>
      <c r="P100" s="21"/>
      <c r="Q100" s="21"/>
      <c r="R100" s="21"/>
      <c r="S100" s="10">
        <f t="shared" si="3"/>
        <v>25.2</v>
      </c>
      <c r="T100" s="95">
        <f t="shared" si="5"/>
        <v>392</v>
      </c>
      <c r="U100" s="11">
        <v>0</v>
      </c>
      <c r="V100" s="11">
        <v>0</v>
      </c>
      <c r="W100" s="96">
        <f t="shared" si="2"/>
        <v>358.87323943661971</v>
      </c>
      <c r="X100" s="12">
        <f>V100/[1]Manure!$I$2</f>
        <v>0</v>
      </c>
      <c r="Y100" s="12">
        <f>W100/[1]Manure!$I$2</f>
        <v>255.9380700906253</v>
      </c>
      <c r="Z100" s="12"/>
      <c r="AA100" s="12"/>
      <c r="AB100" s="11"/>
      <c r="AC100" s="11"/>
    </row>
    <row r="101" spans="1:29" ht="15.75" thickBot="1" x14ac:dyDescent="0.3">
      <c r="A101" s="13">
        <v>45429</v>
      </c>
      <c r="B101" s="7">
        <v>0.41666666666666669</v>
      </c>
      <c r="C101" s="7"/>
      <c r="D101" s="6"/>
      <c r="E101" s="6" t="s">
        <v>60</v>
      </c>
      <c r="F101" s="82">
        <v>20</v>
      </c>
      <c r="G101" s="8">
        <v>119661</v>
      </c>
      <c r="H101" s="6">
        <v>24.5</v>
      </c>
      <c r="I101" s="8">
        <v>22.8</v>
      </c>
      <c r="J101" s="21"/>
      <c r="K101" s="25"/>
      <c r="L101" s="25"/>
      <c r="M101" s="25"/>
      <c r="N101" s="25"/>
      <c r="O101" s="21"/>
      <c r="P101" s="21"/>
      <c r="Q101" s="21"/>
      <c r="R101" s="21"/>
      <c r="S101" s="10">
        <f t="shared" si="3"/>
        <v>24.5</v>
      </c>
      <c r="T101" s="95">
        <f t="shared" si="5"/>
        <v>408</v>
      </c>
      <c r="U101" s="11">
        <f>T101*(P100/100)</f>
        <v>0</v>
      </c>
      <c r="V101" s="11">
        <f t="shared" si="0"/>
        <v>0</v>
      </c>
      <c r="W101" s="96">
        <f t="shared" si="2"/>
        <v>374.4</v>
      </c>
      <c r="X101" s="12">
        <f>V101/[1]Manure!$I$2</f>
        <v>0</v>
      </c>
      <c r="Y101" s="12">
        <f>W101/[1]Manure!$I$2</f>
        <v>267.01130904148499</v>
      </c>
      <c r="Z101" s="12"/>
      <c r="AA101" s="12"/>
      <c r="AB101" s="11"/>
      <c r="AC101" s="11"/>
    </row>
    <row r="102" spans="1:29" ht="15.75" thickBot="1" x14ac:dyDescent="0.3">
      <c r="A102" s="13">
        <v>45430</v>
      </c>
      <c r="B102" s="33">
        <v>0.41666666666666669</v>
      </c>
      <c r="C102" s="7"/>
      <c r="D102" s="6"/>
      <c r="E102" s="6" t="s">
        <v>60</v>
      </c>
      <c r="F102" s="82">
        <v>20</v>
      </c>
      <c r="G102" s="8">
        <v>120023</v>
      </c>
      <c r="H102" s="6">
        <v>26.3</v>
      </c>
      <c r="I102" s="8">
        <v>23.1</v>
      </c>
      <c r="J102" s="21"/>
      <c r="K102" s="25"/>
      <c r="L102" s="25"/>
      <c r="M102" s="25"/>
      <c r="N102" s="25"/>
      <c r="O102" s="21"/>
      <c r="P102" s="21"/>
      <c r="Q102" s="21"/>
      <c r="R102" s="21"/>
      <c r="S102" s="10">
        <f t="shared" si="3"/>
        <v>26.3</v>
      </c>
      <c r="T102" s="95">
        <f t="shared" si="5"/>
        <v>362</v>
      </c>
      <c r="U102" s="11">
        <f t="shared" ref="U102:U151" si="6">T102*(P102/100)</f>
        <v>0</v>
      </c>
      <c r="V102" s="11">
        <f t="shared" si="0"/>
        <v>0</v>
      </c>
      <c r="W102" s="96">
        <f t="shared" si="2"/>
        <v>330.1904443701971</v>
      </c>
      <c r="X102" s="12">
        <f>V102/[1]Manure!$I$2</f>
        <v>0</v>
      </c>
      <c r="Y102" s="12">
        <f>W102/[1]Manure!$I$2</f>
        <v>235.4823258127029</v>
      </c>
      <c r="Z102" s="12"/>
      <c r="AA102" s="12"/>
      <c r="AB102" s="11"/>
      <c r="AC102" s="11"/>
    </row>
    <row r="103" spans="1:29" ht="15.75" thickBot="1" x14ac:dyDescent="0.3">
      <c r="A103" s="13">
        <v>45432</v>
      </c>
      <c r="B103" s="33">
        <v>0.41666666666666669</v>
      </c>
      <c r="C103" s="7"/>
      <c r="D103" s="6"/>
      <c r="E103" s="6" t="s">
        <v>60</v>
      </c>
      <c r="F103" s="82">
        <v>20</v>
      </c>
      <c r="G103" s="8">
        <v>120405</v>
      </c>
      <c r="H103" s="6">
        <v>24</v>
      </c>
      <c r="I103" s="8">
        <v>22.8</v>
      </c>
      <c r="J103" s="21"/>
      <c r="K103" s="25"/>
      <c r="L103" s="25"/>
      <c r="M103" s="25"/>
      <c r="N103" s="25"/>
      <c r="O103" s="21"/>
      <c r="P103" s="21"/>
      <c r="Q103" s="21"/>
      <c r="R103" s="21"/>
      <c r="S103" s="10">
        <f t="shared" si="3"/>
        <v>24</v>
      </c>
      <c r="T103" s="95">
        <f t="shared" si="5"/>
        <v>382</v>
      </c>
      <c r="U103" s="11">
        <f t="shared" si="6"/>
        <v>0</v>
      </c>
      <c r="V103" s="11">
        <f t="shared" si="0"/>
        <v>0</v>
      </c>
      <c r="W103" s="96">
        <f t="shared" si="2"/>
        <v>351.13131313131316</v>
      </c>
      <c r="X103" s="12">
        <f>V103/[1]Manure!$I$2</f>
        <v>0</v>
      </c>
      <c r="Y103" s="12">
        <f>W103/[1]Manure!$I$2</f>
        <v>250.41675097395165</v>
      </c>
      <c r="Z103" s="12"/>
      <c r="AA103" s="12"/>
      <c r="AB103" s="11"/>
      <c r="AC103" s="11"/>
    </row>
    <row r="104" spans="1:29" ht="15.75" thickBot="1" x14ac:dyDescent="0.3">
      <c r="A104" s="13">
        <v>45433</v>
      </c>
      <c r="B104" s="33">
        <v>0.41666666666666669</v>
      </c>
      <c r="C104" s="7"/>
      <c r="D104" s="6"/>
      <c r="E104" s="6" t="s">
        <v>60</v>
      </c>
      <c r="F104" s="82">
        <v>20</v>
      </c>
      <c r="G104" s="8">
        <v>120416</v>
      </c>
      <c r="H104" s="6">
        <v>25</v>
      </c>
      <c r="I104" s="8">
        <v>24</v>
      </c>
      <c r="J104" s="21"/>
      <c r="K104" s="25"/>
      <c r="L104" s="25"/>
      <c r="M104" s="25"/>
      <c r="N104" s="25"/>
      <c r="O104" s="21"/>
      <c r="P104" s="21"/>
      <c r="Q104" s="21"/>
      <c r="R104" s="21"/>
      <c r="S104" s="10">
        <f t="shared" si="3"/>
        <v>25</v>
      </c>
      <c r="T104" s="95">
        <f t="shared" si="5"/>
        <v>11</v>
      </c>
      <c r="U104" s="11">
        <f t="shared" si="6"/>
        <v>0</v>
      </c>
      <c r="V104" s="11">
        <f t="shared" si="0"/>
        <v>0</v>
      </c>
      <c r="W104" s="96">
        <f t="shared" si="2"/>
        <v>10.077181208053691</v>
      </c>
      <c r="X104" s="12">
        <f>V104/[1]Manure!$I$2</f>
        <v>0</v>
      </c>
      <c r="Y104" s="12">
        <f>W104/[1]Manure!$I$2</f>
        <v>7.1867557313319157</v>
      </c>
      <c r="Z104" s="12"/>
      <c r="AA104" s="12"/>
      <c r="AB104" s="11"/>
      <c r="AC104" s="11"/>
    </row>
    <row r="105" spans="1:29" ht="15.75" thickBot="1" x14ac:dyDescent="0.3">
      <c r="A105" s="13">
        <v>45434</v>
      </c>
      <c r="B105" s="33">
        <v>0.41666666666666669</v>
      </c>
      <c r="C105" s="8"/>
      <c r="D105" s="6"/>
      <c r="E105" s="6" t="s">
        <v>60</v>
      </c>
      <c r="F105" s="82">
        <v>20</v>
      </c>
      <c r="G105" s="8">
        <v>120724</v>
      </c>
      <c r="H105" s="6">
        <v>26.1</v>
      </c>
      <c r="I105" s="8">
        <v>23.7</v>
      </c>
      <c r="J105" s="21"/>
      <c r="K105" s="25"/>
      <c r="L105" s="25"/>
      <c r="M105" s="25"/>
      <c r="N105" s="25"/>
      <c r="O105" s="21"/>
      <c r="P105" s="21"/>
      <c r="Q105" s="21"/>
      <c r="R105" s="21"/>
      <c r="S105" s="10">
        <f t="shared" si="3"/>
        <v>26.1</v>
      </c>
      <c r="T105" s="95">
        <f t="shared" si="5"/>
        <v>308</v>
      </c>
      <c r="U105" s="11">
        <f t="shared" si="6"/>
        <v>0</v>
      </c>
      <c r="V105" s="11">
        <f t="shared" si="0"/>
        <v>0</v>
      </c>
      <c r="W105" s="96">
        <f t="shared" si="2"/>
        <v>281.12337011033094</v>
      </c>
      <c r="X105" s="12">
        <f>V105/[1]Manure!$I$2</f>
        <v>0</v>
      </c>
      <c r="Y105" s="12">
        <f>W105/[1]Manure!$I$2</f>
        <v>200.48910004090104</v>
      </c>
      <c r="Z105" s="12"/>
      <c r="AA105" s="12"/>
      <c r="AB105" s="11"/>
      <c r="AC105" s="11"/>
    </row>
    <row r="106" spans="1:29" ht="15.75" thickBot="1" x14ac:dyDescent="0.3">
      <c r="A106" s="13">
        <v>45435</v>
      </c>
      <c r="B106" s="7">
        <v>0.41666666666666669</v>
      </c>
      <c r="C106" s="7"/>
      <c r="D106" s="6"/>
      <c r="E106" s="6" t="s">
        <v>60</v>
      </c>
      <c r="F106" s="82">
        <v>20</v>
      </c>
      <c r="G106" s="8">
        <v>121394</v>
      </c>
      <c r="H106" s="6">
        <v>25</v>
      </c>
      <c r="I106" s="8">
        <v>25</v>
      </c>
      <c r="J106" s="21"/>
      <c r="K106" s="25"/>
      <c r="L106" s="25"/>
      <c r="M106" s="25"/>
      <c r="N106" s="25"/>
      <c r="O106" s="21"/>
      <c r="P106" s="21"/>
      <c r="Q106" s="21"/>
      <c r="R106" s="21"/>
      <c r="S106" s="10">
        <f t="shared" si="3"/>
        <v>25</v>
      </c>
      <c r="T106" s="95">
        <f t="shared" si="5"/>
        <v>670</v>
      </c>
      <c r="U106" s="11">
        <f t="shared" si="6"/>
        <v>0</v>
      </c>
      <c r="V106" s="11">
        <f t="shared" si="0"/>
        <v>0</v>
      </c>
      <c r="W106" s="96">
        <f t="shared" si="2"/>
        <v>613.79194630872485</v>
      </c>
      <c r="X106" s="12">
        <f>V106/[1]Manure!$I$2</f>
        <v>0</v>
      </c>
      <c r="Y106" s="12">
        <f>W106/[1]Manure!$I$2</f>
        <v>437.73875818112583</v>
      </c>
      <c r="Z106" s="12"/>
      <c r="AA106" s="12"/>
      <c r="AB106" s="11"/>
      <c r="AC106" s="11"/>
    </row>
    <row r="107" spans="1:29" ht="15.75" thickBot="1" x14ac:dyDescent="0.3">
      <c r="A107" s="13">
        <v>45436</v>
      </c>
      <c r="B107" s="7">
        <v>0.41666666666666669</v>
      </c>
      <c r="C107" s="7"/>
      <c r="D107" s="6"/>
      <c r="E107" s="6" t="s">
        <v>60</v>
      </c>
      <c r="F107" s="82">
        <v>20</v>
      </c>
      <c r="G107" s="8">
        <v>121760</v>
      </c>
      <c r="H107" s="6">
        <v>23.4</v>
      </c>
      <c r="I107" s="8">
        <v>24.5</v>
      </c>
      <c r="J107" s="21"/>
      <c r="K107" s="25"/>
      <c r="L107" s="25"/>
      <c r="M107" s="25"/>
      <c r="N107" s="25"/>
      <c r="O107" s="21"/>
      <c r="P107" s="21"/>
      <c r="Q107" s="21"/>
      <c r="R107" s="21"/>
      <c r="S107" s="10">
        <f t="shared" si="3"/>
        <v>23.4</v>
      </c>
      <c r="T107" s="95">
        <f t="shared" si="5"/>
        <v>366</v>
      </c>
      <c r="U107" s="11">
        <f t="shared" si="6"/>
        <v>0</v>
      </c>
      <c r="V107" s="11">
        <f t="shared" si="0"/>
        <v>0</v>
      </c>
      <c r="W107" s="96">
        <f t="shared" si="2"/>
        <v>337.1052631578948</v>
      </c>
      <c r="X107" s="12">
        <f>V107/[1]Manure!$I$2</f>
        <v>0</v>
      </c>
      <c r="Y107" s="12">
        <f>W107/[1]Manure!$I$2</f>
        <v>240.41377564253145</v>
      </c>
      <c r="Z107" s="12"/>
      <c r="AA107" s="12"/>
      <c r="AB107" s="11"/>
      <c r="AC107" s="11"/>
    </row>
    <row r="108" spans="1:29" ht="15.75" thickBot="1" x14ac:dyDescent="0.3">
      <c r="A108" s="13">
        <v>45437</v>
      </c>
      <c r="B108" s="7">
        <v>0.41666666666666669</v>
      </c>
      <c r="C108" s="7"/>
      <c r="D108" s="6"/>
      <c r="E108" s="6" t="s">
        <v>60</v>
      </c>
      <c r="F108" s="82">
        <v>20</v>
      </c>
      <c r="G108" s="8">
        <v>121921</v>
      </c>
      <c r="H108" s="6">
        <v>21.9</v>
      </c>
      <c r="I108" s="8">
        <v>23.8</v>
      </c>
      <c r="J108" s="21"/>
      <c r="K108" s="25"/>
      <c r="L108" s="25"/>
      <c r="M108" s="25"/>
      <c r="N108" s="25"/>
      <c r="O108" s="21"/>
      <c r="P108" s="21"/>
      <c r="Q108" s="21"/>
      <c r="R108" s="21"/>
      <c r="S108" s="10">
        <f t="shared" si="3"/>
        <v>21.9</v>
      </c>
      <c r="T108" s="95">
        <f t="shared" si="5"/>
        <v>161</v>
      </c>
      <c r="U108" s="11">
        <f t="shared" si="6"/>
        <v>0</v>
      </c>
      <c r="V108" s="11">
        <f t="shared" si="0"/>
        <v>0</v>
      </c>
      <c r="W108" s="96">
        <f t="shared" si="2"/>
        <v>149.04374364191253</v>
      </c>
      <c r="X108" s="12">
        <f>V108/[1]Manure!$I$2</f>
        <v>0</v>
      </c>
      <c r="Y108" s="12">
        <f>W108/[1]Manure!$I$2</f>
        <v>106.29371018768849</v>
      </c>
      <c r="Z108" s="12"/>
      <c r="AA108" s="12"/>
      <c r="AB108" s="11"/>
      <c r="AC108" s="11"/>
    </row>
    <row r="109" spans="1:29" ht="15.75" thickBot="1" x14ac:dyDescent="0.3">
      <c r="A109" s="13">
        <v>45439</v>
      </c>
      <c r="B109" s="7">
        <v>0.41666666666666669</v>
      </c>
      <c r="C109" s="7"/>
      <c r="D109" s="6"/>
      <c r="E109" s="6" t="s">
        <v>60</v>
      </c>
      <c r="F109" s="82">
        <v>20</v>
      </c>
      <c r="G109" s="8">
        <v>122091</v>
      </c>
      <c r="H109" s="6">
        <v>24.2</v>
      </c>
      <c r="I109" s="8">
        <v>22.9</v>
      </c>
      <c r="J109" s="21"/>
      <c r="K109" s="25"/>
      <c r="L109" s="25"/>
      <c r="M109" s="25"/>
      <c r="N109" s="25"/>
      <c r="O109" s="21"/>
      <c r="P109" s="21"/>
      <c r="Q109" s="21"/>
      <c r="R109" s="21"/>
      <c r="S109" s="10">
        <f t="shared" si="3"/>
        <v>24.2</v>
      </c>
      <c r="T109" s="95">
        <f t="shared" si="5"/>
        <v>170</v>
      </c>
      <c r="U109" s="11">
        <f t="shared" si="6"/>
        <v>0</v>
      </c>
      <c r="V109" s="11">
        <f t="shared" si="0"/>
        <v>0</v>
      </c>
      <c r="W109" s="96">
        <f t="shared" si="2"/>
        <v>156.15746971736206</v>
      </c>
      <c r="X109" s="12">
        <f>V109/[1]Manure!$I$2</f>
        <v>0</v>
      </c>
      <c r="Y109" s="12">
        <f>W109/[1]Manure!$I$2</f>
        <v>111.3670149728603</v>
      </c>
      <c r="Z109" s="12"/>
      <c r="AA109" s="12"/>
      <c r="AB109" s="11"/>
      <c r="AC109" s="11"/>
    </row>
    <row r="110" spans="1:29" ht="15.75" thickBot="1" x14ac:dyDescent="0.3">
      <c r="A110" s="13">
        <v>45440</v>
      </c>
      <c r="B110" s="7">
        <v>0.41666666666666669</v>
      </c>
      <c r="C110" s="7"/>
      <c r="D110" s="6"/>
      <c r="E110" s="6" t="s">
        <v>60</v>
      </c>
      <c r="F110" s="82">
        <v>20</v>
      </c>
      <c r="G110" s="8">
        <v>123824</v>
      </c>
      <c r="H110" s="6">
        <v>20.2</v>
      </c>
      <c r="I110" s="8">
        <v>24.4</v>
      </c>
      <c r="J110" s="21"/>
      <c r="K110" s="25"/>
      <c r="L110" s="25"/>
      <c r="M110" s="25"/>
      <c r="N110" s="25"/>
      <c r="O110" s="21"/>
      <c r="P110" s="21"/>
      <c r="Q110" s="21"/>
      <c r="R110" s="21"/>
      <c r="S110" s="10">
        <f t="shared" si="3"/>
        <v>20.2</v>
      </c>
      <c r="T110" s="95">
        <f t="shared" si="5"/>
        <v>1733</v>
      </c>
      <c r="U110" s="11">
        <f t="shared" si="6"/>
        <v>0</v>
      </c>
      <c r="V110" s="11">
        <f t="shared" si="0"/>
        <v>0</v>
      </c>
      <c r="W110" s="96">
        <f t="shared" si="2"/>
        <v>1613.6050477489769</v>
      </c>
      <c r="X110" s="12">
        <f>V110/[1]Manure!$I$2</f>
        <v>0</v>
      </c>
      <c r="Y110" s="12">
        <f>W110/[1]Manure!$I$2</f>
        <v>1150.7766989193435</v>
      </c>
      <c r="Z110" s="12"/>
      <c r="AA110" s="12"/>
      <c r="AB110" s="15"/>
      <c r="AC110" s="11"/>
    </row>
    <row r="111" spans="1:29" ht="15.75" thickBot="1" x14ac:dyDescent="0.3">
      <c r="A111" s="13">
        <v>45441</v>
      </c>
      <c r="B111" s="7">
        <v>0.41666666666666669</v>
      </c>
      <c r="C111" s="7"/>
      <c r="D111" s="6"/>
      <c r="E111" s="6" t="s">
        <v>60</v>
      </c>
      <c r="F111" s="82">
        <v>20</v>
      </c>
      <c r="G111" s="8">
        <v>124001</v>
      </c>
      <c r="H111" s="6">
        <v>24.3</v>
      </c>
      <c r="I111" s="8">
        <v>24</v>
      </c>
      <c r="J111" s="21"/>
      <c r="K111" s="25"/>
      <c r="L111" s="25"/>
      <c r="M111" s="25"/>
      <c r="N111" s="25"/>
      <c r="O111" s="21"/>
      <c r="P111" s="21"/>
      <c r="Q111" s="21"/>
      <c r="R111" s="21"/>
      <c r="S111" s="10">
        <f t="shared" si="3"/>
        <v>24.3</v>
      </c>
      <c r="T111" s="95">
        <f t="shared" si="5"/>
        <v>177</v>
      </c>
      <c r="U111" s="11">
        <f t="shared" si="6"/>
        <v>0</v>
      </c>
      <c r="V111" s="11">
        <f t="shared" si="0"/>
        <v>0</v>
      </c>
      <c r="W111" s="96">
        <f t="shared" si="2"/>
        <v>162.53279515640767</v>
      </c>
      <c r="X111" s="12">
        <f>V111/[1]Manure!$I$2</f>
        <v>0</v>
      </c>
      <c r="Y111" s="12">
        <f>W111/[1]Manure!$I$2</f>
        <v>115.91371366689089</v>
      </c>
      <c r="Z111" s="12"/>
      <c r="AA111" s="12"/>
      <c r="AB111" s="11"/>
      <c r="AC111" s="11"/>
    </row>
    <row r="112" spans="1:29" ht="15.75" thickBot="1" x14ac:dyDescent="0.3">
      <c r="A112" s="13">
        <v>45442</v>
      </c>
      <c r="B112" s="7">
        <v>0.41666666666666669</v>
      </c>
      <c r="C112" s="8"/>
      <c r="D112" s="6"/>
      <c r="E112" s="6" t="s">
        <v>60</v>
      </c>
      <c r="F112" s="82">
        <v>20</v>
      </c>
      <c r="G112" s="8">
        <v>124341</v>
      </c>
      <c r="H112" s="6">
        <v>22</v>
      </c>
      <c r="I112" s="8">
        <v>23.9</v>
      </c>
      <c r="J112" s="21"/>
      <c r="K112" s="25"/>
      <c r="L112" s="25"/>
      <c r="M112" s="25"/>
      <c r="N112" s="25"/>
      <c r="O112" s="21"/>
      <c r="P112" s="21"/>
      <c r="Q112" s="21"/>
      <c r="R112" s="21"/>
      <c r="S112" s="10">
        <f t="shared" si="3"/>
        <v>22</v>
      </c>
      <c r="T112" s="95">
        <f t="shared" si="5"/>
        <v>340</v>
      </c>
      <c r="U112" s="11">
        <f t="shared" si="6"/>
        <v>0</v>
      </c>
      <c r="V112" s="11">
        <f t="shared" si="0"/>
        <v>0</v>
      </c>
      <c r="W112" s="96">
        <f t="shared" si="2"/>
        <v>314.64406779661016</v>
      </c>
      <c r="X112" s="12">
        <f>V112/[1]Manure!$I$2</f>
        <v>0</v>
      </c>
      <c r="Y112" s="12">
        <f>W112/[1]Manure!$I$2</f>
        <v>224.39509728768866</v>
      </c>
      <c r="Z112" s="12"/>
      <c r="AA112" s="12"/>
      <c r="AB112" s="11"/>
      <c r="AC112" s="11"/>
    </row>
    <row r="113" spans="1:29" ht="15.75" thickBot="1" x14ac:dyDescent="0.3">
      <c r="A113" s="13">
        <v>45443</v>
      </c>
      <c r="B113" s="7">
        <v>0.41666666666666669</v>
      </c>
      <c r="C113" s="8"/>
      <c r="D113" s="6"/>
      <c r="E113" s="6" t="s">
        <v>60</v>
      </c>
      <c r="F113" s="82">
        <v>20</v>
      </c>
      <c r="G113" s="8">
        <v>124862</v>
      </c>
      <c r="H113" s="6">
        <v>22.5</v>
      </c>
      <c r="I113" s="8">
        <v>24.1</v>
      </c>
      <c r="J113" s="21"/>
      <c r="K113" s="25"/>
      <c r="L113" s="25"/>
      <c r="M113" s="25"/>
      <c r="N113" s="25"/>
      <c r="O113" s="21"/>
      <c r="P113" s="21"/>
      <c r="Q113" s="21"/>
      <c r="R113" s="21"/>
      <c r="S113" s="10">
        <f t="shared" si="3"/>
        <v>22.5</v>
      </c>
      <c r="T113" s="95">
        <f t="shared" si="5"/>
        <v>521</v>
      </c>
      <c r="U113" s="11">
        <f t="shared" si="6"/>
        <v>0</v>
      </c>
      <c r="V113" s="11">
        <f t="shared" si="0"/>
        <v>0</v>
      </c>
      <c r="W113" s="96">
        <f t="shared" si="2"/>
        <v>481.32994923857865</v>
      </c>
      <c r="X113" s="12">
        <f>V113/[1]Manure!$I$2</f>
        <v>0</v>
      </c>
      <c r="Y113" s="12">
        <f>W113/[1]Manure!$I$2</f>
        <v>343.27067261502248</v>
      </c>
      <c r="Z113" s="12"/>
      <c r="AA113" s="12"/>
      <c r="AB113" s="11"/>
      <c r="AC113" s="11"/>
    </row>
    <row r="114" spans="1:29" ht="15.75" thickBot="1" x14ac:dyDescent="0.3">
      <c r="A114" s="13">
        <v>45444</v>
      </c>
      <c r="B114" s="7">
        <v>0.41666666666666669</v>
      </c>
      <c r="C114" s="7"/>
      <c r="D114" s="6"/>
      <c r="E114" s="6" t="s">
        <v>60</v>
      </c>
      <c r="F114" s="82">
        <v>20</v>
      </c>
      <c r="G114" s="8">
        <v>124864</v>
      </c>
      <c r="H114" s="6">
        <v>24.6</v>
      </c>
      <c r="I114" s="8">
        <v>24</v>
      </c>
      <c r="J114" s="21"/>
      <c r="K114" s="25"/>
      <c r="L114" s="25"/>
      <c r="M114" s="25"/>
      <c r="N114" s="25"/>
      <c r="O114" s="21"/>
      <c r="P114" s="21"/>
      <c r="Q114" s="21"/>
      <c r="R114" s="21"/>
      <c r="S114" s="10">
        <f t="shared" si="3"/>
        <v>24.6</v>
      </c>
      <c r="T114" s="95">
        <f t="shared" si="5"/>
        <v>2</v>
      </c>
      <c r="U114" s="11">
        <f t="shared" si="6"/>
        <v>0</v>
      </c>
      <c r="V114" s="11">
        <f t="shared" si="0"/>
        <v>0</v>
      </c>
      <c r="W114" s="96">
        <f t="shared" si="2"/>
        <v>1.8346774193548385</v>
      </c>
      <c r="X114" s="12">
        <f>V114/[1]Manure!$I$2</f>
        <v>0</v>
      </c>
      <c r="Y114" s="12">
        <f>W114/[1]Manure!$I$2</f>
        <v>1.3084391544091587</v>
      </c>
      <c r="Z114" s="12"/>
      <c r="AA114" s="12"/>
      <c r="AB114" s="11"/>
      <c r="AC114" s="11"/>
    </row>
    <row r="115" spans="1:29" ht="15.75" thickBot="1" x14ac:dyDescent="0.3">
      <c r="A115" s="13">
        <v>45446</v>
      </c>
      <c r="B115" s="16">
        <v>0.41666666666666669</v>
      </c>
      <c r="C115" s="7"/>
      <c r="D115" s="6"/>
      <c r="E115" s="6" t="s">
        <v>60</v>
      </c>
      <c r="F115" s="82">
        <v>20</v>
      </c>
      <c r="G115" s="8">
        <v>125278</v>
      </c>
      <c r="H115" s="6">
        <v>26.2</v>
      </c>
      <c r="I115" s="8">
        <v>23.7</v>
      </c>
      <c r="J115" s="21"/>
      <c r="K115" s="25"/>
      <c r="L115" s="25"/>
      <c r="M115" s="25"/>
      <c r="N115" s="25"/>
      <c r="O115" s="21"/>
      <c r="P115" s="21"/>
      <c r="Q115" s="21"/>
      <c r="R115" s="21"/>
      <c r="S115" s="10">
        <f t="shared" si="3"/>
        <v>26.2</v>
      </c>
      <c r="T115" s="95">
        <f t="shared" si="5"/>
        <v>414</v>
      </c>
      <c r="U115" s="11">
        <f t="shared" si="6"/>
        <v>0</v>
      </c>
      <c r="V115" s="11">
        <f t="shared" si="0"/>
        <v>0</v>
      </c>
      <c r="W115" s="96">
        <f t="shared" si="2"/>
        <v>377.74732620320856</v>
      </c>
      <c r="X115" s="12">
        <f>V115/[1]Manure!$I$2</f>
        <v>0</v>
      </c>
      <c r="Y115" s="12">
        <f>W115/[1]Manure!$I$2</f>
        <v>269.39852579177233</v>
      </c>
      <c r="Z115" s="12"/>
      <c r="AA115" s="12"/>
      <c r="AB115" s="11" t="s">
        <v>83</v>
      </c>
      <c r="AC115" s="11"/>
    </row>
    <row r="116" spans="1:29" ht="15.75" thickBot="1" x14ac:dyDescent="0.3">
      <c r="A116" s="13">
        <v>45447</v>
      </c>
      <c r="B116" s="7">
        <v>0.41666666666666669</v>
      </c>
      <c r="C116" s="7"/>
      <c r="D116" s="6"/>
      <c r="E116" s="6" t="s">
        <v>60</v>
      </c>
      <c r="F116" s="82">
        <v>20</v>
      </c>
      <c r="G116" s="8">
        <v>125916</v>
      </c>
      <c r="H116" s="6">
        <v>23.5</v>
      </c>
      <c r="I116" s="8">
        <v>22.4</v>
      </c>
      <c r="J116" s="21"/>
      <c r="K116" s="25"/>
      <c r="L116" s="25"/>
      <c r="M116" s="25"/>
      <c r="N116" s="25"/>
      <c r="O116" s="21"/>
      <c r="P116" s="21"/>
      <c r="Q116" s="21"/>
      <c r="R116" s="21"/>
      <c r="S116" s="10">
        <f t="shared" si="3"/>
        <v>23.5</v>
      </c>
      <c r="T116" s="95">
        <f t="shared" si="5"/>
        <v>638</v>
      </c>
      <c r="U116" s="11">
        <f t="shared" si="6"/>
        <v>0</v>
      </c>
      <c r="V116" s="11">
        <f t="shared" si="0"/>
        <v>0</v>
      </c>
      <c r="W116" s="96">
        <f t="shared" si="2"/>
        <v>587.433389544688</v>
      </c>
      <c r="X116" s="12">
        <f>V116/[1]Manure!$I$2</f>
        <v>0</v>
      </c>
      <c r="Y116" s="12">
        <f>W116/[1]Manure!$I$2</f>
        <v>418.94059379541596</v>
      </c>
      <c r="Z116" s="12"/>
      <c r="AA116" s="12"/>
      <c r="AB116" s="11"/>
      <c r="AC116" s="11"/>
    </row>
    <row r="117" spans="1:29" ht="15.75" thickBot="1" x14ac:dyDescent="0.3">
      <c r="A117" s="13">
        <v>45448</v>
      </c>
      <c r="B117" s="7">
        <v>0.41666666666666669</v>
      </c>
      <c r="C117" s="7"/>
      <c r="D117" s="6"/>
      <c r="E117" s="6" t="s">
        <v>60</v>
      </c>
      <c r="F117" s="82">
        <v>20</v>
      </c>
      <c r="G117" s="8">
        <v>126244</v>
      </c>
      <c r="H117" s="6">
        <v>22</v>
      </c>
      <c r="I117" s="8">
        <v>23.4</v>
      </c>
      <c r="J117" s="21"/>
      <c r="K117" s="25"/>
      <c r="L117" s="25"/>
      <c r="M117" s="25"/>
      <c r="N117" s="25"/>
      <c r="O117" s="21"/>
      <c r="P117" s="21"/>
      <c r="Q117" s="21"/>
      <c r="R117" s="21"/>
      <c r="S117" s="10">
        <f t="shared" si="3"/>
        <v>22</v>
      </c>
      <c r="T117" s="95">
        <f t="shared" si="5"/>
        <v>328</v>
      </c>
      <c r="U117" s="11">
        <f t="shared" si="6"/>
        <v>0</v>
      </c>
      <c r="V117" s="11">
        <f t="shared" si="0"/>
        <v>0</v>
      </c>
      <c r="W117" s="96">
        <f t="shared" si="2"/>
        <v>303.53898305084743</v>
      </c>
      <c r="X117" s="12">
        <f>V117/[1]Manure!$I$2</f>
        <v>0</v>
      </c>
      <c r="Y117" s="12">
        <f>W117/[1]Manure!$I$2</f>
        <v>216.47527032459377</v>
      </c>
      <c r="Z117" s="12"/>
      <c r="AA117" s="12"/>
      <c r="AB117" s="11"/>
      <c r="AC117" s="11"/>
    </row>
    <row r="118" spans="1:29" ht="15.75" thickBot="1" x14ac:dyDescent="0.3">
      <c r="A118" s="13">
        <v>45449</v>
      </c>
      <c r="B118" s="7">
        <v>0.41666666666666669</v>
      </c>
      <c r="C118" s="7"/>
      <c r="D118" s="6"/>
      <c r="E118" s="6" t="s">
        <v>60</v>
      </c>
      <c r="F118" s="82">
        <v>20</v>
      </c>
      <c r="G118" s="8">
        <v>126781</v>
      </c>
      <c r="H118" s="6">
        <v>25.3</v>
      </c>
      <c r="I118" s="8">
        <v>22.8</v>
      </c>
      <c r="J118" s="21"/>
      <c r="K118" s="25"/>
      <c r="L118" s="25"/>
      <c r="M118" s="25"/>
      <c r="N118" s="25"/>
      <c r="O118" s="21"/>
      <c r="P118" s="21"/>
      <c r="Q118" s="21"/>
      <c r="R118" s="21"/>
      <c r="S118" s="10">
        <f t="shared" si="3"/>
        <v>25.3</v>
      </c>
      <c r="T118" s="95">
        <f t="shared" si="5"/>
        <v>537</v>
      </c>
      <c r="U118" s="11">
        <f t="shared" si="6"/>
        <v>0</v>
      </c>
      <c r="V118" s="11">
        <f t="shared" si="0"/>
        <v>0</v>
      </c>
      <c r="W118" s="96">
        <f t="shared" si="2"/>
        <v>491.45491116325843</v>
      </c>
      <c r="X118" s="12">
        <f>V118/[1]Manure!$I$2</f>
        <v>0</v>
      </c>
      <c r="Y118" s="12">
        <f>W118/[1]Manure!$I$2</f>
        <v>350.49150417886847</v>
      </c>
      <c r="Z118" s="12"/>
      <c r="AA118" s="12"/>
      <c r="AB118" s="15"/>
      <c r="AC118" s="11"/>
    </row>
    <row r="119" spans="1:29" ht="15.75" thickBot="1" x14ac:dyDescent="0.3">
      <c r="A119" s="13">
        <v>45450</v>
      </c>
      <c r="B119" s="7">
        <v>0.41666666666666669</v>
      </c>
      <c r="C119" s="7"/>
      <c r="D119" s="6"/>
      <c r="E119" s="6" t="s">
        <v>60</v>
      </c>
      <c r="F119" s="82">
        <v>20</v>
      </c>
      <c r="G119" s="8">
        <v>127002</v>
      </c>
      <c r="H119" s="6">
        <v>22.4</v>
      </c>
      <c r="I119" s="8">
        <v>22.1</v>
      </c>
      <c r="J119" s="21"/>
      <c r="K119" s="25"/>
      <c r="L119" s="25"/>
      <c r="M119" s="25"/>
      <c r="N119" s="25"/>
      <c r="O119" s="21"/>
      <c r="P119" s="21"/>
      <c r="Q119" s="21"/>
      <c r="R119" s="21"/>
      <c r="S119" s="10">
        <f t="shared" si="3"/>
        <v>22.4</v>
      </c>
      <c r="T119" s="95">
        <f t="shared" si="5"/>
        <v>221</v>
      </c>
      <c r="U119" s="11">
        <f t="shared" si="6"/>
        <v>0</v>
      </c>
      <c r="V119" s="11">
        <f t="shared" si="0"/>
        <v>0</v>
      </c>
      <c r="W119" s="96">
        <f t="shared" si="2"/>
        <v>204.24170616113747</v>
      </c>
      <c r="X119" s="12">
        <f>V119/[1]Manure!$I$2</f>
        <v>0</v>
      </c>
      <c r="Y119" s="12">
        <f>W119/[1]Manure!$I$2</f>
        <v>145.65930908908027</v>
      </c>
      <c r="Z119" s="12"/>
      <c r="AA119" s="12"/>
      <c r="AB119" s="11"/>
      <c r="AC119" s="11"/>
    </row>
    <row r="120" spans="1:29" ht="15.75" thickBot="1" x14ac:dyDescent="0.3">
      <c r="A120" s="13">
        <v>45451</v>
      </c>
      <c r="B120" s="7">
        <v>0.41666666666666669</v>
      </c>
      <c r="C120" s="7"/>
      <c r="D120" s="6"/>
      <c r="E120" s="6" t="s">
        <v>60</v>
      </c>
      <c r="F120" s="82">
        <v>20</v>
      </c>
      <c r="G120" s="8">
        <v>127562</v>
      </c>
      <c r="H120" s="6">
        <v>19.399999999999999</v>
      </c>
      <c r="I120" s="8">
        <v>23.1</v>
      </c>
      <c r="J120" s="21"/>
      <c r="K120" s="25"/>
      <c r="L120" s="25"/>
      <c r="M120" s="25"/>
      <c r="N120" s="25"/>
      <c r="O120" s="21"/>
      <c r="P120" s="21"/>
      <c r="Q120" s="21"/>
      <c r="R120" s="21"/>
      <c r="S120" s="10">
        <f t="shared" si="3"/>
        <v>19.399999999999999</v>
      </c>
      <c r="T120" s="95">
        <f t="shared" si="5"/>
        <v>560</v>
      </c>
      <c r="U120" s="11">
        <f t="shared" si="6"/>
        <v>0</v>
      </c>
      <c r="V120" s="11">
        <f t="shared" si="0"/>
        <v>0</v>
      </c>
      <c r="W120" s="96">
        <f t="shared" si="2"/>
        <v>522.84541723666212</v>
      </c>
      <c r="X120" s="12">
        <f>V120/[1]Manure!$I$2</f>
        <v>0</v>
      </c>
      <c r="Y120" s="12">
        <f>W120/[1]Manure!$I$2</f>
        <v>372.87831004995343</v>
      </c>
      <c r="Z120" s="12"/>
      <c r="AA120" s="12"/>
      <c r="AB120" s="11"/>
      <c r="AC120" s="11"/>
    </row>
    <row r="121" spans="1:29" ht="15.75" thickBot="1" x14ac:dyDescent="0.3">
      <c r="A121" s="13">
        <v>45453</v>
      </c>
      <c r="B121" s="7">
        <v>0.41666666666666669</v>
      </c>
      <c r="C121" s="7"/>
      <c r="D121" s="6"/>
      <c r="E121" s="6" t="s">
        <v>60</v>
      </c>
      <c r="F121" s="82">
        <v>20</v>
      </c>
      <c r="G121" s="8">
        <v>128056</v>
      </c>
      <c r="H121" s="6">
        <v>22.8</v>
      </c>
      <c r="I121" s="8">
        <v>22</v>
      </c>
      <c r="J121" s="21"/>
      <c r="K121" s="25"/>
      <c r="L121" s="25"/>
      <c r="M121" s="25"/>
      <c r="N121" s="25"/>
      <c r="O121" s="21"/>
      <c r="P121" s="21"/>
      <c r="Q121" s="21"/>
      <c r="R121" s="21"/>
      <c r="S121" s="10">
        <f t="shared" si="3"/>
        <v>22.8</v>
      </c>
      <c r="T121" s="95">
        <f t="shared" si="5"/>
        <v>494</v>
      </c>
      <c r="U121" s="11">
        <f t="shared" si="6"/>
        <v>0</v>
      </c>
      <c r="V121" s="11">
        <f t="shared" si="0"/>
        <v>0</v>
      </c>
      <c r="W121" s="96">
        <f t="shared" si="2"/>
        <v>455.92292089249491</v>
      </c>
      <c r="X121" s="12">
        <f>V121/[1]Manure!$I$2</f>
        <v>0</v>
      </c>
      <c r="Y121" s="12">
        <f>W121/[1]Manure!$I$2</f>
        <v>325.15111092286986</v>
      </c>
      <c r="Z121" s="12"/>
      <c r="AA121" s="12"/>
      <c r="AB121" s="11"/>
      <c r="AC121" s="11"/>
    </row>
    <row r="122" spans="1:29" ht="15.75" thickBot="1" x14ac:dyDescent="0.3">
      <c r="A122" s="13">
        <v>45454</v>
      </c>
      <c r="B122" s="7">
        <v>0.41666666666666669</v>
      </c>
      <c r="C122" s="7"/>
      <c r="D122" s="6"/>
      <c r="E122" s="6" t="s">
        <v>60</v>
      </c>
      <c r="F122" s="82">
        <v>20</v>
      </c>
      <c r="G122" s="8">
        <v>128868</v>
      </c>
      <c r="H122" s="6">
        <v>19.399999999999999</v>
      </c>
      <c r="I122" s="8">
        <v>22.8</v>
      </c>
      <c r="J122" s="21"/>
      <c r="K122" s="25"/>
      <c r="L122" s="25"/>
      <c r="M122" s="25"/>
      <c r="N122" s="25"/>
      <c r="O122" s="21"/>
      <c r="P122" s="21"/>
      <c r="Q122" s="21"/>
      <c r="R122" s="21"/>
      <c r="S122" s="10">
        <f t="shared" si="3"/>
        <v>19.399999999999999</v>
      </c>
      <c r="T122" s="95">
        <f t="shared" si="5"/>
        <v>812</v>
      </c>
      <c r="U122" s="11">
        <f t="shared" si="6"/>
        <v>0</v>
      </c>
      <c r="V122" s="11">
        <f t="shared" si="0"/>
        <v>0</v>
      </c>
      <c r="W122" s="96">
        <f t="shared" si="2"/>
        <v>758.12585499316015</v>
      </c>
      <c r="X122" s="12">
        <f>V122/[1]Manure!$I$2</f>
        <v>0</v>
      </c>
      <c r="Y122" s="12">
        <f>W122/[1]Manure!$I$2</f>
        <v>540.67354957243253</v>
      </c>
      <c r="Z122" s="12"/>
      <c r="AA122" s="12"/>
      <c r="AB122" s="11"/>
      <c r="AC122" s="11"/>
    </row>
    <row r="123" spans="1:29" ht="15.75" thickBot="1" x14ac:dyDescent="0.3">
      <c r="A123" s="13">
        <v>45455</v>
      </c>
      <c r="B123" s="7">
        <v>0.41666666666666669</v>
      </c>
      <c r="C123" s="7"/>
      <c r="D123" s="6"/>
      <c r="E123" s="6" t="s">
        <v>60</v>
      </c>
      <c r="F123" s="82">
        <v>20</v>
      </c>
      <c r="G123" s="8">
        <v>129152</v>
      </c>
      <c r="H123" s="6">
        <v>22.1</v>
      </c>
      <c r="I123" s="8">
        <v>20</v>
      </c>
      <c r="J123" s="21"/>
      <c r="K123" s="25"/>
      <c r="L123" s="25"/>
      <c r="M123" s="25"/>
      <c r="N123" s="25"/>
      <c r="O123" s="21"/>
      <c r="P123" s="21"/>
      <c r="Q123" s="21"/>
      <c r="R123" s="21"/>
      <c r="S123" s="10">
        <f t="shared" si="3"/>
        <v>22.1</v>
      </c>
      <c r="T123" s="95">
        <f t="shared" si="5"/>
        <v>284</v>
      </c>
      <c r="U123" s="11">
        <f t="shared" si="6"/>
        <v>0</v>
      </c>
      <c r="V123" s="11">
        <f t="shared" si="0"/>
        <v>0</v>
      </c>
      <c r="W123" s="96">
        <f t="shared" si="2"/>
        <v>262.73127753303964</v>
      </c>
      <c r="X123" s="12">
        <f>V123/[1]Manure!$I$2</f>
        <v>0</v>
      </c>
      <c r="Y123" s="12">
        <f>W123/[1]Manure!$I$2</f>
        <v>187.3723887292698</v>
      </c>
      <c r="Z123" s="12"/>
      <c r="AA123" s="12"/>
      <c r="AB123" s="11"/>
      <c r="AC123" s="11"/>
    </row>
    <row r="124" spans="1:29" ht="15.75" thickBot="1" x14ac:dyDescent="0.3">
      <c r="A124" s="13">
        <v>45456</v>
      </c>
      <c r="B124" s="7">
        <v>0.41666666666666669</v>
      </c>
      <c r="C124" s="7"/>
      <c r="D124" s="6"/>
      <c r="E124" s="6" t="s">
        <v>60</v>
      </c>
      <c r="F124" s="82">
        <v>20</v>
      </c>
      <c r="G124" s="8">
        <v>129532</v>
      </c>
      <c r="H124" s="6">
        <v>23.1</v>
      </c>
      <c r="I124" s="8">
        <v>22.8</v>
      </c>
      <c r="J124" s="21"/>
      <c r="K124" s="26"/>
      <c r="L124" s="26"/>
      <c r="M124" s="26"/>
      <c r="N124" s="25"/>
      <c r="O124" s="21"/>
      <c r="P124" s="21"/>
      <c r="Q124" s="21"/>
      <c r="R124" s="21"/>
      <c r="S124" s="10">
        <f t="shared" si="3"/>
        <v>23.1</v>
      </c>
      <c r="T124" s="95">
        <f t="shared" si="5"/>
        <v>380</v>
      </c>
      <c r="U124" s="11">
        <f t="shared" si="6"/>
        <v>0</v>
      </c>
      <c r="V124" s="11">
        <f t="shared" si="0"/>
        <v>0</v>
      </c>
      <c r="W124" s="96">
        <f t="shared" si="2"/>
        <v>350.35460992907798</v>
      </c>
      <c r="X124" s="12">
        <f>V124/[1]Manure!$I$2</f>
        <v>0</v>
      </c>
      <c r="Y124" s="12">
        <f>W124/[1]Manure!$I$2</f>
        <v>249.86282859477024</v>
      </c>
      <c r="Z124" s="12"/>
      <c r="AA124" s="12"/>
      <c r="AB124" s="11"/>
      <c r="AC124" s="11"/>
    </row>
    <row r="125" spans="1:29" ht="15.75" thickBot="1" x14ac:dyDescent="0.3">
      <c r="A125" s="13">
        <v>45457</v>
      </c>
      <c r="B125" s="7">
        <v>0.41666666666666669</v>
      </c>
      <c r="C125" s="7"/>
      <c r="D125" s="6"/>
      <c r="E125" s="6" t="s">
        <v>60</v>
      </c>
      <c r="F125" s="82">
        <v>20</v>
      </c>
      <c r="G125" s="8">
        <v>129532</v>
      </c>
      <c r="H125" s="6">
        <v>23.2</v>
      </c>
      <c r="I125" s="8">
        <v>23</v>
      </c>
      <c r="J125" s="21"/>
      <c r="K125" s="26"/>
      <c r="L125" s="26"/>
      <c r="M125" s="26"/>
      <c r="N125" s="25"/>
      <c r="O125" s="21"/>
      <c r="P125" s="21"/>
      <c r="Q125" s="21"/>
      <c r="R125" s="21"/>
      <c r="S125" s="10">
        <f t="shared" si="3"/>
        <v>23.2</v>
      </c>
      <c r="T125" s="95">
        <f t="shared" si="5"/>
        <v>0</v>
      </c>
      <c r="U125" s="11">
        <f t="shared" si="6"/>
        <v>0</v>
      </c>
      <c r="V125" s="11">
        <f t="shared" si="0"/>
        <v>0</v>
      </c>
      <c r="W125" s="96">
        <f t="shared" si="2"/>
        <v>0</v>
      </c>
      <c r="X125" s="12">
        <f>V125/[1]Manure!$I$2</f>
        <v>0</v>
      </c>
      <c r="Y125" s="12">
        <f>W125/[1]Manure!$I$2</f>
        <v>0</v>
      </c>
      <c r="Z125" s="12"/>
      <c r="AA125" s="12"/>
      <c r="AB125" s="11"/>
      <c r="AC125" s="11"/>
    </row>
    <row r="126" spans="1:29" ht="15.75" thickBot="1" x14ac:dyDescent="0.3">
      <c r="A126" s="13">
        <v>45458</v>
      </c>
      <c r="B126" s="7">
        <v>0.41666666666666669</v>
      </c>
      <c r="C126" s="16"/>
      <c r="D126" s="6"/>
      <c r="E126" s="6" t="s">
        <v>60</v>
      </c>
      <c r="F126" s="82">
        <v>20</v>
      </c>
      <c r="G126" s="8">
        <v>129532</v>
      </c>
      <c r="H126" s="6">
        <v>23.2</v>
      </c>
      <c r="I126" s="8">
        <v>23.4</v>
      </c>
      <c r="J126" s="21"/>
      <c r="K126" s="26"/>
      <c r="L126" s="26"/>
      <c r="M126" s="26"/>
      <c r="N126" s="25"/>
      <c r="O126" s="21"/>
      <c r="P126" s="21"/>
      <c r="Q126" s="21"/>
      <c r="R126" s="21"/>
      <c r="S126" s="10">
        <f t="shared" si="3"/>
        <v>23.2</v>
      </c>
      <c r="T126" s="95">
        <f t="shared" si="5"/>
        <v>0</v>
      </c>
      <c r="U126" s="11">
        <f t="shared" si="6"/>
        <v>0</v>
      </c>
      <c r="V126" s="11">
        <f t="shared" si="0"/>
        <v>0</v>
      </c>
      <c r="W126" s="96">
        <f t="shared" si="2"/>
        <v>0</v>
      </c>
      <c r="X126" s="12">
        <f>V126/[1]Manure!$I$2</f>
        <v>0</v>
      </c>
      <c r="Y126" s="12">
        <f>W126/[1]Manure!$I$2</f>
        <v>0</v>
      </c>
      <c r="Z126" s="12"/>
      <c r="AA126" s="12"/>
      <c r="AB126" s="11" t="s">
        <v>83</v>
      </c>
      <c r="AC126" s="11"/>
    </row>
    <row r="127" spans="1:29" ht="15.75" thickBot="1" x14ac:dyDescent="0.3">
      <c r="A127" s="13">
        <v>45460</v>
      </c>
      <c r="B127" s="7">
        <v>0.41666666666666669</v>
      </c>
      <c r="C127" s="16"/>
      <c r="D127" s="6"/>
      <c r="E127" s="6" t="s">
        <v>60</v>
      </c>
      <c r="F127" s="82">
        <v>20</v>
      </c>
      <c r="G127" s="8">
        <v>129628</v>
      </c>
      <c r="H127" s="6">
        <v>23.1</v>
      </c>
      <c r="I127" s="8">
        <v>23.9</v>
      </c>
      <c r="J127" s="21"/>
      <c r="K127" s="26"/>
      <c r="L127" s="26"/>
      <c r="M127" s="26"/>
      <c r="N127" s="25"/>
      <c r="O127" s="21"/>
      <c r="P127" s="21"/>
      <c r="Q127" s="21"/>
      <c r="R127" s="21"/>
      <c r="S127" s="10">
        <f t="shared" si="3"/>
        <v>23.1</v>
      </c>
      <c r="T127" s="95">
        <f t="shared" si="5"/>
        <v>96</v>
      </c>
      <c r="U127" s="11">
        <f t="shared" si="6"/>
        <v>0</v>
      </c>
      <c r="V127" s="11">
        <f t="shared" si="0"/>
        <v>0</v>
      </c>
      <c r="W127" s="96">
        <f t="shared" si="2"/>
        <v>88.510638297872333</v>
      </c>
      <c r="X127" s="12">
        <f>V127/[1]Manure!$I$2</f>
        <v>0</v>
      </c>
      <c r="Y127" s="12">
        <f>W127/[1]Manure!$I$2</f>
        <v>63.123240908152482</v>
      </c>
      <c r="Z127" s="12"/>
      <c r="AA127" s="12"/>
      <c r="AB127" s="11"/>
      <c r="AC127" s="11"/>
    </row>
    <row r="128" spans="1:29" ht="15.75" thickBot="1" x14ac:dyDescent="0.3">
      <c r="A128" s="13">
        <v>45461</v>
      </c>
      <c r="B128" s="7">
        <v>0.41666666666666669</v>
      </c>
      <c r="C128" s="16"/>
      <c r="D128" s="6"/>
      <c r="E128" s="6" t="s">
        <v>60</v>
      </c>
      <c r="F128" s="82">
        <v>20</v>
      </c>
      <c r="G128" s="8">
        <v>130008</v>
      </c>
      <c r="H128" s="6">
        <v>27</v>
      </c>
      <c r="I128" s="8">
        <v>22.4</v>
      </c>
      <c r="J128" s="21"/>
      <c r="K128" s="26"/>
      <c r="L128" s="26"/>
      <c r="M128" s="26"/>
      <c r="N128" s="25"/>
      <c r="O128" s="21"/>
      <c r="P128" s="21"/>
      <c r="Q128" s="21"/>
      <c r="R128" s="21"/>
      <c r="S128" s="10">
        <f t="shared" si="3"/>
        <v>27</v>
      </c>
      <c r="T128" s="95">
        <f t="shared" si="5"/>
        <v>380</v>
      </c>
      <c r="U128" s="11">
        <f t="shared" si="6"/>
        <v>0</v>
      </c>
      <c r="V128" s="11">
        <f t="shared" si="0"/>
        <v>0</v>
      </c>
      <c r="W128" s="96">
        <f t="shared" si="2"/>
        <v>345.8</v>
      </c>
      <c r="X128" s="12">
        <f>V128/[1]Manure!$I$2</f>
        <v>0</v>
      </c>
      <c r="Y128" s="12">
        <f>W128/[1]Manure!$I$2</f>
        <v>246.61461182303825</v>
      </c>
      <c r="Z128" s="12"/>
      <c r="AA128" s="12"/>
      <c r="AB128" s="11"/>
      <c r="AC128" s="11"/>
    </row>
    <row r="129" spans="1:29" ht="15.75" thickBot="1" x14ac:dyDescent="0.3">
      <c r="A129" s="13">
        <v>45462</v>
      </c>
      <c r="B129" s="7">
        <v>0.41666666666666669</v>
      </c>
      <c r="C129" s="16"/>
      <c r="D129" s="6"/>
      <c r="E129" s="6" t="s">
        <v>60</v>
      </c>
      <c r="F129" s="82">
        <v>20</v>
      </c>
      <c r="G129" s="8">
        <v>130380</v>
      </c>
      <c r="H129" s="6">
        <v>24</v>
      </c>
      <c r="I129" s="8">
        <v>22.6</v>
      </c>
      <c r="J129" s="21"/>
      <c r="K129" s="26"/>
      <c r="L129" s="26"/>
      <c r="M129" s="26"/>
      <c r="N129" s="25"/>
      <c r="O129" s="21"/>
      <c r="P129" s="21"/>
      <c r="Q129" s="21"/>
      <c r="R129" s="21"/>
      <c r="S129" s="11">
        <f t="shared" si="3"/>
        <v>24</v>
      </c>
      <c r="T129" s="95">
        <f t="shared" si="5"/>
        <v>372</v>
      </c>
      <c r="U129" s="11">
        <f t="shared" si="6"/>
        <v>0</v>
      </c>
      <c r="V129" s="11">
        <f t="shared" si="0"/>
        <v>0</v>
      </c>
      <c r="W129" s="96">
        <f t="shared" si="2"/>
        <v>341.93939393939394</v>
      </c>
      <c r="X129" s="12">
        <f>V129/[1]Manure!$I$2</f>
        <v>0</v>
      </c>
      <c r="Y129" s="12">
        <f>W129/[1]Manure!$I$2</f>
        <v>243.86133864479061</v>
      </c>
      <c r="Z129" s="12"/>
      <c r="AA129" s="12"/>
      <c r="AB129" s="15"/>
      <c r="AC129" s="11"/>
    </row>
    <row r="130" spans="1:29" ht="15.75" thickBot="1" x14ac:dyDescent="0.3">
      <c r="A130" s="13">
        <v>45463</v>
      </c>
      <c r="B130" s="7">
        <v>0.41666666666666669</v>
      </c>
      <c r="C130" s="16"/>
      <c r="D130" s="6"/>
      <c r="E130" s="6" t="s">
        <v>60</v>
      </c>
      <c r="F130" s="82">
        <v>20</v>
      </c>
      <c r="G130" s="8">
        <v>130754</v>
      </c>
      <c r="H130" s="6">
        <v>22.6</v>
      </c>
      <c r="I130" s="8">
        <v>23</v>
      </c>
      <c r="J130" s="21"/>
      <c r="K130" s="25"/>
      <c r="L130" s="25"/>
      <c r="M130" s="25"/>
      <c r="N130" s="25"/>
      <c r="O130" s="21"/>
      <c r="P130" s="21"/>
      <c r="Q130" s="21"/>
      <c r="R130" s="21"/>
      <c r="S130" s="10">
        <f t="shared" si="3"/>
        <v>22.6</v>
      </c>
      <c r="T130" s="95">
        <f t="shared" si="5"/>
        <v>374</v>
      </c>
      <c r="U130" s="11">
        <f t="shared" si="6"/>
        <v>0</v>
      </c>
      <c r="V130" s="11">
        <f t="shared" si="0"/>
        <v>0</v>
      </c>
      <c r="W130" s="96">
        <f t="shared" si="2"/>
        <v>345.40595399188089</v>
      </c>
      <c r="X130" s="12">
        <f>V130/[1]Manure!$I$2</f>
        <v>0</v>
      </c>
      <c r="Y130" s="12">
        <f>W130/[1]Manure!$I$2</f>
        <v>246.33358954619408</v>
      </c>
      <c r="Z130" s="12"/>
      <c r="AA130" s="12"/>
      <c r="AB130" s="11"/>
      <c r="AC130" s="11"/>
    </row>
    <row r="131" spans="1:29" ht="15.75" thickBot="1" x14ac:dyDescent="0.3">
      <c r="A131" s="13">
        <v>45464</v>
      </c>
      <c r="B131" s="7">
        <v>0.41666666666666669</v>
      </c>
      <c r="C131" s="16"/>
      <c r="D131" s="6"/>
      <c r="E131" s="6" t="s">
        <v>60</v>
      </c>
      <c r="F131" s="82">
        <v>20</v>
      </c>
      <c r="G131" s="8">
        <v>130972</v>
      </c>
      <c r="H131" s="6">
        <v>23.5</v>
      </c>
      <c r="I131" s="8">
        <v>18.399999999999999</v>
      </c>
      <c r="J131" s="21"/>
      <c r="K131" s="25"/>
      <c r="L131" s="25"/>
      <c r="M131" s="25"/>
      <c r="N131" s="25"/>
      <c r="O131" s="21"/>
      <c r="P131" s="21"/>
      <c r="Q131" s="21"/>
      <c r="R131" s="21"/>
      <c r="S131" s="10">
        <f t="shared" si="3"/>
        <v>23.5</v>
      </c>
      <c r="T131" s="95">
        <f t="shared" si="5"/>
        <v>218</v>
      </c>
      <c r="U131" s="11">
        <f t="shared" si="6"/>
        <v>0</v>
      </c>
      <c r="V131" s="11">
        <f t="shared" si="0"/>
        <v>0</v>
      </c>
      <c r="W131" s="96">
        <f t="shared" si="2"/>
        <v>200.72175379426642</v>
      </c>
      <c r="X131" s="12">
        <f>V131/[1]Manure!$I$2</f>
        <v>0</v>
      </c>
      <c r="Y131" s="12">
        <f>W131/[1]Manure!$I$2</f>
        <v>143.14898032507944</v>
      </c>
      <c r="Z131" s="12"/>
      <c r="AA131" s="12"/>
      <c r="AB131" s="11"/>
      <c r="AC131" s="11"/>
    </row>
    <row r="132" spans="1:29" ht="15.75" thickBot="1" x14ac:dyDescent="0.3">
      <c r="A132" s="13">
        <v>45465</v>
      </c>
      <c r="B132" s="33">
        <v>0.41666666666666669</v>
      </c>
      <c r="C132" s="17"/>
      <c r="D132" s="6"/>
      <c r="E132" s="6" t="s">
        <v>60</v>
      </c>
      <c r="F132" s="82">
        <v>20</v>
      </c>
      <c r="G132" s="8">
        <v>131409</v>
      </c>
      <c r="H132" s="6">
        <v>21</v>
      </c>
      <c r="I132" s="8">
        <v>20.100000000000001</v>
      </c>
      <c r="J132" s="21"/>
      <c r="K132" s="25"/>
      <c r="L132" s="25"/>
      <c r="M132" s="25"/>
      <c r="N132" s="25"/>
      <c r="O132" s="21"/>
      <c r="P132" s="21"/>
      <c r="Q132" s="21"/>
      <c r="R132" s="21"/>
      <c r="S132" s="10">
        <f t="shared" si="3"/>
        <v>21</v>
      </c>
      <c r="T132" s="95">
        <f t="shared" si="5"/>
        <v>437</v>
      </c>
      <c r="U132" s="11">
        <f t="shared" si="6"/>
        <v>0</v>
      </c>
      <c r="V132" s="11">
        <f t="shared" si="0"/>
        <v>0</v>
      </c>
      <c r="W132" s="96">
        <f t="shared" si="2"/>
        <v>405.78571428571428</v>
      </c>
      <c r="X132" s="12">
        <f>V132/[1]Manure!$I$2</f>
        <v>0</v>
      </c>
      <c r="Y132" s="12">
        <f>W132/[1]Manure!$I$2</f>
        <v>289.39469754744283</v>
      </c>
      <c r="Z132" s="12"/>
      <c r="AA132" s="12"/>
      <c r="AB132" s="11"/>
      <c r="AC132" s="11"/>
    </row>
    <row r="133" spans="1:29" ht="15.75" thickBot="1" x14ac:dyDescent="0.3">
      <c r="A133" s="13">
        <v>45467</v>
      </c>
      <c r="B133" s="33">
        <v>0.41666666666666669</v>
      </c>
      <c r="C133" s="16"/>
      <c r="D133" s="6"/>
      <c r="E133" s="6" t="s">
        <v>60</v>
      </c>
      <c r="F133" s="82">
        <v>20</v>
      </c>
      <c r="G133" s="8">
        <v>132150</v>
      </c>
      <c r="H133" s="6">
        <v>18.3</v>
      </c>
      <c r="I133" s="8">
        <v>20.7</v>
      </c>
      <c r="J133" s="21"/>
      <c r="K133" s="25"/>
      <c r="L133" s="25"/>
      <c r="M133" s="25"/>
      <c r="N133" s="25"/>
      <c r="O133" s="21"/>
      <c r="P133" s="21"/>
      <c r="Q133" s="21"/>
      <c r="R133" s="21"/>
      <c r="S133" s="10">
        <f t="shared" si="3"/>
        <v>18.3</v>
      </c>
      <c r="T133" s="95">
        <f t="shared" si="5"/>
        <v>741</v>
      </c>
      <c r="U133" s="11">
        <f t="shared" si="6"/>
        <v>0</v>
      </c>
      <c r="V133" s="11">
        <f t="shared" si="0"/>
        <v>0</v>
      </c>
      <c r="W133" s="96">
        <f t="shared" si="2"/>
        <v>694.44902162718847</v>
      </c>
      <c r="X133" s="12">
        <f>V133/[1]Manure!$I$2</f>
        <v>0</v>
      </c>
      <c r="Y133" s="12">
        <f>W133/[1]Manure!$I$2</f>
        <v>495.26106390826425</v>
      </c>
      <c r="Z133" s="12"/>
      <c r="AA133" s="12"/>
      <c r="AB133" s="11"/>
      <c r="AC133" s="11"/>
    </row>
    <row r="134" spans="1:29" ht="15.75" thickBot="1" x14ac:dyDescent="0.3">
      <c r="A134" s="13">
        <v>45468</v>
      </c>
      <c r="B134" s="33">
        <v>0.41666666666666669</v>
      </c>
      <c r="C134" s="16"/>
      <c r="D134" s="6"/>
      <c r="E134" s="6" t="s">
        <v>60</v>
      </c>
      <c r="F134" s="82">
        <v>20</v>
      </c>
      <c r="G134" s="8">
        <v>132455</v>
      </c>
      <c r="H134" s="6">
        <v>19.5</v>
      </c>
      <c r="I134" s="8">
        <v>21</v>
      </c>
      <c r="J134" s="21"/>
      <c r="K134" s="25"/>
      <c r="L134" s="25"/>
      <c r="M134" s="25"/>
      <c r="N134" s="25"/>
      <c r="O134" s="21"/>
      <c r="P134" s="21"/>
      <c r="Q134" s="21"/>
      <c r="R134" s="21"/>
      <c r="S134" s="10">
        <f t="shared" si="3"/>
        <v>19.5</v>
      </c>
      <c r="T134" s="95">
        <f t="shared" si="5"/>
        <v>305</v>
      </c>
      <c r="U134" s="11">
        <f t="shared" si="6"/>
        <v>0</v>
      </c>
      <c r="V134" s="11">
        <f t="shared" si="0"/>
        <v>0</v>
      </c>
      <c r="W134" s="96">
        <f t="shared" si="2"/>
        <v>284.66666666666669</v>
      </c>
      <c r="X134" s="12">
        <f>V134/[1]Manure!$I$2</f>
        <v>0</v>
      </c>
      <c r="Y134" s="12">
        <f>W134/[1]Manure!$I$2</f>
        <v>203.01607720924878</v>
      </c>
      <c r="Z134" s="12"/>
      <c r="AA134" s="12"/>
      <c r="AB134" s="11"/>
      <c r="AC134" s="11"/>
    </row>
    <row r="135" spans="1:29" ht="15.75" thickBot="1" x14ac:dyDescent="0.3">
      <c r="A135" s="13">
        <v>45469</v>
      </c>
      <c r="B135" s="33">
        <v>0.41666666666666669</v>
      </c>
      <c r="C135" s="16"/>
      <c r="D135" s="6"/>
      <c r="E135" s="6" t="s">
        <v>60</v>
      </c>
      <c r="F135" s="82">
        <v>20</v>
      </c>
      <c r="G135" s="8">
        <v>132794</v>
      </c>
      <c r="H135" s="6">
        <v>19.899999999999999</v>
      </c>
      <c r="I135" s="8">
        <v>22.1</v>
      </c>
      <c r="J135" s="21"/>
      <c r="K135" s="25"/>
      <c r="L135" s="25"/>
      <c r="M135" s="25"/>
      <c r="N135" s="25"/>
      <c r="O135" s="21"/>
      <c r="P135" s="21"/>
      <c r="Q135" s="21"/>
      <c r="R135" s="21"/>
      <c r="S135" s="10">
        <f t="shared" si="3"/>
        <v>19.899999999999999</v>
      </c>
      <c r="T135" s="95">
        <f t="shared" si="5"/>
        <v>339</v>
      </c>
      <c r="U135" s="11">
        <f t="shared" si="6"/>
        <v>0</v>
      </c>
      <c r="V135" s="11">
        <f t="shared" si="0"/>
        <v>0</v>
      </c>
      <c r="W135" s="96">
        <f t="shared" si="2"/>
        <v>315.96790713554117</v>
      </c>
      <c r="X135" s="12">
        <f>V135/[1]Manure!$I$2</f>
        <v>0</v>
      </c>
      <c r="Y135" s="12">
        <f>W135/[1]Manure!$I$2</f>
        <v>225.33922141922869</v>
      </c>
      <c r="Z135" s="12"/>
      <c r="AA135" s="12"/>
      <c r="AB135" s="11"/>
      <c r="AC135" s="11"/>
    </row>
    <row r="136" spans="1:29" ht="15.75" thickBot="1" x14ac:dyDescent="0.3">
      <c r="A136" s="13">
        <v>45470</v>
      </c>
      <c r="B136" s="7">
        <v>0.41666666666666669</v>
      </c>
      <c r="C136" s="16"/>
      <c r="D136" s="6"/>
      <c r="E136" s="6" t="s">
        <v>60</v>
      </c>
      <c r="F136" s="82">
        <v>20</v>
      </c>
      <c r="G136" s="8">
        <v>133220</v>
      </c>
      <c r="H136" s="6">
        <v>18.399999999999999</v>
      </c>
      <c r="I136" s="8">
        <v>21.8</v>
      </c>
      <c r="J136" s="21"/>
      <c r="K136" s="25"/>
      <c r="L136" s="25"/>
      <c r="M136" s="25"/>
      <c r="N136" s="25"/>
      <c r="O136" s="21"/>
      <c r="P136" s="21"/>
      <c r="Q136" s="21"/>
      <c r="R136" s="21"/>
      <c r="S136" s="10">
        <f t="shared" si="3"/>
        <v>18.399999999999999</v>
      </c>
      <c r="T136" s="95">
        <f t="shared" si="5"/>
        <v>426</v>
      </c>
      <c r="U136" s="11">
        <f t="shared" si="6"/>
        <v>0</v>
      </c>
      <c r="V136" s="11">
        <f t="shared" si="0"/>
        <v>0</v>
      </c>
      <c r="W136" s="96">
        <f t="shared" si="2"/>
        <v>399.10089224433773</v>
      </c>
      <c r="X136" s="12">
        <f>V136/[1]Manure!$I$2</f>
        <v>0</v>
      </c>
      <c r="Y136" s="12">
        <f>W136/[1]Manure!$I$2</f>
        <v>284.62727478040938</v>
      </c>
      <c r="Z136" s="12"/>
      <c r="AA136" s="12"/>
      <c r="AB136" s="11"/>
      <c r="AC136" s="11"/>
    </row>
    <row r="137" spans="1:29" ht="15.75" thickBot="1" x14ac:dyDescent="0.3">
      <c r="A137" s="13">
        <v>45471</v>
      </c>
      <c r="B137" s="7">
        <v>0.41666666666666669</v>
      </c>
      <c r="C137" s="16"/>
      <c r="D137" s="6"/>
      <c r="E137" s="6" t="s">
        <v>60</v>
      </c>
      <c r="F137" s="82">
        <v>20</v>
      </c>
      <c r="G137" s="8">
        <v>133701</v>
      </c>
      <c r="H137" s="6">
        <v>21.6</v>
      </c>
      <c r="I137" s="8">
        <v>20.8</v>
      </c>
      <c r="J137" s="21"/>
      <c r="K137" s="25"/>
      <c r="L137" s="25"/>
      <c r="M137" s="25"/>
      <c r="N137" s="25"/>
      <c r="O137" s="21"/>
      <c r="P137" s="21"/>
      <c r="Q137" s="21"/>
      <c r="R137" s="21"/>
      <c r="S137" s="10">
        <f t="shared" si="3"/>
        <v>21.6</v>
      </c>
      <c r="T137" s="95">
        <f t="shared" si="5"/>
        <v>481</v>
      </c>
      <c r="U137" s="11">
        <f t="shared" si="6"/>
        <v>0</v>
      </c>
      <c r="V137" s="11">
        <f t="shared" si="0"/>
        <v>0</v>
      </c>
      <c r="W137" s="96">
        <f t="shared" si="2"/>
        <v>445.73319755600812</v>
      </c>
      <c r="X137" s="12">
        <f>V137/[1]Manure!$I$2</f>
        <v>0</v>
      </c>
      <c r="Y137" s="12">
        <f>W137/[1]Manure!$I$2</f>
        <v>317.88409338321736</v>
      </c>
      <c r="Z137" s="12"/>
      <c r="AA137" s="12"/>
      <c r="AB137" s="11"/>
      <c r="AC137" s="11"/>
    </row>
    <row r="138" spans="1:29" ht="15.75" thickBot="1" x14ac:dyDescent="0.3">
      <c r="A138" s="13">
        <v>45472</v>
      </c>
      <c r="B138" s="7">
        <v>0.41666666666666669</v>
      </c>
      <c r="C138" s="7"/>
      <c r="D138" s="6"/>
      <c r="E138" s="6" t="s">
        <v>60</v>
      </c>
      <c r="F138" s="82">
        <v>20</v>
      </c>
      <c r="G138" s="8">
        <v>133843</v>
      </c>
      <c r="H138" s="6">
        <v>22.8</v>
      </c>
      <c r="I138" s="8">
        <v>21</v>
      </c>
      <c r="J138" s="21"/>
      <c r="K138" s="25"/>
      <c r="L138" s="25"/>
      <c r="M138" s="25"/>
      <c r="N138" s="25"/>
      <c r="O138" s="21"/>
      <c r="P138" s="21"/>
      <c r="Q138" s="21"/>
      <c r="R138" s="21"/>
      <c r="S138" s="10">
        <f t="shared" si="3"/>
        <v>22.8</v>
      </c>
      <c r="T138" s="95">
        <f t="shared" si="5"/>
        <v>142</v>
      </c>
      <c r="U138" s="11">
        <f t="shared" si="6"/>
        <v>0</v>
      </c>
      <c r="V138" s="11">
        <f t="shared" si="0"/>
        <v>0</v>
      </c>
      <c r="W138" s="96">
        <f t="shared" si="2"/>
        <v>131.05476673427989</v>
      </c>
      <c r="X138" s="12">
        <f>V138/[1]Manure!$I$2</f>
        <v>0</v>
      </c>
      <c r="Y138" s="12">
        <f>W138/[1]Manure!$I$2</f>
        <v>93.464489374590116</v>
      </c>
      <c r="Z138" s="12"/>
      <c r="AA138" s="12"/>
      <c r="AB138" s="11"/>
      <c r="AC138" s="11"/>
    </row>
    <row r="139" spans="1:29" ht="15.75" thickBot="1" x14ac:dyDescent="0.3">
      <c r="A139" s="13">
        <v>45474</v>
      </c>
      <c r="B139" s="7">
        <v>0.41666666666666669</v>
      </c>
      <c r="C139" s="16"/>
      <c r="D139" s="6"/>
      <c r="E139" s="6" t="s">
        <v>60</v>
      </c>
      <c r="F139" s="82">
        <v>20</v>
      </c>
      <c r="G139" s="8">
        <v>134604</v>
      </c>
      <c r="H139" s="6">
        <v>16.600000000000001</v>
      </c>
      <c r="I139" s="8">
        <v>19</v>
      </c>
      <c r="J139" s="21"/>
      <c r="K139" s="25"/>
      <c r="L139" s="25"/>
      <c r="M139" s="25"/>
      <c r="N139" s="25"/>
      <c r="O139" s="21"/>
      <c r="P139" s="21"/>
      <c r="Q139" s="21"/>
      <c r="R139" s="21"/>
      <c r="S139" s="10">
        <f t="shared" si="3"/>
        <v>16.600000000000001</v>
      </c>
      <c r="T139" s="95">
        <f t="shared" si="5"/>
        <v>761</v>
      </c>
      <c r="U139" s="11">
        <f t="shared" si="6"/>
        <v>0</v>
      </c>
      <c r="V139" s="11">
        <f t="shared" si="0"/>
        <v>0</v>
      </c>
      <c r="W139" s="96">
        <f t="shared" si="2"/>
        <v>717.37914364640881</v>
      </c>
      <c r="X139" s="12">
        <f>V139/[1]Manure!$I$2</f>
        <v>0</v>
      </c>
      <c r="Y139" s="12">
        <f>W139/[1]Manure!$I$2</f>
        <v>511.61416726518996</v>
      </c>
      <c r="Z139" s="12"/>
      <c r="AA139" s="12"/>
      <c r="AB139" s="11"/>
      <c r="AC139" s="11"/>
    </row>
    <row r="140" spans="1:29" ht="15.75" thickBot="1" x14ac:dyDescent="0.3">
      <c r="A140" s="13">
        <v>45475</v>
      </c>
      <c r="B140" s="7">
        <v>0.41666666666666669</v>
      </c>
      <c r="C140" s="16"/>
      <c r="D140" s="6"/>
      <c r="E140" s="6" t="s">
        <v>60</v>
      </c>
      <c r="F140" s="82">
        <v>20</v>
      </c>
      <c r="G140" s="8">
        <v>134853</v>
      </c>
      <c r="H140" s="6">
        <v>22.6</v>
      </c>
      <c r="I140" s="8">
        <v>19.899999999999999</v>
      </c>
      <c r="J140" s="21"/>
      <c r="K140" s="25"/>
      <c r="L140" s="25"/>
      <c r="M140" s="25"/>
      <c r="N140" s="25"/>
      <c r="O140" s="21"/>
      <c r="P140" s="21"/>
      <c r="Q140" s="21"/>
      <c r="R140" s="21"/>
      <c r="S140" s="10">
        <f t="shared" si="3"/>
        <v>22.6</v>
      </c>
      <c r="T140" s="95">
        <f t="shared" si="5"/>
        <v>249</v>
      </c>
      <c r="U140" s="11">
        <f t="shared" si="6"/>
        <v>0</v>
      </c>
      <c r="V140" s="11">
        <f t="shared" si="0"/>
        <v>0</v>
      </c>
      <c r="W140" s="96">
        <f t="shared" si="2"/>
        <v>229.96278755074425</v>
      </c>
      <c r="X140" s="12">
        <f>V140/[1]Manure!$I$2</f>
        <v>0</v>
      </c>
      <c r="Y140" s="12">
        <f>W140/[1]Manure!$I$2</f>
        <v>164.00284437701157</v>
      </c>
      <c r="Z140" s="12"/>
      <c r="AA140" s="12"/>
      <c r="AB140" s="11"/>
      <c r="AC140" s="11"/>
    </row>
    <row r="141" spans="1:29" ht="15.75" thickBot="1" x14ac:dyDescent="0.3">
      <c r="A141" s="13">
        <v>45476</v>
      </c>
      <c r="B141" s="7">
        <v>0.41666666666666669</v>
      </c>
      <c r="C141" s="16"/>
      <c r="D141" s="6"/>
      <c r="E141" s="6" t="s">
        <v>60</v>
      </c>
      <c r="F141" s="82">
        <v>20</v>
      </c>
      <c r="G141" s="8">
        <v>135340</v>
      </c>
      <c r="H141" s="6">
        <v>19.3</v>
      </c>
      <c r="I141" s="8">
        <v>20.9</v>
      </c>
      <c r="J141" s="21"/>
      <c r="K141" s="26"/>
      <c r="L141" s="26"/>
      <c r="M141" s="26"/>
      <c r="N141" s="25"/>
      <c r="O141" s="21"/>
      <c r="P141" s="21"/>
      <c r="Q141" s="21"/>
      <c r="R141" s="21"/>
      <c r="S141" s="10">
        <f t="shared" si="3"/>
        <v>19.3</v>
      </c>
      <c r="T141" s="95">
        <f t="shared" si="5"/>
        <v>487</v>
      </c>
      <c r="U141" s="11">
        <f t="shared" si="6"/>
        <v>0</v>
      </c>
      <c r="V141" s="11">
        <f t="shared" si="0"/>
        <v>0</v>
      </c>
      <c r="W141" s="96">
        <f t="shared" si="2"/>
        <v>454.84433800889497</v>
      </c>
      <c r="X141" s="12">
        <f>V141/[1]Manure!$I$2</f>
        <v>0</v>
      </c>
      <c r="Y141" s="12">
        <f>W141/[1]Manure!$I$2</f>
        <v>324.38189663959059</v>
      </c>
      <c r="Z141" s="12"/>
      <c r="AA141" s="12"/>
      <c r="AB141" s="11"/>
      <c r="AC141" s="11"/>
    </row>
    <row r="142" spans="1:29" ht="15.75" thickBot="1" x14ac:dyDescent="0.3">
      <c r="A142" s="13">
        <v>45477</v>
      </c>
      <c r="B142" s="7">
        <v>0.41666666666666669</v>
      </c>
      <c r="C142" s="16"/>
      <c r="D142" s="6"/>
      <c r="E142" s="6" t="s">
        <v>60</v>
      </c>
      <c r="F142" s="82">
        <v>20</v>
      </c>
      <c r="G142" s="8">
        <v>135799</v>
      </c>
      <c r="H142" s="6">
        <v>22.1</v>
      </c>
      <c r="I142" s="8">
        <v>21</v>
      </c>
      <c r="J142" s="21"/>
      <c r="K142" s="26"/>
      <c r="L142" s="26"/>
      <c r="M142" s="26"/>
      <c r="N142" s="25"/>
      <c r="O142" s="21"/>
      <c r="P142" s="21"/>
      <c r="Q142" s="21"/>
      <c r="R142" s="21"/>
      <c r="S142" s="10">
        <f t="shared" si="3"/>
        <v>22.1</v>
      </c>
      <c r="T142" s="95">
        <f t="shared" si="5"/>
        <v>459</v>
      </c>
      <c r="U142" s="11">
        <f t="shared" si="6"/>
        <v>0</v>
      </c>
      <c r="V142" s="11">
        <f t="shared" si="0"/>
        <v>0</v>
      </c>
      <c r="W142" s="96">
        <f t="shared" si="2"/>
        <v>424.62555066079295</v>
      </c>
      <c r="X142" s="12">
        <f>V142/[1]Manure!$I$2</f>
        <v>0</v>
      </c>
      <c r="Y142" s="12">
        <f>W142/[1]Manure!$I$2</f>
        <v>302.83072685470017</v>
      </c>
      <c r="Z142" s="12"/>
      <c r="AA142" s="12"/>
      <c r="AB142" s="11"/>
      <c r="AC142" s="11"/>
    </row>
    <row r="143" spans="1:29" ht="15.75" thickBot="1" x14ac:dyDescent="0.3">
      <c r="A143" s="13">
        <v>45478</v>
      </c>
      <c r="B143" s="7">
        <v>0.41666666666666669</v>
      </c>
      <c r="C143" s="16"/>
      <c r="D143" s="6"/>
      <c r="E143" s="6" t="s">
        <v>60</v>
      </c>
      <c r="F143" s="82">
        <v>20</v>
      </c>
      <c r="G143" s="8">
        <v>136410</v>
      </c>
      <c r="H143" s="6">
        <v>21.2</v>
      </c>
      <c r="I143" s="8">
        <v>20.9</v>
      </c>
      <c r="J143" s="21"/>
      <c r="K143" s="26"/>
      <c r="L143" s="26"/>
      <c r="M143" s="26"/>
      <c r="N143" s="25"/>
      <c r="O143" s="21"/>
      <c r="P143" s="21"/>
      <c r="Q143" s="21"/>
      <c r="R143" s="21"/>
      <c r="S143" s="10">
        <f t="shared" si="3"/>
        <v>21.2</v>
      </c>
      <c r="T143" s="95">
        <f t="shared" si="5"/>
        <v>611</v>
      </c>
      <c r="U143" s="11">
        <f t="shared" si="6"/>
        <v>0</v>
      </c>
      <c r="V143" s="11">
        <f t="shared" si="0"/>
        <v>0</v>
      </c>
      <c r="W143" s="96">
        <f t="shared" si="2"/>
        <v>566.97144799456157</v>
      </c>
      <c r="X143" s="12">
        <f>V143/[1]Manure!$I$2</f>
        <v>0</v>
      </c>
      <c r="Y143" s="12">
        <f>W143/[1]Manure!$I$2</f>
        <v>404.34772574298643</v>
      </c>
      <c r="Z143" s="12"/>
      <c r="AA143" s="12"/>
      <c r="AB143" s="11"/>
      <c r="AC143" s="11"/>
    </row>
    <row r="144" spans="1:29" ht="15.75" thickBot="1" x14ac:dyDescent="0.3">
      <c r="A144" s="13">
        <v>45479</v>
      </c>
      <c r="B144" s="7">
        <v>0.41666666666666669</v>
      </c>
      <c r="C144" s="16"/>
      <c r="D144" s="6"/>
      <c r="E144" s="6" t="s">
        <v>60</v>
      </c>
      <c r="F144" s="82">
        <v>20</v>
      </c>
      <c r="G144" s="8">
        <v>136972</v>
      </c>
      <c r="H144" s="6">
        <v>23.5</v>
      </c>
      <c r="I144" s="8">
        <v>20.2</v>
      </c>
      <c r="J144" s="21"/>
      <c r="K144" s="26"/>
      <c r="L144" s="26"/>
      <c r="M144" s="26"/>
      <c r="N144" s="25"/>
      <c r="O144" s="21"/>
      <c r="P144" s="21"/>
      <c r="Q144" s="21"/>
      <c r="R144" s="21"/>
      <c r="S144" s="10">
        <f t="shared" si="3"/>
        <v>23.5</v>
      </c>
      <c r="T144" s="95">
        <f t="shared" si="5"/>
        <v>562</v>
      </c>
      <c r="U144" s="11">
        <f t="shared" si="6"/>
        <v>0</v>
      </c>
      <c r="V144" s="11">
        <f t="shared" si="0"/>
        <v>0</v>
      </c>
      <c r="W144" s="96">
        <f t="shared" si="2"/>
        <v>517.45699831365937</v>
      </c>
      <c r="X144" s="12">
        <f>V144/[1]Manure!$I$2</f>
        <v>0</v>
      </c>
      <c r="Y144" s="12">
        <f>W144/[1]Manure!$I$2</f>
        <v>369.03544469125984</v>
      </c>
      <c r="Z144" s="12"/>
      <c r="AA144" s="12"/>
      <c r="AB144" s="11"/>
      <c r="AC144" s="11"/>
    </row>
    <row r="145" spans="1:29" ht="15.75" thickBot="1" x14ac:dyDescent="0.3">
      <c r="A145" s="13">
        <v>45481</v>
      </c>
      <c r="B145" s="7">
        <v>0.41666666666666669</v>
      </c>
      <c r="C145" s="16"/>
      <c r="D145" s="6"/>
      <c r="E145" s="6" t="s">
        <v>60</v>
      </c>
      <c r="F145" s="82">
        <v>20</v>
      </c>
      <c r="G145" s="8">
        <v>137780</v>
      </c>
      <c r="H145" s="6">
        <v>20.6</v>
      </c>
      <c r="I145" s="8">
        <v>21.2</v>
      </c>
      <c r="J145" s="21"/>
      <c r="K145" s="26"/>
      <c r="L145" s="26"/>
      <c r="M145" s="26"/>
      <c r="N145" s="25"/>
      <c r="O145" s="21"/>
      <c r="P145" s="21"/>
      <c r="Q145" s="21"/>
      <c r="R145" s="21"/>
      <c r="S145" s="10">
        <f t="shared" si="3"/>
        <v>20.6</v>
      </c>
      <c r="T145" s="95">
        <f t="shared" si="5"/>
        <v>808</v>
      </c>
      <c r="U145" s="11">
        <f t="shared" si="6"/>
        <v>0</v>
      </c>
      <c r="V145" s="11">
        <f t="shared" si="0"/>
        <v>0</v>
      </c>
      <c r="W145" s="96">
        <f t="shared" si="2"/>
        <v>751.30790190735684</v>
      </c>
      <c r="X145" s="12">
        <f>V145/[1]Manure!$I$2</f>
        <v>0</v>
      </c>
      <c r="Y145" s="12">
        <f>W145/[1]Manure!$I$2</f>
        <v>535.81118157450578</v>
      </c>
      <c r="Z145" s="12"/>
      <c r="AA145" s="12"/>
      <c r="AB145" s="11"/>
      <c r="AC145" s="11"/>
    </row>
    <row r="146" spans="1:29" ht="15.75" thickBot="1" x14ac:dyDescent="0.3">
      <c r="A146" s="13">
        <v>45482</v>
      </c>
      <c r="B146" s="7">
        <v>0.41666666666666669</v>
      </c>
      <c r="C146" s="16"/>
      <c r="D146" s="6"/>
      <c r="E146" s="6" t="s">
        <v>60</v>
      </c>
      <c r="F146" s="82">
        <v>20</v>
      </c>
      <c r="G146" s="8">
        <v>138046</v>
      </c>
      <c r="H146" s="6">
        <v>25.3</v>
      </c>
      <c r="I146" s="8">
        <v>21.6</v>
      </c>
      <c r="J146" s="21"/>
      <c r="K146" s="26"/>
      <c r="L146" s="26"/>
      <c r="M146" s="26"/>
      <c r="N146" s="25"/>
      <c r="O146" s="21"/>
      <c r="P146" s="21"/>
      <c r="Q146" s="21"/>
      <c r="R146" s="21"/>
      <c r="S146" s="10">
        <f t="shared" si="3"/>
        <v>25.3</v>
      </c>
      <c r="T146" s="95">
        <f t="shared" si="5"/>
        <v>266</v>
      </c>
      <c r="U146" s="11">
        <f t="shared" si="6"/>
        <v>0</v>
      </c>
      <c r="V146" s="11">
        <f t="shared" si="0"/>
        <v>0</v>
      </c>
      <c r="W146" s="96">
        <f t="shared" si="2"/>
        <v>243.43949044585986</v>
      </c>
      <c r="X146" s="12">
        <f>V146/[1]Manure!$I$2</f>
        <v>0</v>
      </c>
      <c r="Y146" s="12">
        <f>W146/[1]Manure!$I$2</f>
        <v>173.6140411761248</v>
      </c>
      <c r="Z146" s="12"/>
      <c r="AA146" s="12"/>
      <c r="AB146" s="11"/>
      <c r="AC146" s="11"/>
    </row>
    <row r="147" spans="1:29" ht="15.75" thickBot="1" x14ac:dyDescent="0.3">
      <c r="A147" s="13">
        <v>45483</v>
      </c>
      <c r="B147" s="7">
        <v>0.41666666666666669</v>
      </c>
      <c r="C147" s="16"/>
      <c r="D147" s="6"/>
      <c r="E147" s="6" t="s">
        <v>60</v>
      </c>
      <c r="F147" s="82">
        <v>20</v>
      </c>
      <c r="G147" s="8">
        <v>138254</v>
      </c>
      <c r="H147" s="6">
        <v>21.9</v>
      </c>
      <c r="I147" s="8">
        <v>21.8</v>
      </c>
      <c r="J147" s="21"/>
      <c r="K147" s="26"/>
      <c r="L147" s="26"/>
      <c r="M147" s="26"/>
      <c r="N147" s="25"/>
      <c r="O147" s="21"/>
      <c r="P147" s="21"/>
      <c r="Q147" s="21"/>
      <c r="R147" s="21"/>
      <c r="S147" s="10">
        <f t="shared" si="3"/>
        <v>21.9</v>
      </c>
      <c r="T147" s="95">
        <f t="shared" ref="T147:T210" si="7">G147-G146</f>
        <v>208</v>
      </c>
      <c r="U147" s="11">
        <f t="shared" si="6"/>
        <v>0</v>
      </c>
      <c r="V147" s="11">
        <f t="shared" si="0"/>
        <v>0</v>
      </c>
      <c r="W147" s="96">
        <f t="shared" si="2"/>
        <v>192.55340793489319</v>
      </c>
      <c r="X147" s="12">
        <f>V147/[1]Manure!$I$2</f>
        <v>0</v>
      </c>
      <c r="Y147" s="12">
        <f>W147/[1]Manure!$I$2</f>
        <v>137.32355104993295</v>
      </c>
      <c r="Z147" s="12"/>
      <c r="AA147" s="12"/>
      <c r="AB147" s="11"/>
      <c r="AC147" s="11"/>
    </row>
    <row r="148" spans="1:29" ht="15.75" thickBot="1" x14ac:dyDescent="0.3">
      <c r="A148" s="13">
        <v>45484</v>
      </c>
      <c r="B148" s="7">
        <v>0.41666666666666669</v>
      </c>
      <c r="C148" s="16"/>
      <c r="D148" s="6"/>
      <c r="E148" s="6" t="s">
        <v>60</v>
      </c>
      <c r="F148" s="82">
        <v>20</v>
      </c>
      <c r="G148" s="8">
        <v>138675</v>
      </c>
      <c r="H148" s="6">
        <v>17.8</v>
      </c>
      <c r="I148" s="8">
        <v>21.7</v>
      </c>
      <c r="J148" s="21"/>
      <c r="K148" s="26"/>
      <c r="L148" s="26"/>
      <c r="M148" s="26"/>
      <c r="N148" s="25"/>
      <c r="O148" s="21"/>
      <c r="P148" s="21"/>
      <c r="Q148" s="21"/>
      <c r="R148" s="21"/>
      <c r="S148" s="10">
        <f t="shared" si="3"/>
        <v>17.8</v>
      </c>
      <c r="T148" s="95">
        <f t="shared" si="7"/>
        <v>421</v>
      </c>
      <c r="U148" s="11">
        <f t="shared" si="6"/>
        <v>0</v>
      </c>
      <c r="V148" s="11">
        <f t="shared" si="0"/>
        <v>0</v>
      </c>
      <c r="W148" s="96">
        <f t="shared" si="2"/>
        <v>395.23039889958733</v>
      </c>
      <c r="X148" s="12">
        <f>V148/[1]Manure!$I$2</f>
        <v>0</v>
      </c>
      <c r="Y148" s="12">
        <f>W148/[1]Manure!$I$2</f>
        <v>281.86695027555317</v>
      </c>
      <c r="Z148" s="12"/>
      <c r="AA148" s="12"/>
      <c r="AB148" s="11"/>
      <c r="AC148" s="11"/>
    </row>
    <row r="149" spans="1:29" ht="15.75" thickBot="1" x14ac:dyDescent="0.3">
      <c r="A149" s="13">
        <v>45485</v>
      </c>
      <c r="B149" s="7">
        <v>0.41666666666666669</v>
      </c>
      <c r="C149" s="16"/>
      <c r="D149" s="6"/>
      <c r="E149" s="6" t="s">
        <v>60</v>
      </c>
      <c r="F149" s="82">
        <v>20</v>
      </c>
      <c r="G149" s="8">
        <v>138861</v>
      </c>
      <c r="H149" s="6">
        <v>22.7</v>
      </c>
      <c r="I149" s="8">
        <v>18.5</v>
      </c>
      <c r="J149" s="21"/>
      <c r="K149" s="26"/>
      <c r="L149" s="26"/>
      <c r="M149" s="26"/>
      <c r="N149" s="25"/>
      <c r="O149" s="21"/>
      <c r="P149" s="21"/>
      <c r="Q149" s="21"/>
      <c r="R149" s="21"/>
      <c r="S149" s="10">
        <f t="shared" si="3"/>
        <v>22.7</v>
      </c>
      <c r="T149" s="95">
        <f t="shared" si="7"/>
        <v>186</v>
      </c>
      <c r="U149" s="11">
        <f t="shared" si="6"/>
        <v>0</v>
      </c>
      <c r="V149" s="11">
        <f t="shared" si="0"/>
        <v>0</v>
      </c>
      <c r="W149" s="96">
        <f t="shared" si="2"/>
        <v>171.72133919513021</v>
      </c>
      <c r="X149" s="12">
        <f>V149/[1]Manure!$I$2</f>
        <v>0</v>
      </c>
      <c r="Y149" s="12">
        <f>W149/[1]Manure!$I$2</f>
        <v>122.46671893389045</v>
      </c>
      <c r="Z149" s="12"/>
      <c r="AA149" s="12"/>
      <c r="AB149" s="11"/>
      <c r="AC149" s="11"/>
    </row>
    <row r="150" spans="1:29" ht="15.75" thickBot="1" x14ac:dyDescent="0.3">
      <c r="A150" s="13">
        <v>45486</v>
      </c>
      <c r="B150" s="7">
        <v>0.41666666666666669</v>
      </c>
      <c r="C150" s="16"/>
      <c r="D150" s="6"/>
      <c r="E150" s="6" t="s">
        <v>60</v>
      </c>
      <c r="F150" s="82">
        <v>20</v>
      </c>
      <c r="G150" s="8">
        <v>138929</v>
      </c>
      <c r="H150" s="6">
        <v>24.1</v>
      </c>
      <c r="I150" s="8">
        <v>20.3</v>
      </c>
      <c r="J150" s="21"/>
      <c r="K150" s="26"/>
      <c r="L150" s="26"/>
      <c r="M150" s="26"/>
      <c r="N150" s="25"/>
      <c r="O150" s="21"/>
      <c r="P150" s="21"/>
      <c r="Q150" s="21"/>
      <c r="R150" s="21"/>
      <c r="S150" s="10">
        <f t="shared" si="3"/>
        <v>24.1</v>
      </c>
      <c r="T150" s="95">
        <f t="shared" si="7"/>
        <v>68</v>
      </c>
      <c r="U150" s="11">
        <f t="shared" si="6"/>
        <v>0</v>
      </c>
      <c r="V150" s="11">
        <f t="shared" si="0"/>
        <v>0</v>
      </c>
      <c r="W150" s="96">
        <f t="shared" si="2"/>
        <v>62.484012117132274</v>
      </c>
      <c r="X150" s="12">
        <f>V150/[1]Manure!$I$2</f>
        <v>0</v>
      </c>
      <c r="Y150" s="12">
        <f>W150/[1]Manure!$I$2</f>
        <v>44.561799865276441</v>
      </c>
      <c r="Z150" s="12"/>
      <c r="AA150" s="12"/>
      <c r="AB150" s="11"/>
      <c r="AC150" s="11"/>
    </row>
    <row r="151" spans="1:29" ht="15.75" thickBot="1" x14ac:dyDescent="0.3">
      <c r="A151" s="13">
        <v>45488</v>
      </c>
      <c r="B151" s="7">
        <v>0.41666666666666669</v>
      </c>
      <c r="C151" s="16"/>
      <c r="D151" s="6"/>
      <c r="E151" s="6" t="s">
        <v>60</v>
      </c>
      <c r="F151" s="82">
        <v>20</v>
      </c>
      <c r="G151" s="8">
        <v>139380</v>
      </c>
      <c r="H151" s="6">
        <v>20.9</v>
      </c>
      <c r="I151" s="8">
        <v>20.399999999999999</v>
      </c>
      <c r="J151" s="21"/>
      <c r="K151" s="26"/>
      <c r="L151" s="26"/>
      <c r="M151" s="26"/>
      <c r="N151" s="25"/>
      <c r="O151" s="21"/>
      <c r="P151" s="21"/>
      <c r="Q151" s="21"/>
      <c r="R151" s="21"/>
      <c r="S151" s="10">
        <f t="shared" si="3"/>
        <v>20.9</v>
      </c>
      <c r="T151" s="95">
        <f t="shared" si="7"/>
        <v>451</v>
      </c>
      <c r="U151" s="11">
        <f t="shared" si="6"/>
        <v>0</v>
      </c>
      <c r="V151" s="11">
        <f t="shared" si="0"/>
        <v>0</v>
      </c>
      <c r="W151" s="96">
        <f t="shared" si="2"/>
        <v>418.92820687308614</v>
      </c>
      <c r="X151" s="12">
        <f>V151/[1]Manure!$I$2</f>
        <v>0</v>
      </c>
      <c r="Y151" s="12">
        <f>W151/[1]Manure!$I$2</f>
        <v>298.76754516983112</v>
      </c>
      <c r="Z151" s="12"/>
      <c r="AA151" s="12"/>
      <c r="AB151" s="11"/>
      <c r="AC151" s="11"/>
    </row>
    <row r="152" spans="1:29" ht="15.75" thickBot="1" x14ac:dyDescent="0.3">
      <c r="A152" s="13">
        <v>45489</v>
      </c>
      <c r="B152" s="7">
        <v>0.41666666666666669</v>
      </c>
      <c r="C152" s="16"/>
      <c r="D152" s="6"/>
      <c r="E152" s="6" t="s">
        <v>60</v>
      </c>
      <c r="F152" s="82">
        <v>20</v>
      </c>
      <c r="G152" s="8">
        <v>139661</v>
      </c>
      <c r="H152" s="6">
        <v>23.7</v>
      </c>
      <c r="I152" s="8">
        <v>20.399999999999999</v>
      </c>
      <c r="J152" s="21"/>
      <c r="K152" s="25"/>
      <c r="L152" s="25"/>
      <c r="M152" s="25"/>
      <c r="N152" s="25"/>
      <c r="O152" s="21"/>
      <c r="P152" s="21"/>
      <c r="Q152" s="21"/>
      <c r="R152" s="21"/>
      <c r="S152" s="10">
        <f t="shared" si="3"/>
        <v>23.7</v>
      </c>
      <c r="T152" s="95">
        <f t="shared" si="7"/>
        <v>281</v>
      </c>
      <c r="U152" s="11">
        <f t="shared" ref="U152:U159" si="8">T152*(P152/100)</f>
        <v>0</v>
      </c>
      <c r="V152" s="11">
        <f t="shared" ref="V152:V159" si="9">U152*(273/(273+S152))</f>
        <v>0</v>
      </c>
      <c r="W152" s="96">
        <f t="shared" ref="W152:W215" si="10">T152*(273/(273+S152))</f>
        <v>258.5540950455005</v>
      </c>
      <c r="X152" s="12">
        <f>V152/[1]Manure!$I$2</f>
        <v>0</v>
      </c>
      <c r="Y152" s="12">
        <f>W152/[1]Manure!$I$2</f>
        <v>184.3933423507896</v>
      </c>
      <c r="Z152" s="12"/>
      <c r="AA152" s="12"/>
      <c r="AB152" s="11"/>
      <c r="AC152" s="11"/>
    </row>
    <row r="153" spans="1:29" ht="15.75" thickBot="1" x14ac:dyDescent="0.3">
      <c r="A153" s="13">
        <v>45490</v>
      </c>
      <c r="B153" s="7">
        <v>0.41666666666666669</v>
      </c>
      <c r="C153" s="16"/>
      <c r="D153" s="6"/>
      <c r="E153" s="6" t="s">
        <v>60</v>
      </c>
      <c r="F153" s="82">
        <v>20</v>
      </c>
      <c r="G153" s="8">
        <v>139964</v>
      </c>
      <c r="H153" s="6">
        <v>19.899999999999999</v>
      </c>
      <c r="I153" s="8">
        <v>21</v>
      </c>
      <c r="J153" s="21"/>
      <c r="K153" s="25"/>
      <c r="L153" s="25"/>
      <c r="M153" s="25"/>
      <c r="N153" s="25"/>
      <c r="O153" s="21"/>
      <c r="P153" s="21"/>
      <c r="Q153" s="21"/>
      <c r="R153" s="21"/>
      <c r="S153" s="10">
        <f t="shared" si="3"/>
        <v>19.899999999999999</v>
      </c>
      <c r="T153" s="95">
        <f t="shared" si="7"/>
        <v>303</v>
      </c>
      <c r="U153" s="11">
        <f t="shared" si="8"/>
        <v>0</v>
      </c>
      <c r="V153" s="11">
        <f t="shared" si="9"/>
        <v>0</v>
      </c>
      <c r="W153" s="96">
        <f t="shared" si="10"/>
        <v>282.41379310344831</v>
      </c>
      <c r="X153" s="12">
        <f>V153/[1]Manure!$I$2</f>
        <v>0</v>
      </c>
      <c r="Y153" s="12">
        <f>W153/[1]Manure!$I$2</f>
        <v>201.40939259594776</v>
      </c>
      <c r="Z153" s="12"/>
      <c r="AA153" s="12"/>
      <c r="AB153" s="11"/>
      <c r="AC153" s="11"/>
    </row>
    <row r="154" spans="1:29" ht="15.75" thickBot="1" x14ac:dyDescent="0.3">
      <c r="A154" s="13">
        <v>45491</v>
      </c>
      <c r="B154" s="7">
        <v>0.41666666666666669</v>
      </c>
      <c r="C154" s="16"/>
      <c r="D154" s="6"/>
      <c r="E154" s="6" t="s">
        <v>60</v>
      </c>
      <c r="F154" s="82">
        <v>20</v>
      </c>
      <c r="G154" s="8">
        <v>141376</v>
      </c>
      <c r="H154" s="6">
        <v>22.4</v>
      </c>
      <c r="I154" s="8">
        <v>18.899999999999999</v>
      </c>
      <c r="J154" s="21"/>
      <c r="K154" s="25"/>
      <c r="L154" s="25"/>
      <c r="M154" s="25"/>
      <c r="N154" s="25"/>
      <c r="O154" s="21"/>
      <c r="P154" s="21"/>
      <c r="Q154" s="21"/>
      <c r="R154" s="21"/>
      <c r="S154" s="10">
        <f t="shared" si="3"/>
        <v>22.4</v>
      </c>
      <c r="T154" s="95">
        <f t="shared" si="7"/>
        <v>1412</v>
      </c>
      <c r="U154" s="11">
        <f t="shared" si="8"/>
        <v>0</v>
      </c>
      <c r="V154" s="11">
        <f t="shared" si="9"/>
        <v>0</v>
      </c>
      <c r="W154" s="96">
        <f t="shared" si="10"/>
        <v>1304.9289099526068</v>
      </c>
      <c r="X154" s="12">
        <f>V154/[1]Manure!$I$2</f>
        <v>0</v>
      </c>
      <c r="Y154" s="12">
        <f>W154/[1]Manure!$I$2</f>
        <v>930.63775761891998</v>
      </c>
      <c r="Z154" s="12"/>
      <c r="AA154" s="12"/>
      <c r="AB154" s="11"/>
      <c r="AC154" s="11"/>
    </row>
    <row r="155" spans="1:29" ht="15.75" thickBot="1" x14ac:dyDescent="0.3">
      <c r="A155" s="13">
        <v>45492</v>
      </c>
      <c r="B155" s="7">
        <v>0.41666666666666669</v>
      </c>
      <c r="C155" s="16"/>
      <c r="D155" s="6"/>
      <c r="E155" s="6" t="s">
        <v>60</v>
      </c>
      <c r="F155" s="82">
        <v>20</v>
      </c>
      <c r="G155" s="8">
        <v>141892</v>
      </c>
      <c r="H155" s="6">
        <v>17.100000000000001</v>
      </c>
      <c r="I155" s="8">
        <v>21.4</v>
      </c>
      <c r="J155" s="21"/>
      <c r="K155" s="25"/>
      <c r="L155" s="25"/>
      <c r="M155" s="25"/>
      <c r="N155" s="25"/>
      <c r="O155" s="21"/>
      <c r="P155" s="21"/>
      <c r="Q155" s="21"/>
      <c r="R155" s="21"/>
      <c r="S155" s="10">
        <f t="shared" si="3"/>
        <v>17.100000000000001</v>
      </c>
      <c r="T155" s="95">
        <f t="shared" si="7"/>
        <v>516</v>
      </c>
      <c r="U155" s="11">
        <f t="shared" si="8"/>
        <v>0</v>
      </c>
      <c r="V155" s="11">
        <f t="shared" si="9"/>
        <v>0</v>
      </c>
      <c r="W155" s="96">
        <f t="shared" si="10"/>
        <v>485.5842812823164</v>
      </c>
      <c r="X155" s="12">
        <f>V155/[1]Manure!$I$2</f>
        <v>0</v>
      </c>
      <c r="Y155" s="12">
        <f>W155/[1]Manure!$I$2</f>
        <v>346.30473983749994</v>
      </c>
      <c r="Z155" s="12"/>
      <c r="AA155" s="12"/>
      <c r="AB155" s="11"/>
      <c r="AC155" s="11"/>
    </row>
    <row r="156" spans="1:29" ht="15.75" thickBot="1" x14ac:dyDescent="0.3">
      <c r="A156" s="13">
        <v>45493</v>
      </c>
      <c r="B156" s="7">
        <v>0.41666666666666669</v>
      </c>
      <c r="C156" s="16"/>
      <c r="D156" s="6"/>
      <c r="E156" s="6" t="s">
        <v>60</v>
      </c>
      <c r="F156" s="82">
        <v>20</v>
      </c>
      <c r="G156" s="8">
        <v>142199</v>
      </c>
      <c r="H156" s="6">
        <v>19.100000000000001</v>
      </c>
      <c r="I156" s="8">
        <v>21.2</v>
      </c>
      <c r="J156" s="21"/>
      <c r="K156" s="25"/>
      <c r="L156" s="25"/>
      <c r="M156" s="25"/>
      <c r="N156" s="25"/>
      <c r="O156" s="21"/>
      <c r="P156" s="21"/>
      <c r="Q156" s="21"/>
      <c r="R156" s="21"/>
      <c r="S156" s="10">
        <f t="shared" si="3"/>
        <v>19.100000000000001</v>
      </c>
      <c r="T156" s="95">
        <f t="shared" si="7"/>
        <v>307</v>
      </c>
      <c r="U156" s="11">
        <f t="shared" si="8"/>
        <v>0</v>
      </c>
      <c r="V156" s="11">
        <f t="shared" si="9"/>
        <v>0</v>
      </c>
      <c r="W156" s="96">
        <f t="shared" si="10"/>
        <v>286.92571037315986</v>
      </c>
      <c r="X156" s="12">
        <f>V156/[1]Manure!$I$2</f>
        <v>0</v>
      </c>
      <c r="Y156" s="12">
        <f>W156/[1]Manure!$I$2</f>
        <v>204.62716219122706</v>
      </c>
      <c r="Z156" s="12"/>
      <c r="AA156" s="12"/>
      <c r="AB156" s="11"/>
      <c r="AC156" s="11"/>
    </row>
    <row r="157" spans="1:29" ht="15.75" thickBot="1" x14ac:dyDescent="0.3">
      <c r="A157" s="13">
        <v>45495</v>
      </c>
      <c r="B157" s="7">
        <v>0.41666666666666669</v>
      </c>
      <c r="C157" s="16"/>
      <c r="D157" s="6"/>
      <c r="E157" s="6" t="s">
        <v>60</v>
      </c>
      <c r="F157" s="82">
        <v>20</v>
      </c>
      <c r="G157" s="8">
        <v>142603</v>
      </c>
      <c r="H157" s="6">
        <v>19.600000000000001</v>
      </c>
      <c r="I157" s="8">
        <v>20.9</v>
      </c>
      <c r="J157" s="21"/>
      <c r="K157" s="25"/>
      <c r="L157" s="25"/>
      <c r="M157" s="25"/>
      <c r="N157" s="25"/>
      <c r="O157" s="21"/>
      <c r="P157" s="21"/>
      <c r="Q157" s="21"/>
      <c r="R157" s="21"/>
      <c r="S157" s="10">
        <f t="shared" si="3"/>
        <v>19.600000000000001</v>
      </c>
      <c r="T157" s="95">
        <f t="shared" si="7"/>
        <v>404</v>
      </c>
      <c r="U157" s="11">
        <f t="shared" si="8"/>
        <v>0</v>
      </c>
      <c r="V157" s="11">
        <f t="shared" si="9"/>
        <v>0</v>
      </c>
      <c r="W157" s="96">
        <f t="shared" si="10"/>
        <v>376.93779904306217</v>
      </c>
      <c r="X157" s="12">
        <f>V157/[1]Manure!$I$2</f>
        <v>0</v>
      </c>
      <c r="Y157" s="12">
        <f>W157/[1]Manure!$I$2</f>
        <v>268.8211943101075</v>
      </c>
      <c r="Z157" s="12"/>
      <c r="AA157" s="12"/>
      <c r="AB157" s="11"/>
      <c r="AC157" s="11"/>
    </row>
    <row r="158" spans="1:29" ht="15.75" thickBot="1" x14ac:dyDescent="0.3">
      <c r="A158" s="13">
        <v>45496</v>
      </c>
      <c r="B158" s="7">
        <v>0.41666666666666669</v>
      </c>
      <c r="C158" s="16"/>
      <c r="D158" s="6"/>
      <c r="E158" s="6" t="s">
        <v>60</v>
      </c>
      <c r="F158" s="82">
        <v>20</v>
      </c>
      <c r="G158" s="8">
        <v>142805</v>
      </c>
      <c r="H158" s="6">
        <v>18.3</v>
      </c>
      <c r="I158" s="8">
        <v>19.899999999999999</v>
      </c>
      <c r="J158" s="21"/>
      <c r="K158" s="25"/>
      <c r="L158" s="25"/>
      <c r="M158" s="25"/>
      <c r="N158" s="25"/>
      <c r="O158" s="21"/>
      <c r="P158" s="21"/>
      <c r="Q158" s="21"/>
      <c r="R158" s="21"/>
      <c r="S158" s="10">
        <f t="shared" si="3"/>
        <v>18.3</v>
      </c>
      <c r="T158" s="95">
        <f t="shared" si="7"/>
        <v>202</v>
      </c>
      <c r="U158" s="11">
        <f t="shared" si="8"/>
        <v>0</v>
      </c>
      <c r="V158" s="11">
        <f t="shared" si="9"/>
        <v>0</v>
      </c>
      <c r="W158" s="96">
        <f t="shared" si="10"/>
        <v>189.30998970133882</v>
      </c>
      <c r="X158" s="12">
        <f>V158/[1]Manure!$I$2</f>
        <v>0</v>
      </c>
      <c r="Y158" s="12">
        <f>W158/[1]Manure!$I$2</f>
        <v>135.01043847431765</v>
      </c>
      <c r="Z158" s="12"/>
      <c r="AA158" s="12"/>
      <c r="AB158" s="11"/>
      <c r="AC158" s="11"/>
    </row>
    <row r="159" spans="1:29" ht="15.75" thickBot="1" x14ac:dyDescent="0.3">
      <c r="A159" s="13">
        <v>45497</v>
      </c>
      <c r="B159" s="7">
        <v>0.41666666666666669</v>
      </c>
      <c r="C159" s="16"/>
      <c r="D159" s="6"/>
      <c r="E159" s="6" t="s">
        <v>60</v>
      </c>
      <c r="F159" s="82">
        <v>20</v>
      </c>
      <c r="G159" s="8">
        <v>143149</v>
      </c>
      <c r="H159" s="6">
        <v>21.1</v>
      </c>
      <c r="I159" s="8">
        <v>20.9</v>
      </c>
      <c r="J159" s="21"/>
      <c r="K159" s="25"/>
      <c r="L159" s="25"/>
      <c r="M159" s="25"/>
      <c r="N159" s="25"/>
      <c r="O159" s="21"/>
      <c r="P159" s="21"/>
      <c r="Q159" s="21"/>
      <c r="R159" s="21"/>
      <c r="S159" s="10">
        <f t="shared" si="3"/>
        <v>21.1</v>
      </c>
      <c r="T159" s="95">
        <f t="shared" si="7"/>
        <v>344</v>
      </c>
      <c r="U159" s="11">
        <f t="shared" si="8"/>
        <v>0</v>
      </c>
      <c r="V159" s="11">
        <f t="shared" si="9"/>
        <v>0</v>
      </c>
      <c r="W159" s="96">
        <f t="shared" si="10"/>
        <v>319.31995919755184</v>
      </c>
      <c r="X159" s="12">
        <f>V159/[1]Manure!$I$2</f>
        <v>0</v>
      </c>
      <c r="Y159" s="12">
        <f>W159/[1]Manure!$I$2</f>
        <v>227.72980851605743</v>
      </c>
      <c r="Z159" s="12"/>
      <c r="AA159" s="12"/>
      <c r="AB159" s="11"/>
      <c r="AC159" s="11"/>
    </row>
    <row r="160" spans="1:29" ht="15.75" thickBot="1" x14ac:dyDescent="0.3">
      <c r="A160" s="13">
        <v>45498</v>
      </c>
      <c r="B160" s="7">
        <v>0.41666666666666669</v>
      </c>
      <c r="C160" s="16"/>
      <c r="D160" s="6"/>
      <c r="E160" s="6" t="s">
        <v>60</v>
      </c>
      <c r="F160" s="82">
        <v>20</v>
      </c>
      <c r="G160" s="8">
        <v>143437</v>
      </c>
      <c r="H160" s="6">
        <v>18.8</v>
      </c>
      <c r="I160" s="8">
        <v>20.6</v>
      </c>
      <c r="J160" s="21"/>
      <c r="K160" s="25"/>
      <c r="L160" s="25"/>
      <c r="M160" s="25"/>
      <c r="N160" s="25"/>
      <c r="O160" s="21"/>
      <c r="P160" s="21"/>
      <c r="Q160" s="21"/>
      <c r="R160" s="21"/>
      <c r="S160" s="10">
        <f t="shared" si="3"/>
        <v>18.8</v>
      </c>
      <c r="T160" s="95">
        <f t="shared" si="7"/>
        <v>288</v>
      </c>
      <c r="U160" s="11">
        <f t="shared" ref="U160:U224" si="11">T160*(P160/100)</f>
        <v>0</v>
      </c>
      <c r="V160" s="11">
        <f t="shared" ref="V160:V224" si="12">U160*(273/(273+S160))</f>
        <v>0</v>
      </c>
      <c r="W160" s="96">
        <f t="shared" si="10"/>
        <v>269.4448252227553</v>
      </c>
      <c r="X160" s="12">
        <f>V160/[1]Manure!$I$2</f>
        <v>0</v>
      </c>
      <c r="Y160" s="12">
        <f>W160/[1]Manure!$I$2</f>
        <v>192.16029780230244</v>
      </c>
      <c r="Z160" s="12"/>
      <c r="AA160" s="12"/>
      <c r="AB160" s="15"/>
      <c r="AC160" s="11"/>
    </row>
    <row r="161" spans="1:29" ht="15.75" thickBot="1" x14ac:dyDescent="0.3">
      <c r="A161" s="13">
        <v>45499</v>
      </c>
      <c r="B161" s="33">
        <v>0.41666666666666669</v>
      </c>
      <c r="C161" s="16"/>
      <c r="D161" s="6"/>
      <c r="E161" s="6" t="s">
        <v>60</v>
      </c>
      <c r="F161" s="82">
        <v>20</v>
      </c>
      <c r="G161" s="8">
        <v>143661</v>
      </c>
      <c r="H161" s="6">
        <v>18.2</v>
      </c>
      <c r="I161" s="8">
        <v>20.8</v>
      </c>
      <c r="J161" s="21"/>
      <c r="K161" s="25"/>
      <c r="L161" s="25"/>
      <c r="M161" s="25"/>
      <c r="N161" s="25"/>
      <c r="O161" s="21"/>
      <c r="P161" s="21"/>
      <c r="Q161" s="21"/>
      <c r="R161" s="21"/>
      <c r="S161" s="10">
        <f t="shared" si="3"/>
        <v>18.2</v>
      </c>
      <c r="T161" s="95">
        <f t="shared" si="7"/>
        <v>224</v>
      </c>
      <c r="U161" s="11">
        <f t="shared" si="11"/>
        <v>0</v>
      </c>
      <c r="V161" s="11">
        <f t="shared" si="12"/>
        <v>0</v>
      </c>
      <c r="W161" s="96">
        <f t="shared" si="10"/>
        <v>210</v>
      </c>
      <c r="X161" s="12">
        <f>V161/[1]Manure!$I$2</f>
        <v>0</v>
      </c>
      <c r="Y161" s="12">
        <f>W161/[1]Manure!$I$2</f>
        <v>149.76595859698679</v>
      </c>
      <c r="Z161" s="12"/>
      <c r="AA161" s="12"/>
      <c r="AB161" s="11"/>
      <c r="AC161" s="11"/>
    </row>
    <row r="162" spans="1:29" ht="15.75" thickBot="1" x14ac:dyDescent="0.3">
      <c r="A162" s="13">
        <v>45500</v>
      </c>
      <c r="B162" s="33">
        <v>0.41666666666666669</v>
      </c>
      <c r="C162" s="6"/>
      <c r="D162" s="6"/>
      <c r="E162" s="6" t="s">
        <v>60</v>
      </c>
      <c r="F162" s="82">
        <v>20</v>
      </c>
      <c r="G162" s="8">
        <v>144019</v>
      </c>
      <c r="H162" s="6">
        <v>20.2</v>
      </c>
      <c r="I162" s="8">
        <v>18.3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10">
        <f t="shared" si="3"/>
        <v>20.2</v>
      </c>
      <c r="T162" s="95">
        <f t="shared" si="7"/>
        <v>358</v>
      </c>
      <c r="U162" s="11">
        <f t="shared" si="11"/>
        <v>0</v>
      </c>
      <c r="V162" s="11">
        <f t="shared" si="12"/>
        <v>0</v>
      </c>
      <c r="W162" s="96">
        <f t="shared" si="10"/>
        <v>333.33560709413371</v>
      </c>
      <c r="X162" s="12">
        <f>V162/[1]Manure!$I$2</f>
        <v>0</v>
      </c>
      <c r="Y162" s="12">
        <f>W162/[1]Manure!$I$2</f>
        <v>237.72536538553086</v>
      </c>
      <c r="Z162" s="12"/>
      <c r="AA162" s="12"/>
      <c r="AB162" s="11"/>
      <c r="AC162" s="11"/>
    </row>
    <row r="163" spans="1:29" ht="15.75" thickBot="1" x14ac:dyDescent="0.3">
      <c r="A163" s="13">
        <v>45502</v>
      </c>
      <c r="B163" s="33">
        <v>0.41666666666666669</v>
      </c>
      <c r="C163" s="6"/>
      <c r="D163" s="6"/>
      <c r="E163" s="6" t="s">
        <v>60</v>
      </c>
      <c r="F163" s="82">
        <v>20</v>
      </c>
      <c r="G163" s="8">
        <v>144768</v>
      </c>
      <c r="H163" s="6">
        <v>22</v>
      </c>
      <c r="I163" s="6">
        <v>20.100000000000001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11">
        <f t="shared" si="3"/>
        <v>22</v>
      </c>
      <c r="T163" s="95">
        <f t="shared" si="7"/>
        <v>749</v>
      </c>
      <c r="U163" s="11">
        <f t="shared" si="11"/>
        <v>0</v>
      </c>
      <c r="V163" s="11">
        <f t="shared" si="12"/>
        <v>0</v>
      </c>
      <c r="W163" s="96">
        <f t="shared" si="10"/>
        <v>693.14237288135587</v>
      </c>
      <c r="X163" s="12">
        <f>V163/[1]Manure!$I$2</f>
        <v>0</v>
      </c>
      <c r="Y163" s="12">
        <f>W163/[1]Manure!$I$2</f>
        <v>494.32919961317293</v>
      </c>
      <c r="Z163" s="12"/>
      <c r="AA163" s="12"/>
      <c r="AB163" s="11"/>
      <c r="AC163" s="11"/>
    </row>
    <row r="164" spans="1:29" ht="15.75" thickBot="1" x14ac:dyDescent="0.3">
      <c r="A164" s="13">
        <v>45503</v>
      </c>
      <c r="B164" s="33">
        <v>0.41666666666666669</v>
      </c>
      <c r="C164" s="6"/>
      <c r="D164" s="6"/>
      <c r="E164" s="6" t="s">
        <v>60</v>
      </c>
      <c r="F164" s="82">
        <v>20</v>
      </c>
      <c r="G164" s="6">
        <v>145265</v>
      </c>
      <c r="H164" s="6">
        <v>20.5</v>
      </c>
      <c r="I164" s="6">
        <v>20.5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11">
        <f t="shared" si="3"/>
        <v>20.5</v>
      </c>
      <c r="T164" s="95">
        <f t="shared" si="7"/>
        <v>497</v>
      </c>
      <c r="U164" s="11">
        <f t="shared" si="11"/>
        <v>0</v>
      </c>
      <c r="V164" s="11">
        <f t="shared" si="12"/>
        <v>0</v>
      </c>
      <c r="W164" s="96">
        <f t="shared" si="10"/>
        <v>462.28620102214649</v>
      </c>
      <c r="X164" s="12">
        <f>V164/[1]Manure!$I$2</f>
        <v>0</v>
      </c>
      <c r="Y164" s="12">
        <f>W164/[1]Manure!$I$2</f>
        <v>329.68921924876713</v>
      </c>
      <c r="Z164" s="12"/>
      <c r="AA164" s="12"/>
      <c r="AB164" s="11"/>
      <c r="AC164" s="11"/>
    </row>
    <row r="165" spans="1:29" ht="15.75" thickBot="1" x14ac:dyDescent="0.3">
      <c r="A165" s="13">
        <v>45504</v>
      </c>
      <c r="B165" s="7">
        <v>0.41666666666666669</v>
      </c>
      <c r="C165" s="6"/>
      <c r="D165" s="6"/>
      <c r="E165" s="6" t="s">
        <v>60</v>
      </c>
      <c r="F165" s="82">
        <v>20</v>
      </c>
      <c r="G165" s="6">
        <v>145774</v>
      </c>
      <c r="H165" s="6">
        <v>20.6</v>
      </c>
      <c r="I165" s="6">
        <v>21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11">
        <f t="shared" si="3"/>
        <v>20.6</v>
      </c>
      <c r="T165" s="95">
        <f t="shared" si="7"/>
        <v>509</v>
      </c>
      <c r="U165" s="11">
        <f t="shared" si="11"/>
        <v>0</v>
      </c>
      <c r="V165" s="11">
        <f t="shared" si="12"/>
        <v>0</v>
      </c>
      <c r="W165" s="96">
        <f t="shared" si="10"/>
        <v>473.28678474114434</v>
      </c>
      <c r="X165" s="12">
        <f>V165/[1]Manure!$I$2</f>
        <v>0</v>
      </c>
      <c r="Y165" s="12">
        <f>W165/[1]Manure!$I$2</f>
        <v>337.53451908592012</v>
      </c>
      <c r="Z165" s="12"/>
      <c r="AA165" s="12"/>
      <c r="AB165" s="11"/>
      <c r="AC165" s="11"/>
    </row>
    <row r="166" spans="1:29" ht="15.75" thickBot="1" x14ac:dyDescent="0.3">
      <c r="A166" s="13">
        <v>45505</v>
      </c>
      <c r="B166" s="7">
        <v>0.41666666666666669</v>
      </c>
      <c r="C166" s="6"/>
      <c r="D166" s="6"/>
      <c r="E166" s="6" t="s">
        <v>60</v>
      </c>
      <c r="F166" s="82">
        <v>20</v>
      </c>
      <c r="G166" s="6">
        <v>146096</v>
      </c>
      <c r="H166" s="6">
        <v>18.100000000000001</v>
      </c>
      <c r="I166" s="6">
        <v>18.899999999999999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11">
        <f t="shared" si="3"/>
        <v>18.100000000000001</v>
      </c>
      <c r="T166" s="95">
        <f t="shared" si="7"/>
        <v>322</v>
      </c>
      <c r="U166" s="11">
        <f t="shared" si="11"/>
        <v>0</v>
      </c>
      <c r="V166" s="11">
        <f t="shared" si="12"/>
        <v>0</v>
      </c>
      <c r="W166" s="96">
        <f t="shared" si="10"/>
        <v>301.9787014771556</v>
      </c>
      <c r="X166" s="12">
        <f>V166/[1]Manure!$I$2</f>
        <v>0</v>
      </c>
      <c r="Y166" s="12">
        <f>W166/[1]Manure!$I$2</f>
        <v>215.36252239333103</v>
      </c>
      <c r="Z166" s="12"/>
      <c r="AA166" s="12"/>
      <c r="AB166" s="11"/>
      <c r="AC166" s="11"/>
    </row>
    <row r="167" spans="1:29" ht="15.75" thickBot="1" x14ac:dyDescent="0.3">
      <c r="A167" s="13">
        <v>45506</v>
      </c>
      <c r="B167" s="7">
        <v>0.41666666666666669</v>
      </c>
      <c r="C167" s="6"/>
      <c r="D167" s="6"/>
      <c r="E167" s="6" t="s">
        <v>60</v>
      </c>
      <c r="F167" s="82">
        <v>20</v>
      </c>
      <c r="G167" s="6">
        <v>146403</v>
      </c>
      <c r="H167" s="6">
        <v>19.100000000000001</v>
      </c>
      <c r="I167" s="6">
        <v>20.5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11">
        <f t="shared" si="3"/>
        <v>19.100000000000001</v>
      </c>
      <c r="T167" s="95">
        <f t="shared" si="7"/>
        <v>307</v>
      </c>
      <c r="U167" s="11">
        <f t="shared" si="11"/>
        <v>0</v>
      </c>
      <c r="V167" s="11">
        <f t="shared" si="12"/>
        <v>0</v>
      </c>
      <c r="W167" s="96">
        <f t="shared" si="10"/>
        <v>286.92571037315986</v>
      </c>
      <c r="X167" s="12">
        <f>V167/[1]Manure!$I$2</f>
        <v>0</v>
      </c>
      <c r="Y167" s="12">
        <f>W167/[1]Manure!$I$2</f>
        <v>204.62716219122706</v>
      </c>
      <c r="Z167" s="12"/>
      <c r="AA167" s="12"/>
      <c r="AB167" s="11"/>
      <c r="AC167" s="11"/>
    </row>
    <row r="168" spans="1:29" ht="15.75" thickBot="1" x14ac:dyDescent="0.3">
      <c r="A168" s="13">
        <v>45507</v>
      </c>
      <c r="B168" s="7">
        <v>0.41666666666666669</v>
      </c>
      <c r="C168" s="6"/>
      <c r="D168" s="6"/>
      <c r="E168" s="6" t="s">
        <v>60</v>
      </c>
      <c r="F168" s="82">
        <v>20</v>
      </c>
      <c r="G168" s="6">
        <v>146803</v>
      </c>
      <c r="H168" s="6">
        <v>19</v>
      </c>
      <c r="I168" s="6">
        <v>21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11">
        <f t="shared" si="3"/>
        <v>19</v>
      </c>
      <c r="T168" s="95">
        <f t="shared" si="7"/>
        <v>400</v>
      </c>
      <c r="U168" s="11">
        <f t="shared" si="11"/>
        <v>0</v>
      </c>
      <c r="V168" s="11">
        <f t="shared" si="12"/>
        <v>0</v>
      </c>
      <c r="W168" s="96">
        <f t="shared" si="10"/>
        <v>373.97260273972603</v>
      </c>
      <c r="X168" s="12">
        <f>V168/[1]Manure!$I$2</f>
        <v>0</v>
      </c>
      <c r="Y168" s="12">
        <f>W168/[1]Manure!$I$2</f>
        <v>266.70650161107238</v>
      </c>
      <c r="Z168" s="12"/>
      <c r="AA168" s="12"/>
      <c r="AB168" s="11"/>
      <c r="AC168" s="11"/>
    </row>
    <row r="169" spans="1:29" ht="15.75" thickBot="1" x14ac:dyDescent="0.3">
      <c r="A169" s="13">
        <v>45509</v>
      </c>
      <c r="B169" s="7">
        <v>0.41666666666666669</v>
      </c>
      <c r="C169" s="6"/>
      <c r="D169" s="6"/>
      <c r="E169" s="6" t="s">
        <v>60</v>
      </c>
      <c r="F169" s="82">
        <v>20</v>
      </c>
      <c r="G169" s="6">
        <v>147449</v>
      </c>
      <c r="H169" s="6">
        <v>19.100000000000001</v>
      </c>
      <c r="I169" s="6">
        <v>19.2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11">
        <f t="shared" si="3"/>
        <v>19.100000000000001</v>
      </c>
      <c r="T169" s="95">
        <f t="shared" si="7"/>
        <v>646</v>
      </c>
      <c r="U169" s="11">
        <f t="shared" si="11"/>
        <v>0</v>
      </c>
      <c r="V169" s="11">
        <f t="shared" si="12"/>
        <v>0</v>
      </c>
      <c r="W169" s="96">
        <f t="shared" si="10"/>
        <v>603.75898664840804</v>
      </c>
      <c r="X169" s="12">
        <f>V169/[1]Manure!$I$2</f>
        <v>0</v>
      </c>
      <c r="Y169" s="12">
        <f>W169/[1]Manure!$I$2</f>
        <v>430.58353998544845</v>
      </c>
      <c r="Z169" s="12"/>
      <c r="AA169" s="12"/>
      <c r="AB169" s="11"/>
      <c r="AC169" s="11"/>
    </row>
    <row r="170" spans="1:29" ht="15.75" thickBot="1" x14ac:dyDescent="0.3">
      <c r="A170" s="13">
        <v>45510</v>
      </c>
      <c r="B170" s="7">
        <v>0.41666666666666669</v>
      </c>
      <c r="C170" s="6"/>
      <c r="D170" s="6"/>
      <c r="E170" s="6" t="s">
        <v>60</v>
      </c>
      <c r="F170" s="82">
        <v>20</v>
      </c>
      <c r="G170" s="6">
        <v>148064</v>
      </c>
      <c r="H170" s="6">
        <v>23.3</v>
      </c>
      <c r="I170" s="6">
        <v>18.899999999999999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11">
        <f t="shared" si="3"/>
        <v>23.3</v>
      </c>
      <c r="T170" s="95">
        <f t="shared" si="7"/>
        <v>615</v>
      </c>
      <c r="U170" s="11">
        <f t="shared" si="11"/>
        <v>0</v>
      </c>
      <c r="V170" s="11">
        <f t="shared" si="12"/>
        <v>0</v>
      </c>
      <c r="W170" s="96">
        <f t="shared" si="10"/>
        <v>566.63854201822471</v>
      </c>
      <c r="X170" s="12">
        <f>V170/[1]Manure!$I$2</f>
        <v>0</v>
      </c>
      <c r="Y170" s="12">
        <f>W170/[1]Manure!$I$2</f>
        <v>404.11030677789711</v>
      </c>
      <c r="Z170" s="12"/>
      <c r="AA170" s="12"/>
      <c r="AB170" s="11"/>
      <c r="AC170" s="11"/>
    </row>
    <row r="171" spans="1:29" ht="15.75" thickBot="1" x14ac:dyDescent="0.3">
      <c r="A171" s="13">
        <v>45511</v>
      </c>
      <c r="B171" s="7">
        <v>0.41666666666666669</v>
      </c>
      <c r="C171" s="6"/>
      <c r="D171" s="6"/>
      <c r="E171" s="6" t="s">
        <v>60</v>
      </c>
      <c r="F171" s="82">
        <v>20</v>
      </c>
      <c r="G171" s="6">
        <v>148423</v>
      </c>
      <c r="H171" s="6">
        <v>26.1</v>
      </c>
      <c r="I171" s="6">
        <v>22.2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11">
        <f t="shared" si="3"/>
        <v>26.1</v>
      </c>
      <c r="T171" s="95">
        <f t="shared" si="7"/>
        <v>359</v>
      </c>
      <c r="U171" s="11">
        <f t="shared" si="11"/>
        <v>0</v>
      </c>
      <c r="V171" s="11">
        <f t="shared" si="12"/>
        <v>0</v>
      </c>
      <c r="W171" s="96">
        <f t="shared" si="10"/>
        <v>327.67301905717147</v>
      </c>
      <c r="X171" s="12">
        <f>V171/[1]Manure!$I$2</f>
        <v>0</v>
      </c>
      <c r="Y171" s="12">
        <f>W171/[1]Manure!$I$2</f>
        <v>233.68697050221905</v>
      </c>
      <c r="Z171" s="12"/>
      <c r="AA171" s="12"/>
      <c r="AB171" s="11"/>
      <c r="AC171" s="11"/>
    </row>
    <row r="172" spans="1:29" ht="15.75" thickBot="1" x14ac:dyDescent="0.3">
      <c r="A172" s="13">
        <v>45512</v>
      </c>
      <c r="B172" s="7">
        <v>0.41666666666666669</v>
      </c>
      <c r="C172" s="6"/>
      <c r="D172" s="6"/>
      <c r="E172" s="6" t="s">
        <v>60</v>
      </c>
      <c r="F172" s="82">
        <v>20</v>
      </c>
      <c r="G172" s="6">
        <v>149019</v>
      </c>
      <c r="H172" s="6">
        <v>26.1</v>
      </c>
      <c r="I172" s="6">
        <v>18.600000000000001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11">
        <f t="shared" si="3"/>
        <v>26.1</v>
      </c>
      <c r="T172" s="95">
        <f t="shared" si="7"/>
        <v>596</v>
      </c>
      <c r="U172" s="11">
        <f t="shared" si="11"/>
        <v>0</v>
      </c>
      <c r="V172" s="11">
        <f t="shared" si="12"/>
        <v>0</v>
      </c>
      <c r="W172" s="96">
        <f t="shared" si="10"/>
        <v>543.9919759277833</v>
      </c>
      <c r="X172" s="12">
        <f>V172/[1]Manure!$I$2</f>
        <v>0</v>
      </c>
      <c r="Y172" s="12">
        <f>W172/[1]Manure!$I$2</f>
        <v>387.95942735187344</v>
      </c>
      <c r="Z172" s="12"/>
      <c r="AA172" s="12"/>
      <c r="AB172" s="11"/>
      <c r="AC172" s="11"/>
    </row>
    <row r="173" spans="1:29" ht="15.75" thickBot="1" x14ac:dyDescent="0.3">
      <c r="A173" s="13">
        <v>45513</v>
      </c>
      <c r="B173" s="7">
        <v>0.41666666666666669</v>
      </c>
      <c r="C173" s="6"/>
      <c r="D173" s="6"/>
      <c r="E173" s="6" t="s">
        <v>60</v>
      </c>
      <c r="F173" s="82">
        <v>20</v>
      </c>
      <c r="G173" s="6">
        <v>149465</v>
      </c>
      <c r="H173" s="6">
        <v>20.9</v>
      </c>
      <c r="I173" s="6">
        <v>17.3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11">
        <f t="shared" si="3"/>
        <v>20.9</v>
      </c>
      <c r="T173" s="95">
        <f t="shared" si="7"/>
        <v>446</v>
      </c>
      <c r="U173" s="11">
        <f t="shared" si="11"/>
        <v>0</v>
      </c>
      <c r="V173" s="11">
        <f t="shared" si="12"/>
        <v>0</v>
      </c>
      <c r="W173" s="96">
        <f t="shared" si="10"/>
        <v>414.28376998979252</v>
      </c>
      <c r="X173" s="12">
        <f>V173/[1]Manure!$I$2</f>
        <v>0</v>
      </c>
      <c r="Y173" s="12">
        <f>W173/[1]Manure!$I$2</f>
        <v>295.45526639854694</v>
      </c>
      <c r="Z173" s="12"/>
      <c r="AA173" s="12"/>
      <c r="AB173" s="11"/>
      <c r="AC173" s="11"/>
    </row>
    <row r="174" spans="1:29" ht="15.75" thickBot="1" x14ac:dyDescent="0.3">
      <c r="A174" s="13">
        <v>45514</v>
      </c>
      <c r="B174" s="7">
        <v>0.41666666666666669</v>
      </c>
      <c r="C174" s="6"/>
      <c r="D174" s="6"/>
      <c r="E174" s="6" t="s">
        <v>60</v>
      </c>
      <c r="F174" s="82">
        <v>20</v>
      </c>
      <c r="G174" s="6">
        <v>150016</v>
      </c>
      <c r="H174" s="6">
        <v>16.399999999999999</v>
      </c>
      <c r="I174" s="6">
        <v>18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11">
        <f t="shared" si="3"/>
        <v>16.399999999999999</v>
      </c>
      <c r="T174" s="95">
        <f t="shared" si="7"/>
        <v>551</v>
      </c>
      <c r="U174" s="11">
        <f t="shared" si="11"/>
        <v>0</v>
      </c>
      <c r="V174" s="11">
        <f t="shared" si="12"/>
        <v>0</v>
      </c>
      <c r="W174" s="96">
        <f t="shared" si="10"/>
        <v>519.77539737387701</v>
      </c>
      <c r="X174" s="12">
        <f>V174/[1]Manure!$I$2</f>
        <v>0</v>
      </c>
      <c r="Y174" s="12">
        <f>W174/[1]Manure!$I$2</f>
        <v>370.68886020394484</v>
      </c>
      <c r="Z174" s="12"/>
      <c r="AA174" s="12"/>
      <c r="AB174" s="11"/>
      <c r="AC174" s="11"/>
    </row>
    <row r="175" spans="1:29" ht="15.75" thickBot="1" x14ac:dyDescent="0.3">
      <c r="A175" s="13">
        <v>45516</v>
      </c>
      <c r="B175" s="7">
        <v>0.41666666666666669</v>
      </c>
      <c r="C175" s="6"/>
      <c r="D175" s="6"/>
      <c r="E175" s="6" t="s">
        <v>60</v>
      </c>
      <c r="F175" s="82">
        <v>20</v>
      </c>
      <c r="G175" s="6">
        <v>151011</v>
      </c>
      <c r="H175" s="6">
        <v>16.2</v>
      </c>
      <c r="I175" s="6">
        <v>17.8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11">
        <f t="shared" si="3"/>
        <v>16.2</v>
      </c>
      <c r="T175" s="95">
        <f t="shared" si="7"/>
        <v>995</v>
      </c>
      <c r="U175" s="11">
        <f t="shared" si="11"/>
        <v>0</v>
      </c>
      <c r="V175" s="11">
        <f t="shared" si="12"/>
        <v>0</v>
      </c>
      <c r="W175" s="96">
        <f t="shared" si="10"/>
        <v>939.26348547717851</v>
      </c>
      <c r="X175" s="12">
        <f>V175/[1]Manure!$I$2</f>
        <v>0</v>
      </c>
      <c r="Y175" s="12">
        <f>W175/[1]Manure!$I$2</f>
        <v>669.85569656017435</v>
      </c>
      <c r="Z175" s="12"/>
      <c r="AA175" s="12"/>
      <c r="AB175" s="11"/>
      <c r="AC175" s="11"/>
    </row>
    <row r="176" spans="1:29" ht="15.75" thickBot="1" x14ac:dyDescent="0.3">
      <c r="A176" s="13">
        <v>45517</v>
      </c>
      <c r="B176" s="7">
        <v>0.41666666666666669</v>
      </c>
      <c r="C176" s="6"/>
      <c r="D176" s="6"/>
      <c r="E176" s="6" t="s">
        <v>60</v>
      </c>
      <c r="F176" s="82">
        <v>20</v>
      </c>
      <c r="G176" s="6">
        <v>151548</v>
      </c>
      <c r="H176" s="6">
        <v>17.600000000000001</v>
      </c>
      <c r="I176" s="6">
        <v>19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11">
        <f t="shared" si="3"/>
        <v>17.600000000000001</v>
      </c>
      <c r="T176" s="95">
        <f t="shared" si="7"/>
        <v>537</v>
      </c>
      <c r="U176" s="11">
        <f t="shared" si="11"/>
        <v>0</v>
      </c>
      <c r="V176" s="11">
        <f t="shared" si="12"/>
        <v>0</v>
      </c>
      <c r="W176" s="96">
        <f t="shared" si="10"/>
        <v>504.4769442532691</v>
      </c>
      <c r="X176" s="12">
        <f>V176/[1]Manure!$I$2</f>
        <v>0</v>
      </c>
      <c r="Y176" s="12">
        <f>W176/[1]Manure!$I$2</f>
        <v>359.77844355318814</v>
      </c>
      <c r="Z176" s="12"/>
      <c r="AA176" s="12"/>
      <c r="AB176" s="11"/>
      <c r="AC176" s="11"/>
    </row>
    <row r="177" spans="1:29" ht="15.75" thickBot="1" x14ac:dyDescent="0.3">
      <c r="A177" s="13">
        <v>45518</v>
      </c>
      <c r="B177" s="7">
        <v>0.41666666666666669</v>
      </c>
      <c r="C177" s="6"/>
      <c r="D177" s="6"/>
      <c r="E177" s="6" t="s">
        <v>60</v>
      </c>
      <c r="F177" s="82">
        <v>20</v>
      </c>
      <c r="G177" s="6">
        <v>151795</v>
      </c>
      <c r="H177" s="6">
        <v>18.399999999999999</v>
      </c>
      <c r="I177" s="6">
        <v>17.899999999999999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11">
        <f t="shared" si="3"/>
        <v>18.399999999999999</v>
      </c>
      <c r="T177" s="95">
        <f t="shared" si="7"/>
        <v>247</v>
      </c>
      <c r="U177" s="11">
        <f t="shared" si="11"/>
        <v>0</v>
      </c>
      <c r="V177" s="11">
        <f t="shared" si="12"/>
        <v>0</v>
      </c>
      <c r="W177" s="96">
        <f t="shared" si="10"/>
        <v>231.40356897735074</v>
      </c>
      <c r="X177" s="12">
        <f>V177/[1]Manure!$I$2</f>
        <v>0</v>
      </c>
      <c r="Y177" s="12">
        <f>W177/[1]Manure!$I$2</f>
        <v>165.03036824122327</v>
      </c>
      <c r="Z177" s="12"/>
      <c r="AA177" s="12"/>
      <c r="AB177" s="11"/>
      <c r="AC177" s="11"/>
    </row>
    <row r="178" spans="1:29" ht="15.75" thickBot="1" x14ac:dyDescent="0.3">
      <c r="A178" s="13">
        <v>45519</v>
      </c>
      <c r="B178" s="7">
        <v>0.41666666666666669</v>
      </c>
      <c r="C178" s="6"/>
      <c r="D178" s="6"/>
      <c r="E178" s="6" t="s">
        <v>60</v>
      </c>
      <c r="F178" s="82">
        <v>20</v>
      </c>
      <c r="G178" s="6">
        <v>152435</v>
      </c>
      <c r="H178" s="6">
        <v>21.7</v>
      </c>
      <c r="I178" s="6">
        <v>22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11">
        <f t="shared" si="3"/>
        <v>21.7</v>
      </c>
      <c r="T178" s="95">
        <f t="shared" si="7"/>
        <v>640</v>
      </c>
      <c r="U178" s="11">
        <f t="shared" si="11"/>
        <v>0</v>
      </c>
      <c r="V178" s="11">
        <f t="shared" si="12"/>
        <v>0</v>
      </c>
      <c r="W178" s="96">
        <f t="shared" si="10"/>
        <v>592.87410926365806</v>
      </c>
      <c r="X178" s="12">
        <f>V178/[1]Manure!$I$2</f>
        <v>0</v>
      </c>
      <c r="Y178" s="12">
        <f>W178/[1]Manure!$I$2</f>
        <v>422.82075857717348</v>
      </c>
      <c r="Z178" s="12"/>
      <c r="AA178" s="12"/>
      <c r="AB178" s="11"/>
      <c r="AC178" s="11"/>
    </row>
    <row r="179" spans="1:29" ht="15.75" thickBot="1" x14ac:dyDescent="0.3">
      <c r="A179" s="13">
        <v>45520</v>
      </c>
      <c r="B179" s="7">
        <v>0.41666666666666669</v>
      </c>
      <c r="C179" s="6"/>
      <c r="D179" s="6"/>
      <c r="E179" s="6" t="s">
        <v>60</v>
      </c>
      <c r="F179" s="82">
        <v>20</v>
      </c>
      <c r="G179" s="6">
        <v>152817</v>
      </c>
      <c r="H179" s="6">
        <v>20.399999999999999</v>
      </c>
      <c r="I179" s="6">
        <v>20.9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11">
        <f t="shared" si="3"/>
        <v>20.399999999999999</v>
      </c>
      <c r="T179" s="95">
        <f t="shared" si="7"/>
        <v>382</v>
      </c>
      <c r="U179" s="11">
        <f t="shared" si="11"/>
        <v>0</v>
      </c>
      <c r="V179" s="11">
        <f t="shared" si="12"/>
        <v>0</v>
      </c>
      <c r="W179" s="96">
        <f t="shared" si="10"/>
        <v>355.43967280163605</v>
      </c>
      <c r="X179" s="12">
        <f>V179/[1]Manure!$I$2</f>
        <v>0</v>
      </c>
      <c r="Y179" s="12">
        <f>W179/[1]Manure!$I$2</f>
        <v>253.48934914541121</v>
      </c>
      <c r="Z179" s="12"/>
      <c r="AA179" s="12"/>
      <c r="AB179" s="11"/>
      <c r="AC179" s="11"/>
    </row>
    <row r="180" spans="1:29" ht="15.75" thickBot="1" x14ac:dyDescent="0.3">
      <c r="A180" s="13">
        <v>45521</v>
      </c>
      <c r="B180" s="7">
        <v>0.41666666666666669</v>
      </c>
      <c r="C180" s="6"/>
      <c r="D180" s="6"/>
      <c r="E180" s="6" t="s">
        <v>60</v>
      </c>
      <c r="F180" s="82">
        <v>20</v>
      </c>
      <c r="G180" s="6">
        <v>153170</v>
      </c>
      <c r="H180" s="6">
        <v>17.8</v>
      </c>
      <c r="I180" s="6">
        <v>21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11">
        <f t="shared" si="3"/>
        <v>17.8</v>
      </c>
      <c r="T180" s="95">
        <f t="shared" si="7"/>
        <v>353</v>
      </c>
      <c r="U180" s="11">
        <f t="shared" si="11"/>
        <v>0</v>
      </c>
      <c r="V180" s="11">
        <f t="shared" si="12"/>
        <v>0</v>
      </c>
      <c r="W180" s="96">
        <f t="shared" si="10"/>
        <v>331.39270976616234</v>
      </c>
      <c r="X180" s="12">
        <f>V180/[1]Manure!$I$2</f>
        <v>0</v>
      </c>
      <c r="Y180" s="12">
        <f>W180/[1]Manure!$I$2</f>
        <v>236.33974690563014</v>
      </c>
      <c r="Z180" s="12"/>
      <c r="AA180" s="12"/>
      <c r="AB180" s="11"/>
      <c r="AC180" s="11"/>
    </row>
    <row r="181" spans="1:29" ht="15.75" thickBot="1" x14ac:dyDescent="0.3">
      <c r="A181" s="13">
        <v>45523</v>
      </c>
      <c r="B181" s="7">
        <v>0.41666666666666669</v>
      </c>
      <c r="C181" s="6"/>
      <c r="D181" s="6"/>
      <c r="E181" s="6" t="s">
        <v>60</v>
      </c>
      <c r="F181" s="82">
        <v>20</v>
      </c>
      <c r="G181" s="6">
        <v>153923</v>
      </c>
      <c r="H181" s="6">
        <v>23.3</v>
      </c>
      <c r="I181" s="6">
        <v>19.3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11">
        <f t="shared" si="3"/>
        <v>23.3</v>
      </c>
      <c r="T181" s="95">
        <f t="shared" si="7"/>
        <v>753</v>
      </c>
      <c r="U181" s="11">
        <f t="shared" si="11"/>
        <v>0</v>
      </c>
      <c r="V181" s="11">
        <f t="shared" si="12"/>
        <v>0</v>
      </c>
      <c r="W181" s="96">
        <f t="shared" si="10"/>
        <v>693.78670266621657</v>
      </c>
      <c r="X181" s="12">
        <f>V181/[1]Manure!$I$2</f>
        <v>0</v>
      </c>
      <c r="Y181" s="12">
        <f>W181/[1]Manure!$I$2</f>
        <v>494.78871707927891</v>
      </c>
      <c r="Z181" s="12"/>
      <c r="AA181" s="12"/>
      <c r="AB181" s="11"/>
      <c r="AC181" s="11"/>
    </row>
    <row r="182" spans="1:29" ht="15.75" thickBot="1" x14ac:dyDescent="0.3">
      <c r="A182" s="13">
        <v>45524</v>
      </c>
      <c r="B182" s="7">
        <v>0.41666666666666669</v>
      </c>
      <c r="C182" s="6"/>
      <c r="D182" s="6"/>
      <c r="E182" s="6" t="s">
        <v>60</v>
      </c>
      <c r="F182" s="82">
        <v>20</v>
      </c>
      <c r="G182" s="6">
        <v>154621</v>
      </c>
      <c r="H182" s="6">
        <v>18.5</v>
      </c>
      <c r="I182" s="6">
        <v>22.1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11">
        <f t="shared" si="3"/>
        <v>18.5</v>
      </c>
      <c r="T182" s="95">
        <f t="shared" si="7"/>
        <v>698</v>
      </c>
      <c r="U182" s="11">
        <f t="shared" si="11"/>
        <v>0</v>
      </c>
      <c r="V182" s="11">
        <f t="shared" si="12"/>
        <v>0</v>
      </c>
      <c r="W182" s="96">
        <f t="shared" si="10"/>
        <v>653.7015437392796</v>
      </c>
      <c r="X182" s="12">
        <f>V182/[1]Manure!$I$2</f>
        <v>0</v>
      </c>
      <c r="Y182" s="12">
        <f>W182/[1]Manure!$I$2</f>
        <v>466.20113492592043</v>
      </c>
      <c r="Z182" s="12"/>
      <c r="AA182" s="12"/>
      <c r="AB182" s="11"/>
      <c r="AC182" s="11"/>
    </row>
    <row r="183" spans="1:29" ht="15.75" thickBot="1" x14ac:dyDescent="0.3">
      <c r="A183" s="13">
        <v>45525</v>
      </c>
      <c r="B183" s="7">
        <v>0.41666666666666669</v>
      </c>
      <c r="C183" s="6"/>
      <c r="D183" s="6"/>
      <c r="E183" s="6" t="s">
        <v>60</v>
      </c>
      <c r="F183" s="82">
        <v>20</v>
      </c>
      <c r="G183" s="6">
        <v>154977</v>
      </c>
      <c r="H183" s="6">
        <v>21.6</v>
      </c>
      <c r="I183" s="6">
        <v>19.100000000000001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11">
        <f t="shared" si="3"/>
        <v>21.6</v>
      </c>
      <c r="T183" s="95">
        <f t="shared" si="7"/>
        <v>356</v>
      </c>
      <c r="U183" s="11">
        <f t="shared" si="11"/>
        <v>0</v>
      </c>
      <c r="V183" s="11">
        <f t="shared" si="12"/>
        <v>0</v>
      </c>
      <c r="W183" s="96">
        <f t="shared" si="10"/>
        <v>329.89816700610999</v>
      </c>
      <c r="X183" s="12">
        <f>V183/[1]Manure!$I$2</f>
        <v>0</v>
      </c>
      <c r="Y183" s="12">
        <f>W183/[1]Manure!$I$2</f>
        <v>235.27388200504237</v>
      </c>
      <c r="Z183" s="12"/>
      <c r="AA183" s="12"/>
      <c r="AB183" s="11"/>
      <c r="AC183" s="11"/>
    </row>
    <row r="184" spans="1:29" ht="15.75" thickBot="1" x14ac:dyDescent="0.3">
      <c r="A184" s="13">
        <v>45526</v>
      </c>
      <c r="B184" s="7">
        <v>0.41666666666666669</v>
      </c>
      <c r="C184" s="6"/>
      <c r="D184" s="6"/>
      <c r="E184" s="6" t="s">
        <v>60</v>
      </c>
      <c r="F184" s="82">
        <v>20</v>
      </c>
      <c r="G184" s="6">
        <v>155312</v>
      </c>
      <c r="H184" s="6">
        <v>15.8</v>
      </c>
      <c r="I184" s="6">
        <v>20.8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11">
        <f t="shared" si="3"/>
        <v>15.8</v>
      </c>
      <c r="T184" s="95">
        <f t="shared" si="7"/>
        <v>335</v>
      </c>
      <c r="U184" s="11">
        <f t="shared" si="11"/>
        <v>0</v>
      </c>
      <c r="V184" s="11">
        <f t="shared" si="12"/>
        <v>0</v>
      </c>
      <c r="W184" s="96">
        <f t="shared" si="10"/>
        <v>316.67243767313016</v>
      </c>
      <c r="X184" s="12">
        <f>V184/[1]Manure!$I$2</f>
        <v>0</v>
      </c>
      <c r="Y184" s="12">
        <f>W184/[1]Manure!$I$2</f>
        <v>225.84167233028995</v>
      </c>
      <c r="Z184" s="12"/>
      <c r="AA184" s="12"/>
      <c r="AB184" s="11"/>
      <c r="AC184" s="11"/>
    </row>
    <row r="185" spans="1:29" ht="15.75" thickBot="1" x14ac:dyDescent="0.3">
      <c r="A185" s="13">
        <v>45527</v>
      </c>
      <c r="B185" s="7">
        <v>0.41666666666666669</v>
      </c>
      <c r="C185" s="6"/>
      <c r="D185" s="6"/>
      <c r="E185" s="6" t="s">
        <v>60</v>
      </c>
      <c r="F185" s="82">
        <v>20</v>
      </c>
      <c r="G185" s="6">
        <v>155744</v>
      </c>
      <c r="H185" s="6">
        <v>16</v>
      </c>
      <c r="I185" s="6">
        <v>20.6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11">
        <f t="shared" si="3"/>
        <v>16</v>
      </c>
      <c r="T185" s="95">
        <f t="shared" si="7"/>
        <v>432</v>
      </c>
      <c r="U185" s="11">
        <f t="shared" si="11"/>
        <v>0</v>
      </c>
      <c r="V185" s="11">
        <f t="shared" si="12"/>
        <v>0</v>
      </c>
      <c r="W185" s="96">
        <f t="shared" si="10"/>
        <v>408.08304498269899</v>
      </c>
      <c r="X185" s="12">
        <f>V185/[1]Manure!$I$2</f>
        <v>0</v>
      </c>
      <c r="Y185" s="12">
        <f>W185/[1]Manure!$I$2</f>
        <v>291.0330877095771</v>
      </c>
      <c r="Z185" s="12"/>
      <c r="AA185" s="12"/>
      <c r="AB185" s="11"/>
      <c r="AC185" s="11"/>
    </row>
    <row r="186" spans="1:29" ht="15.75" thickBot="1" x14ac:dyDescent="0.3">
      <c r="A186" s="13">
        <v>45528</v>
      </c>
      <c r="B186" s="7">
        <v>0.41666666666666669</v>
      </c>
      <c r="C186" s="6"/>
      <c r="D186" s="6"/>
      <c r="E186" s="6" t="s">
        <v>60</v>
      </c>
      <c r="F186" s="82">
        <v>20</v>
      </c>
      <c r="G186" s="6">
        <v>156057</v>
      </c>
      <c r="H186" s="6">
        <v>19.100000000000001</v>
      </c>
      <c r="I186" s="6">
        <v>18.7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11">
        <f t="shared" si="3"/>
        <v>19.100000000000001</v>
      </c>
      <c r="T186" s="95">
        <f t="shared" si="7"/>
        <v>313</v>
      </c>
      <c r="U186" s="11">
        <f t="shared" si="11"/>
        <v>0</v>
      </c>
      <c r="V186" s="11">
        <f t="shared" si="12"/>
        <v>0</v>
      </c>
      <c r="W186" s="96">
        <f t="shared" si="10"/>
        <v>292.5333789798014</v>
      </c>
      <c r="X186" s="12">
        <f>V186/[1]Manure!$I$2</f>
        <v>0</v>
      </c>
      <c r="Y186" s="12">
        <f>W186/[1]Manure!$I$2</f>
        <v>208.62639011678849</v>
      </c>
      <c r="Z186" s="12"/>
      <c r="AA186" s="12"/>
      <c r="AB186" s="11"/>
      <c r="AC186" s="11"/>
    </row>
    <row r="187" spans="1:29" ht="15.75" thickBot="1" x14ac:dyDescent="0.3">
      <c r="A187" s="13">
        <v>45530</v>
      </c>
      <c r="B187" s="33">
        <v>0.41666666666666669</v>
      </c>
      <c r="C187" s="6"/>
      <c r="D187" s="6"/>
      <c r="E187" s="6" t="s">
        <v>60</v>
      </c>
      <c r="F187" s="82">
        <v>20</v>
      </c>
      <c r="G187" s="6">
        <v>156788</v>
      </c>
      <c r="H187" s="6">
        <v>16.2</v>
      </c>
      <c r="I187" s="6">
        <v>17.7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11">
        <f t="shared" si="3"/>
        <v>16.2</v>
      </c>
      <c r="T187" s="95">
        <f t="shared" si="7"/>
        <v>731</v>
      </c>
      <c r="U187" s="11">
        <f t="shared" si="11"/>
        <v>0</v>
      </c>
      <c r="V187" s="11">
        <f t="shared" si="12"/>
        <v>0</v>
      </c>
      <c r="W187" s="96">
        <f t="shared" si="10"/>
        <v>690.05186721991709</v>
      </c>
      <c r="X187" s="12">
        <f>V187/[1]Manure!$I$2</f>
        <v>0</v>
      </c>
      <c r="Y187" s="12">
        <f>W187/[1]Manure!$I$2</f>
        <v>492.12513988491202</v>
      </c>
      <c r="Z187" s="12"/>
      <c r="AA187" s="12"/>
      <c r="AB187" s="11"/>
      <c r="AC187" s="11"/>
    </row>
    <row r="188" spans="1:29" ht="15.75" thickBot="1" x14ac:dyDescent="0.3">
      <c r="A188" s="13">
        <v>45531</v>
      </c>
      <c r="B188" s="33">
        <v>0.41666666666666669</v>
      </c>
      <c r="C188" s="6"/>
      <c r="D188" s="6"/>
      <c r="E188" s="6" t="s">
        <v>60</v>
      </c>
      <c r="F188" s="82">
        <v>20</v>
      </c>
      <c r="G188" s="6">
        <v>157330</v>
      </c>
      <c r="H188" s="6">
        <v>17.100000000000001</v>
      </c>
      <c r="I188" s="6">
        <v>19.100000000000001</v>
      </c>
      <c r="J188" s="21"/>
      <c r="K188" s="21"/>
      <c r="L188" s="21"/>
      <c r="M188" s="21"/>
      <c r="N188" s="21"/>
      <c r="O188" s="21"/>
      <c r="P188" s="21"/>
      <c r="Q188" s="21"/>
      <c r="R188" s="21"/>
      <c r="S188" s="11">
        <f t="shared" si="3"/>
        <v>17.100000000000001</v>
      </c>
      <c r="T188" s="95">
        <f t="shared" si="7"/>
        <v>542</v>
      </c>
      <c r="U188" s="11">
        <f t="shared" si="11"/>
        <v>0</v>
      </c>
      <c r="V188" s="11">
        <f t="shared" si="12"/>
        <v>0</v>
      </c>
      <c r="W188" s="96">
        <f t="shared" si="10"/>
        <v>510.05170630816957</v>
      </c>
      <c r="X188" s="12">
        <f>V188/[1]Manure!$I$2</f>
        <v>0</v>
      </c>
      <c r="Y188" s="12">
        <f>W188/[1]Manure!$I$2</f>
        <v>363.75420347272279</v>
      </c>
      <c r="Z188" s="12"/>
      <c r="AA188" s="12"/>
      <c r="AB188" s="11"/>
      <c r="AC188" s="11"/>
    </row>
    <row r="189" spans="1:29" ht="15.75" thickBot="1" x14ac:dyDescent="0.3">
      <c r="A189" s="13">
        <v>45532</v>
      </c>
      <c r="B189" s="33">
        <v>0.41666666666666669</v>
      </c>
      <c r="C189" s="6"/>
      <c r="D189" s="6"/>
      <c r="E189" s="6" t="s">
        <v>60</v>
      </c>
      <c r="F189" s="82">
        <v>20</v>
      </c>
      <c r="G189" s="6">
        <v>157658</v>
      </c>
      <c r="H189" s="6">
        <v>20.2</v>
      </c>
      <c r="I189" s="6">
        <v>19</v>
      </c>
      <c r="J189" s="21"/>
      <c r="K189" s="21"/>
      <c r="L189" s="21"/>
      <c r="M189" s="21"/>
      <c r="N189" s="21"/>
      <c r="O189" s="21"/>
      <c r="P189" s="21"/>
      <c r="Q189" s="21"/>
      <c r="R189" s="21"/>
      <c r="S189" s="11">
        <f t="shared" si="3"/>
        <v>20.2</v>
      </c>
      <c r="T189" s="95">
        <f t="shared" si="7"/>
        <v>328</v>
      </c>
      <c r="U189" s="11">
        <f t="shared" si="11"/>
        <v>0</v>
      </c>
      <c r="V189" s="11">
        <f t="shared" si="12"/>
        <v>0</v>
      </c>
      <c r="W189" s="96">
        <f t="shared" si="10"/>
        <v>305.40245566166442</v>
      </c>
      <c r="X189" s="12">
        <f>V189/[1]Manure!$I$2</f>
        <v>0</v>
      </c>
      <c r="Y189" s="12">
        <f>W189/[1]Manure!$I$2</f>
        <v>217.80424538115679</v>
      </c>
      <c r="Z189" s="12"/>
      <c r="AA189" s="12"/>
      <c r="AB189" s="11"/>
      <c r="AC189" s="11"/>
    </row>
    <row r="190" spans="1:29" ht="15.75" thickBot="1" x14ac:dyDescent="0.3">
      <c r="A190" s="13">
        <v>45533</v>
      </c>
      <c r="B190" s="33">
        <v>0.41666666666666669</v>
      </c>
      <c r="C190" s="6"/>
      <c r="D190" s="6"/>
      <c r="E190" s="6" t="s">
        <v>60</v>
      </c>
      <c r="F190" s="82">
        <v>20</v>
      </c>
      <c r="G190" s="6">
        <v>158247</v>
      </c>
      <c r="H190" s="6">
        <v>22.9</v>
      </c>
      <c r="I190" s="6">
        <v>19.100000000000001</v>
      </c>
      <c r="J190" s="21"/>
      <c r="K190" s="21"/>
      <c r="L190" s="21"/>
      <c r="M190" s="21"/>
      <c r="N190" s="21"/>
      <c r="O190" s="21"/>
      <c r="P190" s="21"/>
      <c r="Q190" s="21"/>
      <c r="R190" s="21"/>
      <c r="S190" s="11">
        <f t="shared" si="3"/>
        <v>22.9</v>
      </c>
      <c r="T190" s="95">
        <f t="shared" si="7"/>
        <v>589</v>
      </c>
      <c r="U190" s="11">
        <f t="shared" si="11"/>
        <v>0</v>
      </c>
      <c r="V190" s="11">
        <f t="shared" si="12"/>
        <v>0</v>
      </c>
      <c r="W190" s="96">
        <f t="shared" si="10"/>
        <v>543.41669482933423</v>
      </c>
      <c r="X190" s="12">
        <f>V190/[1]Manure!$I$2</f>
        <v>0</v>
      </c>
      <c r="Y190" s="12">
        <f>W190/[1]Manure!$I$2</f>
        <v>387.54915342248319</v>
      </c>
      <c r="Z190" s="12"/>
      <c r="AA190" s="12"/>
      <c r="AB190" s="11"/>
      <c r="AC190" s="11"/>
    </row>
    <row r="191" spans="1:29" ht="15.75" thickBot="1" x14ac:dyDescent="0.3">
      <c r="A191" s="13">
        <v>45534</v>
      </c>
      <c r="B191" s="7">
        <v>0.41666666666666669</v>
      </c>
      <c r="C191" s="6"/>
      <c r="D191" s="6"/>
      <c r="E191" s="6" t="s">
        <v>60</v>
      </c>
      <c r="F191" s="82">
        <v>20</v>
      </c>
      <c r="G191" s="6">
        <v>158765</v>
      </c>
      <c r="H191" s="6">
        <v>22.1</v>
      </c>
      <c r="I191" s="6">
        <v>20.399999999999999</v>
      </c>
      <c r="J191" s="21"/>
      <c r="K191" s="21"/>
      <c r="L191" s="21"/>
      <c r="M191" s="21"/>
      <c r="N191" s="21"/>
      <c r="O191" s="21"/>
      <c r="P191" s="21"/>
      <c r="Q191" s="21"/>
      <c r="R191" s="21"/>
      <c r="S191" s="11">
        <f t="shared" si="3"/>
        <v>22.1</v>
      </c>
      <c r="T191" s="95">
        <f t="shared" si="7"/>
        <v>518</v>
      </c>
      <c r="U191" s="11">
        <f t="shared" si="11"/>
        <v>0</v>
      </c>
      <c r="V191" s="11">
        <f t="shared" si="12"/>
        <v>0</v>
      </c>
      <c r="W191" s="96">
        <f t="shared" si="10"/>
        <v>479.20704845814976</v>
      </c>
      <c r="X191" s="12">
        <f>V191/[1]Manure!$I$2</f>
        <v>0</v>
      </c>
      <c r="Y191" s="12">
        <f>W191/[1]Manure!$I$2</f>
        <v>341.75668085127381</v>
      </c>
      <c r="Z191" s="12"/>
      <c r="AA191" s="12"/>
      <c r="AB191" s="11"/>
      <c r="AC191" s="11"/>
    </row>
    <row r="192" spans="1:29" ht="15.75" thickBot="1" x14ac:dyDescent="0.3">
      <c r="A192" s="13">
        <v>45535</v>
      </c>
      <c r="B192" s="7">
        <v>0.41666666666666669</v>
      </c>
      <c r="C192" s="6"/>
      <c r="D192" s="6"/>
      <c r="E192" s="6" t="s">
        <v>60</v>
      </c>
      <c r="F192" s="82">
        <v>20</v>
      </c>
      <c r="G192" s="6">
        <v>159310</v>
      </c>
      <c r="H192" s="6">
        <v>21.7</v>
      </c>
      <c r="I192" s="6">
        <v>19.399999999999999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11">
        <f t="shared" si="3"/>
        <v>21.7</v>
      </c>
      <c r="T192" s="95">
        <f t="shared" si="7"/>
        <v>545</v>
      </c>
      <c r="U192" s="11">
        <f t="shared" si="11"/>
        <v>0</v>
      </c>
      <c r="V192" s="11">
        <f t="shared" si="12"/>
        <v>0</v>
      </c>
      <c r="W192" s="96">
        <f t="shared" si="10"/>
        <v>504.86935866983379</v>
      </c>
      <c r="X192" s="12">
        <f>V192/[1]Manure!$I$2</f>
        <v>0</v>
      </c>
      <c r="Y192" s="12">
        <f>W192/[1]Manure!$I$2</f>
        <v>360.05830222587429</v>
      </c>
      <c r="Z192" s="12"/>
      <c r="AA192" s="12"/>
      <c r="AB192" s="11"/>
      <c r="AC192" s="11"/>
    </row>
    <row r="193" spans="1:29" ht="15.75" thickBot="1" x14ac:dyDescent="0.3">
      <c r="A193" s="13">
        <v>45537</v>
      </c>
      <c r="B193" s="7">
        <v>0.41666666666666669</v>
      </c>
      <c r="C193" s="6"/>
      <c r="D193" s="6"/>
      <c r="E193" s="6" t="s">
        <v>60</v>
      </c>
      <c r="F193" s="82">
        <v>20</v>
      </c>
      <c r="G193" s="6">
        <v>159788</v>
      </c>
      <c r="H193" s="6">
        <v>18.100000000000001</v>
      </c>
      <c r="I193" s="6">
        <v>20.6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11">
        <f t="shared" si="3"/>
        <v>18.100000000000001</v>
      </c>
      <c r="T193" s="95">
        <f t="shared" si="7"/>
        <v>478</v>
      </c>
      <c r="U193" s="11">
        <f t="shared" si="11"/>
        <v>0</v>
      </c>
      <c r="V193" s="11">
        <f t="shared" si="12"/>
        <v>0</v>
      </c>
      <c r="W193" s="96">
        <f t="shared" si="10"/>
        <v>448.27894194434896</v>
      </c>
      <c r="X193" s="12">
        <f>V193/[1]Manure!$I$2</f>
        <v>0</v>
      </c>
      <c r="Y193" s="12">
        <f>W193/[1]Manure!$I$2</f>
        <v>319.69964504351623</v>
      </c>
      <c r="Z193" s="12"/>
      <c r="AA193" s="12"/>
      <c r="AB193" s="11"/>
      <c r="AC193" s="11"/>
    </row>
    <row r="194" spans="1:29" ht="15.75" thickBot="1" x14ac:dyDescent="0.3">
      <c r="A194" s="13">
        <v>45538</v>
      </c>
      <c r="B194" s="7">
        <v>0.41666666666666669</v>
      </c>
      <c r="C194" s="6"/>
      <c r="D194" s="6"/>
      <c r="E194" s="6" t="s">
        <v>60</v>
      </c>
      <c r="F194" s="82">
        <v>20</v>
      </c>
      <c r="G194" s="6">
        <v>160761</v>
      </c>
      <c r="H194" s="6">
        <v>18.3</v>
      </c>
      <c r="I194" s="6">
        <v>21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11">
        <f t="shared" si="3"/>
        <v>18.3</v>
      </c>
      <c r="T194" s="95">
        <f t="shared" si="7"/>
        <v>973</v>
      </c>
      <c r="U194" s="11">
        <f t="shared" si="11"/>
        <v>0</v>
      </c>
      <c r="V194" s="11">
        <f t="shared" si="12"/>
        <v>0</v>
      </c>
      <c r="W194" s="96">
        <f t="shared" si="10"/>
        <v>911.87435633367659</v>
      </c>
      <c r="X194" s="12">
        <f>V194/[1]Manure!$I$2</f>
        <v>0</v>
      </c>
      <c r="Y194" s="12">
        <f>W194/[1]Manure!$I$2</f>
        <v>650.32255760153987</v>
      </c>
      <c r="Z194" s="12"/>
      <c r="AA194" s="12"/>
      <c r="AB194" s="11"/>
      <c r="AC194" s="11"/>
    </row>
    <row r="195" spans="1:29" ht="15.75" thickBot="1" x14ac:dyDescent="0.3">
      <c r="A195" s="13">
        <v>45539</v>
      </c>
      <c r="B195" s="7">
        <v>0.41666666666666669</v>
      </c>
      <c r="C195" s="6"/>
      <c r="D195" s="6"/>
      <c r="E195" s="6" t="s">
        <v>60</v>
      </c>
      <c r="F195" s="82">
        <v>20</v>
      </c>
      <c r="G195" s="6">
        <v>161180</v>
      </c>
      <c r="H195" s="6">
        <v>16.3</v>
      </c>
      <c r="I195" s="6">
        <v>18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11">
        <f t="shared" si="3"/>
        <v>16.3</v>
      </c>
      <c r="T195" s="95">
        <f t="shared" si="7"/>
        <v>419</v>
      </c>
      <c r="U195" s="11">
        <f t="shared" si="11"/>
        <v>0</v>
      </c>
      <c r="V195" s="11">
        <f t="shared" si="12"/>
        <v>0</v>
      </c>
      <c r="W195" s="96">
        <f t="shared" si="10"/>
        <v>395.39232630487385</v>
      </c>
      <c r="X195" s="12">
        <f>V195/[1]Manure!$I$2</f>
        <v>0</v>
      </c>
      <c r="Y195" s="12">
        <f>W195/[1]Manure!$I$2</f>
        <v>281.98243224258107</v>
      </c>
      <c r="Z195" s="12"/>
      <c r="AA195" s="12"/>
      <c r="AB195" s="11"/>
      <c r="AC195" s="11"/>
    </row>
    <row r="196" spans="1:29" ht="15.75" thickBot="1" x14ac:dyDescent="0.3">
      <c r="A196" s="13">
        <v>45540</v>
      </c>
      <c r="B196" s="7">
        <v>0.41666666666666669</v>
      </c>
      <c r="C196" s="6"/>
      <c r="D196" s="6"/>
      <c r="E196" s="6" t="s">
        <v>60</v>
      </c>
      <c r="F196" s="82">
        <v>20</v>
      </c>
      <c r="G196" s="6">
        <v>161450</v>
      </c>
      <c r="H196" s="6">
        <v>19.600000000000001</v>
      </c>
      <c r="I196" s="6">
        <v>21.2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11">
        <f t="shared" si="3"/>
        <v>19.600000000000001</v>
      </c>
      <c r="T196" s="95">
        <f t="shared" si="7"/>
        <v>270</v>
      </c>
      <c r="U196" s="11">
        <f t="shared" si="11"/>
        <v>0</v>
      </c>
      <c r="V196" s="11">
        <f t="shared" si="12"/>
        <v>0</v>
      </c>
      <c r="W196" s="96">
        <f t="shared" si="10"/>
        <v>251.91387559808609</v>
      </c>
      <c r="X196" s="12">
        <f>V196/[1]Manure!$I$2</f>
        <v>0</v>
      </c>
      <c r="Y196" s="12">
        <f>W196/[1]Manure!$I$2</f>
        <v>179.65772887061638</v>
      </c>
      <c r="Z196" s="12"/>
      <c r="AA196" s="12"/>
      <c r="AB196" s="11"/>
      <c r="AC196" s="11"/>
    </row>
    <row r="197" spans="1:29" ht="15.75" thickBot="1" x14ac:dyDescent="0.3">
      <c r="A197" s="13">
        <v>45541</v>
      </c>
      <c r="B197" s="7">
        <v>0.41666666666666669</v>
      </c>
      <c r="C197" s="6"/>
      <c r="D197" s="6"/>
      <c r="E197" s="6" t="s">
        <v>60</v>
      </c>
      <c r="F197" s="82">
        <v>20</v>
      </c>
      <c r="G197" s="6">
        <v>161734</v>
      </c>
      <c r="H197" s="6">
        <v>20</v>
      </c>
      <c r="I197" s="6">
        <v>20.8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11">
        <f t="shared" si="3"/>
        <v>20</v>
      </c>
      <c r="T197" s="95">
        <f t="shared" si="7"/>
        <v>284</v>
      </c>
      <c r="U197" s="11">
        <f t="shared" si="11"/>
        <v>0</v>
      </c>
      <c r="V197" s="11">
        <f t="shared" si="12"/>
        <v>0</v>
      </c>
      <c r="W197" s="96">
        <f t="shared" si="10"/>
        <v>264.61433447098977</v>
      </c>
      <c r="X197" s="12">
        <f>V197/[1]Manure!$I$2</f>
        <v>0</v>
      </c>
      <c r="Y197" s="12">
        <f>W197/[1]Manure!$I$2</f>
        <v>188.71533076453079</v>
      </c>
      <c r="Z197" s="12"/>
      <c r="AA197" s="12"/>
      <c r="AB197" s="11"/>
      <c r="AC197" s="11"/>
    </row>
    <row r="198" spans="1:29" ht="15.75" thickBot="1" x14ac:dyDescent="0.3">
      <c r="A198" s="13">
        <v>45542</v>
      </c>
      <c r="B198" s="7">
        <v>0.41666666666666669</v>
      </c>
      <c r="C198" s="6"/>
      <c r="D198" s="6"/>
      <c r="E198" s="6" t="s">
        <v>60</v>
      </c>
      <c r="F198" s="82">
        <v>20</v>
      </c>
      <c r="G198" s="6">
        <v>162011</v>
      </c>
      <c r="H198" s="6">
        <v>23.6</v>
      </c>
      <c r="I198" s="6">
        <v>21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11">
        <f t="shared" si="3"/>
        <v>23.6</v>
      </c>
      <c r="T198" s="95">
        <f t="shared" si="7"/>
        <v>277</v>
      </c>
      <c r="U198" s="11">
        <f t="shared" si="11"/>
        <v>0</v>
      </c>
      <c r="V198" s="11">
        <f t="shared" si="12"/>
        <v>0</v>
      </c>
      <c r="W198" s="96">
        <f t="shared" si="10"/>
        <v>254.95954146999324</v>
      </c>
      <c r="X198" s="12">
        <f>V198/[1]Manure!$I$2</f>
        <v>0</v>
      </c>
      <c r="Y198" s="12">
        <f>W198/[1]Manure!$I$2</f>
        <v>181.82981015096067</v>
      </c>
      <c r="Z198" s="12"/>
      <c r="AA198" s="12"/>
      <c r="AB198" s="11" t="s">
        <v>87</v>
      </c>
      <c r="AC198" s="11"/>
    </row>
    <row r="199" spans="1:29" ht="15.75" thickBot="1" x14ac:dyDescent="0.3">
      <c r="A199" s="13">
        <v>45543</v>
      </c>
      <c r="B199" s="7">
        <v>0.41666666666666669</v>
      </c>
      <c r="C199" s="6"/>
      <c r="D199" s="6"/>
      <c r="E199" s="6" t="s">
        <v>60</v>
      </c>
      <c r="F199" s="82">
        <v>20</v>
      </c>
      <c r="G199" s="6"/>
      <c r="H199" s="6">
        <v>0</v>
      </c>
      <c r="I199" s="6"/>
      <c r="J199" s="21"/>
      <c r="K199" s="21"/>
      <c r="L199" s="21"/>
      <c r="M199" s="21"/>
      <c r="N199" s="21"/>
      <c r="O199" s="21"/>
      <c r="P199" s="21"/>
      <c r="Q199" s="21"/>
      <c r="R199" s="21"/>
      <c r="S199" s="11">
        <f t="shared" si="3"/>
        <v>0</v>
      </c>
      <c r="T199" s="95">
        <f t="shared" si="7"/>
        <v>-162011</v>
      </c>
      <c r="U199" s="11">
        <f t="shared" si="11"/>
        <v>0</v>
      </c>
      <c r="V199" s="11">
        <f t="shared" si="12"/>
        <v>0</v>
      </c>
      <c r="W199" s="96">
        <f t="shared" si="10"/>
        <v>-162011</v>
      </c>
      <c r="X199" s="12">
        <f>V199/[1]Manure!$I$2</f>
        <v>0</v>
      </c>
      <c r="Y199" s="12">
        <f>W199/[1]Manure!$I$2</f>
        <v>-115541.58437264965</v>
      </c>
      <c r="Z199" s="12"/>
      <c r="AA199" s="12"/>
      <c r="AB199" s="11"/>
      <c r="AC199" s="11"/>
    </row>
    <row r="200" spans="1:29" ht="15.75" thickBot="1" x14ac:dyDescent="0.3">
      <c r="A200" s="13">
        <v>45544</v>
      </c>
      <c r="B200" s="7">
        <v>0.41666666666666669</v>
      </c>
      <c r="C200" s="6"/>
      <c r="D200" s="6"/>
      <c r="E200" s="6" t="s">
        <v>60</v>
      </c>
      <c r="F200" s="82">
        <v>20</v>
      </c>
      <c r="G200" s="6"/>
      <c r="H200" s="6">
        <v>0</v>
      </c>
      <c r="I200" s="6"/>
      <c r="J200" s="21"/>
      <c r="K200" s="21"/>
      <c r="L200" s="21"/>
      <c r="M200" s="21"/>
      <c r="N200" s="21"/>
      <c r="O200" s="21"/>
      <c r="P200" s="21"/>
      <c r="Q200" s="21"/>
      <c r="R200" s="21"/>
      <c r="S200" s="11">
        <f t="shared" si="3"/>
        <v>0</v>
      </c>
      <c r="T200" s="95">
        <f t="shared" si="7"/>
        <v>0</v>
      </c>
      <c r="U200" s="11">
        <f t="shared" si="11"/>
        <v>0</v>
      </c>
      <c r="V200" s="11">
        <f t="shared" si="12"/>
        <v>0</v>
      </c>
      <c r="W200" s="96">
        <f t="shared" si="10"/>
        <v>0</v>
      </c>
      <c r="X200" s="12">
        <f>V200/[1]Manure!$I$2</f>
        <v>0</v>
      </c>
      <c r="Y200" s="12">
        <f>W200/[1]Manure!$I$2</f>
        <v>0</v>
      </c>
      <c r="Z200" s="12"/>
      <c r="AA200" s="12"/>
      <c r="AB200" s="11"/>
      <c r="AC200" s="11"/>
    </row>
    <row r="201" spans="1:29" ht="15.75" thickBot="1" x14ac:dyDescent="0.3">
      <c r="A201" s="13">
        <v>45545</v>
      </c>
      <c r="B201" s="7">
        <v>0.41666666666666669</v>
      </c>
      <c r="C201" s="6"/>
      <c r="D201" s="6"/>
      <c r="E201" s="6" t="s">
        <v>60</v>
      </c>
      <c r="F201" s="82">
        <v>20</v>
      </c>
      <c r="G201" s="6"/>
      <c r="H201" s="6">
        <v>0</v>
      </c>
      <c r="I201" s="6"/>
      <c r="J201" s="21"/>
      <c r="K201" s="21"/>
      <c r="L201" s="21"/>
      <c r="M201" s="21"/>
      <c r="N201" s="21"/>
      <c r="O201" s="21"/>
      <c r="P201" s="21"/>
      <c r="Q201" s="21"/>
      <c r="R201" s="21"/>
      <c r="S201" s="11">
        <f t="shared" ref="S201" si="13">H201</f>
        <v>0</v>
      </c>
      <c r="T201" s="95">
        <f t="shared" si="7"/>
        <v>0</v>
      </c>
      <c r="U201" s="11"/>
      <c r="V201" s="11"/>
      <c r="W201" s="96">
        <f t="shared" si="10"/>
        <v>0</v>
      </c>
      <c r="X201" s="12"/>
      <c r="Y201" s="12"/>
      <c r="Z201" s="12"/>
      <c r="AA201" s="12"/>
      <c r="AB201" s="11"/>
      <c r="AC201" s="11"/>
    </row>
    <row r="202" spans="1:29" ht="15.75" thickBot="1" x14ac:dyDescent="0.3">
      <c r="A202" s="13">
        <v>45546</v>
      </c>
      <c r="B202" s="7">
        <v>0.41666666666666669</v>
      </c>
      <c r="C202" s="6"/>
      <c r="D202" s="6"/>
      <c r="E202" s="6" t="s">
        <v>60</v>
      </c>
      <c r="F202" s="82">
        <v>20</v>
      </c>
      <c r="G202" s="6"/>
      <c r="H202" s="6">
        <v>0</v>
      </c>
      <c r="I202" s="6"/>
      <c r="J202" s="21"/>
      <c r="K202" s="21"/>
      <c r="L202" s="21"/>
      <c r="M202" s="21"/>
      <c r="N202" s="21"/>
      <c r="O202" s="21"/>
      <c r="P202" s="21"/>
      <c r="Q202" s="21"/>
      <c r="R202" s="21"/>
      <c r="S202" s="11">
        <f t="shared" si="3"/>
        <v>0</v>
      </c>
      <c r="T202" s="95">
        <f t="shared" si="7"/>
        <v>0</v>
      </c>
      <c r="U202" s="11">
        <f t="shared" si="11"/>
        <v>0</v>
      </c>
      <c r="V202" s="11">
        <f t="shared" si="12"/>
        <v>0</v>
      </c>
      <c r="W202" s="96">
        <f t="shared" si="10"/>
        <v>0</v>
      </c>
      <c r="X202" s="12">
        <f>V202/[1]Manure!$I$2</f>
        <v>0</v>
      </c>
      <c r="Y202" s="12">
        <f>W202/[1]Manure!$I$2</f>
        <v>0</v>
      </c>
      <c r="Z202" s="12"/>
      <c r="AA202" s="12"/>
      <c r="AB202" s="11"/>
      <c r="AC202" s="11"/>
    </row>
    <row r="203" spans="1:29" ht="15.75" thickBot="1" x14ac:dyDescent="0.3">
      <c r="A203" s="13">
        <v>45547</v>
      </c>
      <c r="B203" s="7">
        <v>0.41666666666666669</v>
      </c>
      <c r="C203" s="6"/>
      <c r="D203" s="6"/>
      <c r="E203" s="6" t="s">
        <v>60</v>
      </c>
      <c r="F203" s="82">
        <v>20</v>
      </c>
      <c r="G203" s="6">
        <v>164872</v>
      </c>
      <c r="H203" s="6">
        <v>0</v>
      </c>
      <c r="I203" s="6">
        <v>20.100000000000001</v>
      </c>
      <c r="J203" s="21"/>
      <c r="K203" s="21"/>
      <c r="L203" s="21"/>
      <c r="M203" s="21"/>
      <c r="N203" s="21"/>
      <c r="O203" s="21"/>
      <c r="P203" s="21"/>
      <c r="Q203" s="21"/>
      <c r="R203" s="21"/>
      <c r="S203" s="11">
        <f t="shared" si="3"/>
        <v>0</v>
      </c>
      <c r="T203" s="95">
        <f t="shared" si="7"/>
        <v>164872</v>
      </c>
      <c r="U203" s="11">
        <f t="shared" si="11"/>
        <v>0</v>
      </c>
      <c r="V203" s="11">
        <f t="shared" si="12"/>
        <v>0</v>
      </c>
      <c r="W203" s="96">
        <f t="shared" si="10"/>
        <v>164872</v>
      </c>
      <c r="X203" s="12">
        <f>V203/[1]Manure!$I$2</f>
        <v>0</v>
      </c>
      <c r="Y203" s="12">
        <f>W203/[1]Manure!$I$2</f>
        <v>117581.96726572573</v>
      </c>
      <c r="Z203" s="12"/>
      <c r="AA203" s="12"/>
      <c r="AB203" s="11"/>
      <c r="AC203" s="11"/>
    </row>
    <row r="204" spans="1:29" ht="15.75" thickBot="1" x14ac:dyDescent="0.3">
      <c r="A204" s="13">
        <v>45548</v>
      </c>
      <c r="B204" s="7">
        <v>0.41666666666666669</v>
      </c>
      <c r="C204" s="6"/>
      <c r="D204" s="6"/>
      <c r="E204" s="6" t="s">
        <v>60</v>
      </c>
      <c r="F204" s="82">
        <v>20</v>
      </c>
      <c r="G204" s="6">
        <v>165341</v>
      </c>
      <c r="H204" s="6">
        <v>0</v>
      </c>
      <c r="I204" s="6">
        <v>20.8</v>
      </c>
      <c r="J204" s="21"/>
      <c r="K204" s="21"/>
      <c r="L204" s="21"/>
      <c r="M204" s="21"/>
      <c r="N204" s="21"/>
      <c r="O204" s="21"/>
      <c r="P204" s="21"/>
      <c r="Q204" s="21"/>
      <c r="R204" s="21"/>
      <c r="S204" s="11">
        <f t="shared" si="3"/>
        <v>0</v>
      </c>
      <c r="T204" s="95">
        <f t="shared" si="7"/>
        <v>469</v>
      </c>
      <c r="U204" s="11">
        <f t="shared" si="11"/>
        <v>0</v>
      </c>
      <c r="V204" s="11">
        <f t="shared" si="12"/>
        <v>0</v>
      </c>
      <c r="W204" s="96">
        <f t="shared" si="10"/>
        <v>469</v>
      </c>
      <c r="X204" s="12">
        <f>V204/[1]Manure!$I$2</f>
        <v>0</v>
      </c>
      <c r="Y204" s="12">
        <f>W204/[1]Manure!$I$2</f>
        <v>334.4773075332705</v>
      </c>
      <c r="Z204" s="12"/>
      <c r="AA204" s="12"/>
      <c r="AB204" s="11"/>
      <c r="AC204" s="11"/>
    </row>
    <row r="205" spans="1:29" ht="15.75" thickBot="1" x14ac:dyDescent="0.3">
      <c r="A205" s="13">
        <v>45549</v>
      </c>
      <c r="B205" s="7">
        <v>0.41666666666666669</v>
      </c>
      <c r="C205" s="6"/>
      <c r="D205" s="6"/>
      <c r="E205" s="6" t="s">
        <v>60</v>
      </c>
      <c r="F205" s="82">
        <v>20</v>
      </c>
      <c r="G205" s="6">
        <v>165991</v>
      </c>
      <c r="H205" s="6">
        <v>0</v>
      </c>
      <c r="I205" s="6">
        <v>22.1</v>
      </c>
      <c r="J205" s="21"/>
      <c r="K205" s="21"/>
      <c r="L205" s="21"/>
      <c r="M205" s="21"/>
      <c r="N205" s="21"/>
      <c r="O205" s="21"/>
      <c r="P205" s="21"/>
      <c r="Q205" s="21"/>
      <c r="R205" s="21"/>
      <c r="S205" s="11">
        <f t="shared" si="3"/>
        <v>0</v>
      </c>
      <c r="T205" s="95">
        <f t="shared" si="7"/>
        <v>650</v>
      </c>
      <c r="U205" s="11">
        <f t="shared" si="11"/>
        <v>0</v>
      </c>
      <c r="V205" s="11">
        <f t="shared" si="12"/>
        <v>0</v>
      </c>
      <c r="W205" s="96">
        <f t="shared" si="10"/>
        <v>650</v>
      </c>
      <c r="X205" s="12">
        <f>V205/[1]Manure!$I$2</f>
        <v>0</v>
      </c>
      <c r="Y205" s="12">
        <f>W205/[1]Manure!$I$2</f>
        <v>463.56130041924479</v>
      </c>
      <c r="Z205" s="12"/>
      <c r="AA205" s="12"/>
      <c r="AB205" s="11"/>
      <c r="AC205" s="11"/>
    </row>
    <row r="206" spans="1:29" ht="15.75" thickBot="1" x14ac:dyDescent="0.3">
      <c r="A206" s="13">
        <v>45551</v>
      </c>
      <c r="B206" s="7">
        <v>0.41666666666666669</v>
      </c>
      <c r="C206" s="6"/>
      <c r="D206" s="6"/>
      <c r="E206" s="6" t="s">
        <v>60</v>
      </c>
      <c r="F206" s="82">
        <v>20</v>
      </c>
      <c r="G206" s="6">
        <v>166935</v>
      </c>
      <c r="H206" s="6">
        <v>0</v>
      </c>
      <c r="I206" s="6">
        <v>23.1</v>
      </c>
      <c r="J206" s="21"/>
      <c r="K206" s="21"/>
      <c r="L206" s="21"/>
      <c r="M206" s="21"/>
      <c r="N206" s="21"/>
      <c r="O206" s="21"/>
      <c r="P206" s="21"/>
      <c r="Q206" s="21"/>
      <c r="R206" s="21"/>
      <c r="S206" s="11">
        <f t="shared" si="3"/>
        <v>0</v>
      </c>
      <c r="T206" s="95">
        <f t="shared" si="7"/>
        <v>944</v>
      </c>
      <c r="U206" s="11">
        <f t="shared" si="11"/>
        <v>0</v>
      </c>
      <c r="V206" s="11">
        <f t="shared" si="12"/>
        <v>0</v>
      </c>
      <c r="W206" s="96">
        <f t="shared" si="10"/>
        <v>944</v>
      </c>
      <c r="X206" s="12">
        <f>V206/[1]Manure!$I$2</f>
        <v>0</v>
      </c>
      <c r="Y206" s="12">
        <f>W206/[1]Manure!$I$2</f>
        <v>673.23364245502626</v>
      </c>
      <c r="Z206" s="12"/>
      <c r="AA206" s="12"/>
      <c r="AB206" s="11"/>
      <c r="AC206" s="11"/>
    </row>
    <row r="207" spans="1:29" ht="15.75" thickBot="1" x14ac:dyDescent="0.3">
      <c r="A207" s="13">
        <v>45552</v>
      </c>
      <c r="B207" s="7">
        <v>0.41666666666666669</v>
      </c>
      <c r="C207" s="6"/>
      <c r="D207" s="6"/>
      <c r="E207" s="6" t="s">
        <v>60</v>
      </c>
      <c r="F207" s="82">
        <v>20</v>
      </c>
      <c r="G207" s="6">
        <v>167892</v>
      </c>
      <c r="H207" s="6">
        <v>28.3</v>
      </c>
      <c r="I207" s="6">
        <v>20.8</v>
      </c>
      <c r="J207" s="21"/>
      <c r="K207" s="21"/>
      <c r="L207" s="21"/>
      <c r="M207" s="21"/>
      <c r="N207" s="21"/>
      <c r="O207" s="21"/>
      <c r="P207" s="21"/>
      <c r="Q207" s="21"/>
      <c r="R207" s="21"/>
      <c r="S207" s="11">
        <f t="shared" si="3"/>
        <v>28.3</v>
      </c>
      <c r="T207" s="95">
        <f t="shared" si="7"/>
        <v>957</v>
      </c>
      <c r="U207" s="11">
        <f t="shared" si="11"/>
        <v>0</v>
      </c>
      <c r="V207" s="11">
        <f t="shared" si="12"/>
        <v>0</v>
      </c>
      <c r="W207" s="96">
        <f t="shared" si="10"/>
        <v>867.11251244606706</v>
      </c>
      <c r="X207" s="12">
        <f>V207/[1]Manure!$I$2</f>
        <v>0</v>
      </c>
      <c r="Y207" s="12">
        <f>W207/[1]Manure!$I$2</f>
        <v>618.39969827584218</v>
      </c>
      <c r="Z207" s="12"/>
      <c r="AA207" s="12"/>
      <c r="AB207" s="11" t="s">
        <v>88</v>
      </c>
      <c r="AC207" s="11"/>
    </row>
    <row r="208" spans="1:29" ht="15.75" thickBot="1" x14ac:dyDescent="0.3">
      <c r="A208" s="13">
        <v>45553</v>
      </c>
      <c r="B208" s="7">
        <v>0.41666666666666669</v>
      </c>
      <c r="C208" s="6"/>
      <c r="D208" s="6"/>
      <c r="E208" s="6" t="s">
        <v>60</v>
      </c>
      <c r="F208" s="82">
        <v>20</v>
      </c>
      <c r="G208" s="6">
        <v>168332</v>
      </c>
      <c r="H208" s="6">
        <v>28.9</v>
      </c>
      <c r="I208" s="6">
        <v>20.6</v>
      </c>
      <c r="J208" s="21"/>
      <c r="K208" s="21"/>
      <c r="L208" s="21"/>
      <c r="M208" s="21"/>
      <c r="N208" s="21"/>
      <c r="O208" s="21"/>
      <c r="P208" s="21"/>
      <c r="Q208" s="21"/>
      <c r="R208" s="21"/>
      <c r="S208" s="11">
        <f t="shared" si="3"/>
        <v>28.9</v>
      </c>
      <c r="T208" s="95">
        <f t="shared" si="7"/>
        <v>440</v>
      </c>
      <c r="U208" s="11">
        <f t="shared" si="11"/>
        <v>0</v>
      </c>
      <c r="V208" s="11">
        <f t="shared" si="12"/>
        <v>0</v>
      </c>
      <c r="W208" s="96">
        <f t="shared" si="10"/>
        <v>397.88009274594242</v>
      </c>
      <c r="X208" s="12">
        <f>V208/[1]Manure!$I$2</f>
        <v>0</v>
      </c>
      <c r="Y208" s="12">
        <f>W208/[1]Manure!$I$2</f>
        <v>283.75663569882892</v>
      </c>
      <c r="Z208" s="12"/>
      <c r="AA208" s="12"/>
      <c r="AB208" s="11" t="s">
        <v>88</v>
      </c>
      <c r="AC208" s="11"/>
    </row>
    <row r="209" spans="1:29" ht="15.75" thickBot="1" x14ac:dyDescent="0.3">
      <c r="A209" s="13">
        <v>45554</v>
      </c>
      <c r="B209" s="7">
        <v>0.41666666666666669</v>
      </c>
      <c r="C209" s="6"/>
      <c r="D209" s="6"/>
      <c r="E209" s="6" t="s">
        <v>60</v>
      </c>
      <c r="F209" s="82">
        <v>20</v>
      </c>
      <c r="G209" s="6">
        <v>168634</v>
      </c>
      <c r="H209" s="6">
        <v>28.9</v>
      </c>
      <c r="I209" s="6">
        <v>20.399999999999999</v>
      </c>
      <c r="J209" s="21"/>
      <c r="K209" s="21"/>
      <c r="L209" s="21"/>
      <c r="M209" s="21"/>
      <c r="N209" s="21"/>
      <c r="O209" s="21"/>
      <c r="P209" s="21"/>
      <c r="Q209" s="21"/>
      <c r="R209" s="21"/>
      <c r="S209" s="11">
        <f t="shared" si="3"/>
        <v>28.9</v>
      </c>
      <c r="T209" s="95">
        <f t="shared" si="7"/>
        <v>302</v>
      </c>
      <c r="U209" s="11">
        <f t="shared" si="11"/>
        <v>0</v>
      </c>
      <c r="V209" s="11">
        <f t="shared" si="12"/>
        <v>0</v>
      </c>
      <c r="W209" s="96">
        <f t="shared" si="10"/>
        <v>273.09042729380593</v>
      </c>
      <c r="X209" s="12">
        <f>V209/[1]Manure!$I$2</f>
        <v>0</v>
      </c>
      <c r="Y209" s="12">
        <f>W209/[1]Manure!$I$2</f>
        <v>194.76023632055984</v>
      </c>
      <c r="Z209" s="12"/>
      <c r="AA209" s="12"/>
      <c r="AB209" s="11" t="s">
        <v>88</v>
      </c>
      <c r="AC209" s="11"/>
    </row>
    <row r="210" spans="1:29" ht="15.75" thickBot="1" x14ac:dyDescent="0.3">
      <c r="A210" s="13">
        <v>45555</v>
      </c>
      <c r="B210" s="7">
        <v>0.41666666666666669</v>
      </c>
      <c r="C210" s="6"/>
      <c r="D210" s="6"/>
      <c r="E210" s="6" t="s">
        <v>60</v>
      </c>
      <c r="F210" s="82">
        <v>20</v>
      </c>
      <c r="G210" s="6">
        <v>168674</v>
      </c>
      <c r="H210" s="6">
        <v>19.2</v>
      </c>
      <c r="I210" s="6">
        <v>24.1</v>
      </c>
      <c r="J210" s="21"/>
      <c r="K210" s="21"/>
      <c r="L210" s="21"/>
      <c r="M210" s="21"/>
      <c r="N210" s="21"/>
      <c r="O210" s="21"/>
      <c r="P210" s="21"/>
      <c r="Q210" s="21"/>
      <c r="R210" s="21"/>
      <c r="S210" s="11">
        <f t="shared" si="3"/>
        <v>19.2</v>
      </c>
      <c r="T210" s="95">
        <f t="shared" si="7"/>
        <v>40</v>
      </c>
      <c r="U210" s="11">
        <f t="shared" si="11"/>
        <v>0</v>
      </c>
      <c r="V210" s="11">
        <f t="shared" si="12"/>
        <v>0</v>
      </c>
      <c r="W210" s="96">
        <f t="shared" si="10"/>
        <v>37.371663244353186</v>
      </c>
      <c r="X210" s="12">
        <f>V210/[1]Manure!$I$2</f>
        <v>0</v>
      </c>
      <c r="Y210" s="12">
        <f>W210/[1]Manure!$I$2</f>
        <v>26.652395095973009</v>
      </c>
      <c r="Z210" s="12"/>
      <c r="AA210" s="12"/>
      <c r="AB210" s="11" t="s">
        <v>88</v>
      </c>
      <c r="AC210" s="11"/>
    </row>
    <row r="211" spans="1:29" ht="15.75" thickBot="1" x14ac:dyDescent="0.3">
      <c r="A211" s="13">
        <v>45556</v>
      </c>
      <c r="B211" s="7">
        <v>0.41666666666666669</v>
      </c>
      <c r="C211" s="6"/>
      <c r="D211" s="6"/>
      <c r="E211" s="6" t="s">
        <v>60</v>
      </c>
      <c r="F211" s="82">
        <v>20</v>
      </c>
      <c r="G211" s="6">
        <v>169886</v>
      </c>
      <c r="H211" s="6">
        <v>25</v>
      </c>
      <c r="I211" s="6">
        <v>20.9</v>
      </c>
      <c r="J211" s="21"/>
      <c r="K211" s="21"/>
      <c r="L211" s="21"/>
      <c r="M211" s="21"/>
      <c r="N211" s="21"/>
      <c r="O211" s="21"/>
      <c r="P211" s="21"/>
      <c r="Q211" s="21"/>
      <c r="R211" s="21"/>
      <c r="S211" s="21">
        <f t="shared" si="3"/>
        <v>25</v>
      </c>
      <c r="T211" s="95">
        <f t="shared" ref="T211:T274" si="14">G211-G210</f>
        <v>1212</v>
      </c>
      <c r="U211" s="11">
        <f t="shared" si="11"/>
        <v>0</v>
      </c>
      <c r="V211" s="11">
        <f t="shared" si="12"/>
        <v>0</v>
      </c>
      <c r="W211" s="96">
        <f t="shared" si="10"/>
        <v>1110.3221476510066</v>
      </c>
      <c r="X211" s="12">
        <f>V211/[1]Manure!$I$2</f>
        <v>0</v>
      </c>
      <c r="Y211" s="12">
        <f>W211/[1]Manure!$I$2</f>
        <v>791.84981330675282</v>
      </c>
      <c r="Z211" s="12"/>
      <c r="AA211" s="12"/>
      <c r="AB211" s="11" t="s">
        <v>89</v>
      </c>
      <c r="AC211" s="11"/>
    </row>
    <row r="212" spans="1:29" ht="15.75" thickBot="1" x14ac:dyDescent="0.3">
      <c r="A212" s="13">
        <v>45558</v>
      </c>
      <c r="B212" s="7">
        <v>0.41666666666666669</v>
      </c>
      <c r="C212" s="6"/>
      <c r="D212" s="6"/>
      <c r="E212" s="6" t="s">
        <v>60</v>
      </c>
      <c r="F212" s="82">
        <v>20</v>
      </c>
      <c r="G212" s="6">
        <v>171665</v>
      </c>
      <c r="H212" s="6">
        <v>24.8</v>
      </c>
      <c r="I212" s="6">
        <v>21</v>
      </c>
      <c r="J212" s="21"/>
      <c r="K212" s="21"/>
      <c r="L212" s="21"/>
      <c r="M212" s="21"/>
      <c r="N212" s="21"/>
      <c r="O212" s="21"/>
      <c r="P212" s="21"/>
      <c r="Q212" s="21"/>
      <c r="R212" s="21"/>
      <c r="S212" s="21">
        <f t="shared" si="3"/>
        <v>24.8</v>
      </c>
      <c r="T212" s="95">
        <f t="shared" si="14"/>
        <v>1779</v>
      </c>
      <c r="U212" s="11">
        <f t="shared" si="11"/>
        <v>0</v>
      </c>
      <c r="V212" s="11">
        <f t="shared" si="12"/>
        <v>0</v>
      </c>
      <c r="W212" s="96">
        <f t="shared" si="10"/>
        <v>1630.849563465413</v>
      </c>
      <c r="X212" s="12">
        <f>V212/[1]Manure!$I$2</f>
        <v>0</v>
      </c>
      <c r="Y212" s="12">
        <f>W212/[1]Manure!$I$2</f>
        <v>1163.0749914279763</v>
      </c>
      <c r="Z212" s="12"/>
      <c r="AA212" s="12"/>
      <c r="AB212" s="11" t="s">
        <v>89</v>
      </c>
      <c r="AC212" s="11"/>
    </row>
    <row r="213" spans="1:29" ht="15.75" thickBot="1" x14ac:dyDescent="0.3">
      <c r="A213" s="13">
        <v>45559</v>
      </c>
      <c r="B213" s="7">
        <v>0.41666666666666669</v>
      </c>
      <c r="C213" s="6"/>
      <c r="D213" s="6"/>
      <c r="E213" s="6" t="s">
        <v>60</v>
      </c>
      <c r="F213" s="82">
        <v>20</v>
      </c>
      <c r="G213" s="6">
        <v>171761</v>
      </c>
      <c r="H213" s="6">
        <v>27</v>
      </c>
      <c r="I213" s="6">
        <v>21.8</v>
      </c>
      <c r="J213" s="21"/>
      <c r="K213" s="21"/>
      <c r="L213" s="21"/>
      <c r="M213" s="21"/>
      <c r="N213" s="21"/>
      <c r="O213" s="21"/>
      <c r="P213" s="21"/>
      <c r="Q213" s="21"/>
      <c r="R213" s="21"/>
      <c r="S213" s="21">
        <f t="shared" si="3"/>
        <v>27</v>
      </c>
      <c r="T213" s="95">
        <f t="shared" si="14"/>
        <v>96</v>
      </c>
      <c r="U213" s="11">
        <f t="shared" si="11"/>
        <v>0</v>
      </c>
      <c r="V213" s="11">
        <f t="shared" si="12"/>
        <v>0</v>
      </c>
      <c r="W213" s="96">
        <f t="shared" si="10"/>
        <v>87.36</v>
      </c>
      <c r="X213" s="12">
        <f>V213/[1]Manure!$I$2</f>
        <v>0</v>
      </c>
      <c r="Y213" s="12">
        <f>W213/[1]Manure!$I$2</f>
        <v>62.302638776346505</v>
      </c>
      <c r="Z213" s="12"/>
      <c r="AA213" s="12"/>
      <c r="AB213" s="11" t="s">
        <v>88</v>
      </c>
      <c r="AC213" s="11"/>
    </row>
    <row r="214" spans="1:29" ht="15.75" thickBot="1" x14ac:dyDescent="0.3">
      <c r="A214" s="13">
        <v>45560</v>
      </c>
      <c r="B214" s="33">
        <v>0.41666666666666669</v>
      </c>
      <c r="C214" s="6"/>
      <c r="D214" s="6"/>
      <c r="E214" s="6" t="s">
        <v>60</v>
      </c>
      <c r="F214" s="82">
        <v>20</v>
      </c>
      <c r="G214" s="6">
        <v>172126</v>
      </c>
      <c r="H214" s="6">
        <v>23.7</v>
      </c>
      <c r="I214" s="6">
        <v>20.399999999999999</v>
      </c>
      <c r="J214" s="21"/>
      <c r="K214" s="21"/>
      <c r="L214" s="21"/>
      <c r="M214" s="21"/>
      <c r="N214" s="21"/>
      <c r="O214" s="21"/>
      <c r="P214" s="21"/>
      <c r="Q214" s="21"/>
      <c r="R214" s="21"/>
      <c r="S214" s="21">
        <f t="shared" si="3"/>
        <v>23.7</v>
      </c>
      <c r="T214" s="95">
        <f t="shared" si="14"/>
        <v>365</v>
      </c>
      <c r="U214" s="11">
        <f t="shared" si="11"/>
        <v>0</v>
      </c>
      <c r="V214" s="11">
        <f t="shared" si="12"/>
        <v>0</v>
      </c>
      <c r="W214" s="96">
        <f t="shared" si="10"/>
        <v>335.84428715874623</v>
      </c>
      <c r="X214" s="12">
        <f>V214/[1]Manure!$I$2</f>
        <v>0</v>
      </c>
      <c r="Y214" s="12">
        <f>W214/[1]Manure!$I$2</f>
        <v>239.51448383643489</v>
      </c>
      <c r="Z214" s="12"/>
      <c r="AA214" s="12"/>
      <c r="AB214" s="11" t="s">
        <v>88</v>
      </c>
      <c r="AC214" s="11"/>
    </row>
    <row r="215" spans="1:29" ht="15.75" thickBot="1" x14ac:dyDescent="0.3">
      <c r="A215" s="13">
        <v>45561</v>
      </c>
      <c r="B215" s="33">
        <v>0.41666666666666669</v>
      </c>
      <c r="C215" s="6"/>
      <c r="D215" s="6"/>
      <c r="E215" s="6" t="s">
        <v>60</v>
      </c>
      <c r="F215" s="82">
        <v>20</v>
      </c>
      <c r="G215" s="6">
        <v>172468</v>
      </c>
      <c r="H215" s="6">
        <v>23.4</v>
      </c>
      <c r="I215" s="6">
        <v>20.8</v>
      </c>
      <c r="J215" s="21"/>
      <c r="K215" s="21"/>
      <c r="L215" s="21"/>
      <c r="M215" s="21"/>
      <c r="N215" s="21"/>
      <c r="O215" s="21"/>
      <c r="P215" s="21"/>
      <c r="Q215" s="21"/>
      <c r="R215" s="21"/>
      <c r="S215" s="21">
        <f t="shared" si="3"/>
        <v>23.4</v>
      </c>
      <c r="T215" s="95">
        <f t="shared" si="14"/>
        <v>342</v>
      </c>
      <c r="U215" s="11">
        <f t="shared" si="11"/>
        <v>0</v>
      </c>
      <c r="V215" s="11">
        <f t="shared" si="12"/>
        <v>0</v>
      </c>
      <c r="W215" s="96">
        <f t="shared" si="10"/>
        <v>315.00000000000006</v>
      </c>
      <c r="X215" s="12">
        <f>V215/[1]Manure!$I$2</f>
        <v>0</v>
      </c>
      <c r="Y215" s="12">
        <f>W215/[1]Manure!$I$2</f>
        <v>224.64893789548023</v>
      </c>
      <c r="Z215" s="12"/>
      <c r="AA215" s="12"/>
      <c r="AB215" s="11" t="s">
        <v>88</v>
      </c>
      <c r="AC215" s="11"/>
    </row>
    <row r="216" spans="1:29" ht="15.75" thickBot="1" x14ac:dyDescent="0.3">
      <c r="A216" s="13">
        <v>45562</v>
      </c>
      <c r="B216" s="33">
        <v>0.41666666666666669</v>
      </c>
      <c r="C216" s="6"/>
      <c r="D216" s="6"/>
      <c r="E216" s="6" t="s">
        <v>60</v>
      </c>
      <c r="F216" s="82">
        <v>20</v>
      </c>
      <c r="G216" s="6">
        <v>173062</v>
      </c>
      <c r="H216" s="6">
        <v>21.4</v>
      </c>
      <c r="I216" s="6">
        <v>20.399999999999999</v>
      </c>
      <c r="J216" s="21"/>
      <c r="K216" s="21"/>
      <c r="L216" s="21"/>
      <c r="M216" s="21"/>
      <c r="N216" s="21"/>
      <c r="O216" s="21"/>
      <c r="P216" s="21"/>
      <c r="Q216" s="21"/>
      <c r="R216" s="21"/>
      <c r="S216" s="21">
        <f t="shared" si="3"/>
        <v>21.4</v>
      </c>
      <c r="T216" s="95">
        <f t="shared" si="14"/>
        <v>594</v>
      </c>
      <c r="U216" s="11">
        <f t="shared" si="11"/>
        <v>0</v>
      </c>
      <c r="V216" s="11">
        <f t="shared" si="12"/>
        <v>0</v>
      </c>
      <c r="W216" s="96">
        <f t="shared" ref="W216:W279" si="15">T216*(273/(273+S216))</f>
        <v>550.82201086956525</v>
      </c>
      <c r="X216" s="12">
        <f>V216/[1]Manure!$I$2</f>
        <v>0</v>
      </c>
      <c r="Y216" s="12">
        <f>W216/[1]Manure!$I$2</f>
        <v>392.83041178190626</v>
      </c>
      <c r="Z216" s="12"/>
      <c r="AA216" s="12"/>
      <c r="AB216" s="11" t="s">
        <v>88</v>
      </c>
      <c r="AC216" s="11"/>
    </row>
    <row r="217" spans="1:29" ht="15.75" thickBot="1" x14ac:dyDescent="0.3">
      <c r="A217" s="13">
        <v>45563</v>
      </c>
      <c r="B217" s="33">
        <v>0.41666666666666669</v>
      </c>
      <c r="C217" s="6"/>
      <c r="D217" s="6"/>
      <c r="E217" s="6" t="s">
        <v>60</v>
      </c>
      <c r="F217" s="82">
        <v>20</v>
      </c>
      <c r="G217" s="6">
        <v>173369</v>
      </c>
      <c r="H217" s="6">
        <v>19.5</v>
      </c>
      <c r="I217" s="6">
        <v>21</v>
      </c>
      <c r="J217" s="21"/>
      <c r="K217" s="21"/>
      <c r="L217" s="21"/>
      <c r="M217" s="21"/>
      <c r="N217" s="21"/>
      <c r="O217" s="21"/>
      <c r="P217" s="21"/>
      <c r="Q217" s="21"/>
      <c r="R217" s="21"/>
      <c r="S217" s="21">
        <f t="shared" si="3"/>
        <v>19.5</v>
      </c>
      <c r="T217" s="95">
        <f t="shared" si="14"/>
        <v>307</v>
      </c>
      <c r="U217" s="11">
        <f t="shared" si="11"/>
        <v>0</v>
      </c>
      <c r="V217" s="11">
        <f t="shared" si="12"/>
        <v>0</v>
      </c>
      <c r="W217" s="96">
        <f t="shared" si="15"/>
        <v>286.53333333333336</v>
      </c>
      <c r="X217" s="12">
        <f>V217/[1]Manure!$I$2</f>
        <v>0</v>
      </c>
      <c r="Y217" s="12">
        <f>W217/[1]Manure!$I$2</f>
        <v>204.34733017455531</v>
      </c>
      <c r="Z217" s="12"/>
      <c r="AA217" s="12"/>
      <c r="AB217" s="11" t="s">
        <v>88</v>
      </c>
      <c r="AC217" s="11"/>
    </row>
    <row r="218" spans="1:29" ht="15.75" thickBot="1" x14ac:dyDescent="0.3">
      <c r="A218" s="13">
        <v>45565</v>
      </c>
      <c r="B218" s="7">
        <v>0.41666666666666669</v>
      </c>
      <c r="C218" s="6"/>
      <c r="D218" s="6"/>
      <c r="E218" s="6" t="s">
        <v>60</v>
      </c>
      <c r="F218" s="82">
        <v>20</v>
      </c>
      <c r="G218" s="6">
        <v>174382</v>
      </c>
      <c r="H218" s="6">
        <v>25.1</v>
      </c>
      <c r="I218" s="6">
        <v>20.9</v>
      </c>
      <c r="J218" s="21"/>
      <c r="K218" s="21"/>
      <c r="L218" s="21"/>
      <c r="M218" s="21"/>
      <c r="N218" s="21"/>
      <c r="O218" s="21"/>
      <c r="P218" s="21"/>
      <c r="Q218" s="21"/>
      <c r="R218" s="21"/>
      <c r="S218" s="21">
        <f t="shared" si="3"/>
        <v>25.1</v>
      </c>
      <c r="T218" s="95">
        <f t="shared" si="14"/>
        <v>1013</v>
      </c>
      <c r="U218" s="11">
        <f t="shared" si="11"/>
        <v>0</v>
      </c>
      <c r="V218" s="11">
        <f t="shared" si="12"/>
        <v>0</v>
      </c>
      <c r="W218" s="96">
        <f t="shared" si="15"/>
        <v>927.70546796377039</v>
      </c>
      <c r="X218" s="12">
        <f>V218/[1]Manure!$I$2</f>
        <v>0</v>
      </c>
      <c r="Y218" s="12">
        <f>W218/[1]Manure!$I$2</f>
        <v>661.61285097742996</v>
      </c>
      <c r="Z218" s="12"/>
      <c r="AA218" s="12"/>
      <c r="AB218" s="11" t="s">
        <v>88</v>
      </c>
      <c r="AC218" s="11"/>
    </row>
    <row r="219" spans="1:29" ht="15.75" thickBot="1" x14ac:dyDescent="0.3">
      <c r="A219" s="13">
        <v>45566</v>
      </c>
      <c r="B219" s="7">
        <v>0.41666666666666669</v>
      </c>
      <c r="C219" s="6"/>
      <c r="D219" s="6"/>
      <c r="E219" s="6" t="s">
        <v>60</v>
      </c>
      <c r="F219" s="82">
        <v>20</v>
      </c>
      <c r="G219" s="6">
        <v>174751</v>
      </c>
      <c r="H219" s="6">
        <v>25.1</v>
      </c>
      <c r="I219" s="6">
        <v>21</v>
      </c>
      <c r="J219" s="21"/>
      <c r="K219" s="21"/>
      <c r="L219" s="21"/>
      <c r="M219" s="21"/>
      <c r="N219" s="21"/>
      <c r="O219" s="21"/>
      <c r="P219" s="21"/>
      <c r="Q219" s="21"/>
      <c r="R219" s="21"/>
      <c r="S219" s="21">
        <f t="shared" si="3"/>
        <v>25.1</v>
      </c>
      <c r="T219" s="95">
        <f t="shared" si="14"/>
        <v>369</v>
      </c>
      <c r="U219" s="11">
        <f t="shared" si="11"/>
        <v>0</v>
      </c>
      <c r="V219" s="11">
        <f t="shared" si="12"/>
        <v>0</v>
      </c>
      <c r="W219" s="96">
        <f t="shared" si="15"/>
        <v>337.930224756793</v>
      </c>
      <c r="X219" s="12">
        <f>V219/[1]Manure!$I$2</f>
        <v>0</v>
      </c>
      <c r="Y219" s="12">
        <f>W219/[1]Manure!$I$2</f>
        <v>241.00211452188714</v>
      </c>
      <c r="Z219" s="12"/>
      <c r="AA219" s="12"/>
      <c r="AB219" s="11" t="s">
        <v>88</v>
      </c>
      <c r="AC219" s="11"/>
    </row>
    <row r="220" spans="1:29" ht="15.75" thickBot="1" x14ac:dyDescent="0.3">
      <c r="A220" s="13">
        <v>45567</v>
      </c>
      <c r="B220" s="7">
        <v>0.41666666666666669</v>
      </c>
      <c r="C220" s="6"/>
      <c r="D220" s="6"/>
      <c r="E220" s="6" t="s">
        <v>60</v>
      </c>
      <c r="F220" s="82">
        <v>20</v>
      </c>
      <c r="G220" s="6">
        <v>175234</v>
      </c>
      <c r="H220" s="6">
        <v>28.5</v>
      </c>
      <c r="I220" s="6">
        <v>20.8</v>
      </c>
      <c r="J220" s="21"/>
      <c r="K220" s="21"/>
      <c r="L220" s="21"/>
      <c r="M220" s="21"/>
      <c r="N220" s="21"/>
      <c r="O220" s="21"/>
      <c r="P220" s="21"/>
      <c r="Q220" s="21"/>
      <c r="R220" s="21"/>
      <c r="S220" s="21">
        <f t="shared" si="3"/>
        <v>28.5</v>
      </c>
      <c r="T220" s="95">
        <f t="shared" si="14"/>
        <v>483</v>
      </c>
      <c r="U220" s="11">
        <f t="shared" si="11"/>
        <v>0</v>
      </c>
      <c r="V220" s="11">
        <f t="shared" si="12"/>
        <v>0</v>
      </c>
      <c r="W220" s="96">
        <f t="shared" si="15"/>
        <v>437.34328358208955</v>
      </c>
      <c r="X220" s="12">
        <f>V220/[1]Manure!$I$2</f>
        <v>0</v>
      </c>
      <c r="Y220" s="12">
        <f>W220/[1]Manure!$I$2</f>
        <v>311.90064810297844</v>
      </c>
      <c r="Z220" s="12"/>
      <c r="AA220" s="12"/>
      <c r="AB220" s="11" t="s">
        <v>88</v>
      </c>
      <c r="AC220" s="11"/>
    </row>
    <row r="221" spans="1:29" ht="27" thickBot="1" x14ac:dyDescent="0.3">
      <c r="A221" s="13">
        <v>45568</v>
      </c>
      <c r="B221" s="7">
        <v>0.41666666666666669</v>
      </c>
      <c r="C221" s="6"/>
      <c r="D221" s="6"/>
      <c r="E221" s="6" t="s">
        <v>60</v>
      </c>
      <c r="F221" s="82">
        <v>20</v>
      </c>
      <c r="G221" s="6">
        <v>157525</v>
      </c>
      <c r="H221" s="6">
        <v>26.5</v>
      </c>
      <c r="I221" s="6">
        <v>22.9</v>
      </c>
      <c r="J221" s="21"/>
      <c r="K221" s="21"/>
      <c r="L221" s="21"/>
      <c r="M221" s="21"/>
      <c r="N221" s="21"/>
      <c r="O221" s="21"/>
      <c r="P221" s="21"/>
      <c r="Q221" s="21"/>
      <c r="R221" s="21"/>
      <c r="S221" s="21">
        <f t="shared" si="3"/>
        <v>26.5</v>
      </c>
      <c r="T221" s="95">
        <f t="shared" si="14"/>
        <v>-17709</v>
      </c>
      <c r="U221" s="11">
        <f t="shared" si="11"/>
        <v>0</v>
      </c>
      <c r="V221" s="11">
        <f t="shared" si="12"/>
        <v>0</v>
      </c>
      <c r="W221" s="96">
        <f t="shared" si="15"/>
        <v>-16142.093489148581</v>
      </c>
      <c r="X221" s="12">
        <f>V221/[1]Manure!$I$2</f>
        <v>0</v>
      </c>
      <c r="Y221" s="12">
        <f>W221/[1]Manure!$I$2</f>
        <v>-11512.076691259601</v>
      </c>
      <c r="Z221" s="12"/>
      <c r="AA221" s="12"/>
      <c r="AB221" s="11" t="s">
        <v>90</v>
      </c>
      <c r="AC221" s="11"/>
    </row>
    <row r="222" spans="1:29" ht="15.75" thickBot="1" x14ac:dyDescent="0.3">
      <c r="A222" s="13">
        <v>45569</v>
      </c>
      <c r="B222" s="7">
        <v>0.41666666666666669</v>
      </c>
      <c r="C222" s="6"/>
      <c r="D222" s="6"/>
      <c r="E222" s="6" t="s">
        <v>60</v>
      </c>
      <c r="F222" s="82">
        <v>20</v>
      </c>
      <c r="G222" s="6">
        <v>176005</v>
      </c>
      <c r="H222" s="6">
        <v>26.9</v>
      </c>
      <c r="I222" s="6">
        <v>21</v>
      </c>
      <c r="J222" s="21"/>
      <c r="K222" s="21"/>
      <c r="L222" s="21"/>
      <c r="M222" s="21"/>
      <c r="N222" s="21"/>
      <c r="O222" s="21"/>
      <c r="P222" s="21"/>
      <c r="Q222" s="21"/>
      <c r="R222" s="21"/>
      <c r="S222" s="21">
        <f t="shared" si="3"/>
        <v>26.9</v>
      </c>
      <c r="T222" s="95">
        <f t="shared" si="14"/>
        <v>18480</v>
      </c>
      <c r="U222" s="11">
        <f t="shared" si="11"/>
        <v>0</v>
      </c>
      <c r="V222" s="11">
        <f t="shared" si="12"/>
        <v>0</v>
      </c>
      <c r="W222" s="96">
        <f t="shared" si="15"/>
        <v>16822.407469156387</v>
      </c>
      <c r="X222" s="12">
        <f>V222/[1]Manure!$I$2</f>
        <v>0</v>
      </c>
      <c r="Y222" s="12">
        <f>W222/[1]Manure!$I$2</f>
        <v>11997.25705013008</v>
      </c>
      <c r="Z222" s="12"/>
      <c r="AA222" s="12"/>
      <c r="AB222" s="11"/>
      <c r="AC222" s="11"/>
    </row>
    <row r="223" spans="1:29" ht="15.75" thickBot="1" x14ac:dyDescent="0.3">
      <c r="A223" s="13">
        <v>45570</v>
      </c>
      <c r="B223" s="7">
        <v>0.41666666666666669</v>
      </c>
      <c r="C223" s="6"/>
      <c r="D223" s="6"/>
      <c r="E223" s="6" t="s">
        <v>60</v>
      </c>
      <c r="F223" s="82">
        <v>20</v>
      </c>
      <c r="G223" s="6">
        <v>176445</v>
      </c>
      <c r="H223" s="6">
        <v>28.2</v>
      </c>
      <c r="I223" s="6">
        <v>21.4</v>
      </c>
      <c r="J223" s="21"/>
      <c r="K223" s="21"/>
      <c r="L223" s="21"/>
      <c r="M223" s="21"/>
      <c r="N223" s="21"/>
      <c r="O223" s="21"/>
      <c r="P223" s="21"/>
      <c r="Q223" s="21"/>
      <c r="R223" s="21"/>
      <c r="S223" s="21">
        <f t="shared" si="3"/>
        <v>28.2</v>
      </c>
      <c r="T223" s="95">
        <f t="shared" si="14"/>
        <v>440</v>
      </c>
      <c r="U223" s="11">
        <f t="shared" si="11"/>
        <v>0</v>
      </c>
      <c r="V223" s="11">
        <f t="shared" si="12"/>
        <v>0</v>
      </c>
      <c r="W223" s="96">
        <f t="shared" si="15"/>
        <v>398.80478087649408</v>
      </c>
      <c r="X223" s="12">
        <f>V223/[1]Manure!$I$2</f>
        <v>0</v>
      </c>
      <c r="Y223" s="12">
        <f>W223/[1]Manure!$I$2</f>
        <v>284.41609667156854</v>
      </c>
      <c r="Z223" s="12"/>
      <c r="AA223" s="12"/>
      <c r="AB223" s="11"/>
      <c r="AC223" s="11"/>
    </row>
    <row r="224" spans="1:29" ht="15.75" thickBot="1" x14ac:dyDescent="0.3">
      <c r="A224" s="13">
        <v>45572</v>
      </c>
      <c r="B224" s="7">
        <v>0.41666666666666669</v>
      </c>
      <c r="C224" s="6"/>
      <c r="D224" s="6"/>
      <c r="E224" s="6" t="s">
        <v>60</v>
      </c>
      <c r="F224" s="82">
        <v>20</v>
      </c>
      <c r="G224" s="6">
        <v>176386</v>
      </c>
      <c r="H224" s="6">
        <v>23.2</v>
      </c>
      <c r="I224" s="6">
        <v>21.4</v>
      </c>
      <c r="J224" s="21"/>
      <c r="K224" s="21"/>
      <c r="L224" s="21"/>
      <c r="M224" s="21"/>
      <c r="N224" s="21"/>
      <c r="O224" s="21"/>
      <c r="P224" s="21"/>
      <c r="Q224" s="21"/>
      <c r="R224" s="21"/>
      <c r="S224" s="21">
        <f t="shared" si="3"/>
        <v>23.2</v>
      </c>
      <c r="T224" s="95">
        <f t="shared" si="14"/>
        <v>-59</v>
      </c>
      <c r="U224" s="11">
        <f t="shared" si="11"/>
        <v>0</v>
      </c>
      <c r="V224" s="11">
        <f t="shared" si="12"/>
        <v>0</v>
      </c>
      <c r="W224" s="96">
        <f t="shared" si="15"/>
        <v>-54.378798109385556</v>
      </c>
      <c r="X224" s="12">
        <f>V224/[1]Manure!$I$2</f>
        <v>0</v>
      </c>
      <c r="Y224" s="12">
        <f>W224/[1]Manure!$I$2</f>
        <v>-38.781394410495906</v>
      </c>
      <c r="Z224" s="12"/>
      <c r="AA224" s="12"/>
      <c r="AB224" s="11"/>
      <c r="AC224" s="11"/>
    </row>
    <row r="225" spans="1:29" ht="15.75" thickBot="1" x14ac:dyDescent="0.3">
      <c r="A225" s="13">
        <v>45573</v>
      </c>
      <c r="B225" s="7">
        <v>0.41666666666666669</v>
      </c>
      <c r="C225" s="6"/>
      <c r="D225" s="6"/>
      <c r="E225" s="6" t="s">
        <v>60</v>
      </c>
      <c r="F225" s="82">
        <v>20</v>
      </c>
      <c r="G225" s="6">
        <v>140350</v>
      </c>
      <c r="H225" s="6">
        <v>23.5</v>
      </c>
      <c r="I225" s="6">
        <v>20.9</v>
      </c>
      <c r="J225" s="21"/>
      <c r="K225" s="21"/>
      <c r="L225" s="21"/>
      <c r="M225" s="21"/>
      <c r="N225" s="21"/>
      <c r="O225" s="21"/>
      <c r="P225" s="21"/>
      <c r="Q225" s="21"/>
      <c r="R225" s="21"/>
      <c r="S225" s="21">
        <f t="shared" si="3"/>
        <v>23.5</v>
      </c>
      <c r="T225" s="95">
        <f t="shared" si="14"/>
        <v>-36036</v>
      </c>
      <c r="U225" s="11">
        <f t="shared" ref="U225:U288" si="16">T225*(P225/100)</f>
        <v>0</v>
      </c>
      <c r="V225" s="11">
        <f t="shared" ref="V225:V288" si="17">U225*(273/(273+S225))</f>
        <v>0</v>
      </c>
      <c r="W225" s="96">
        <f t="shared" si="15"/>
        <v>-33179.858347386173</v>
      </c>
      <c r="X225" s="12">
        <f>V225/[1]Manure!$I$2</f>
        <v>0</v>
      </c>
      <c r="Y225" s="12">
        <f>W225/[1]Manure!$I$2</f>
        <v>-23662.920435754877</v>
      </c>
      <c r="Z225" s="12"/>
      <c r="AA225" s="12"/>
      <c r="AB225" s="11"/>
      <c r="AC225" s="11"/>
    </row>
    <row r="226" spans="1:29" ht="15.75" thickBot="1" x14ac:dyDescent="0.3">
      <c r="A226" s="13">
        <v>45574</v>
      </c>
      <c r="B226" s="7">
        <v>0.41666666666666669</v>
      </c>
      <c r="C226" s="6"/>
      <c r="D226" s="6"/>
      <c r="E226" s="6" t="s">
        <v>60</v>
      </c>
      <c r="F226" s="82">
        <v>20</v>
      </c>
      <c r="G226" s="6">
        <v>140734</v>
      </c>
      <c r="H226" s="6">
        <v>26</v>
      </c>
      <c r="I226" s="6">
        <v>21.3</v>
      </c>
      <c r="J226" s="21"/>
      <c r="K226" s="21"/>
      <c r="L226" s="21"/>
      <c r="M226" s="21"/>
      <c r="N226" s="21"/>
      <c r="O226" s="21"/>
      <c r="P226" s="21"/>
      <c r="Q226" s="21"/>
      <c r="R226" s="21"/>
      <c r="S226" s="21">
        <f t="shared" si="3"/>
        <v>26</v>
      </c>
      <c r="T226" s="95">
        <f t="shared" si="14"/>
        <v>384</v>
      </c>
      <c r="U226" s="11">
        <f t="shared" si="16"/>
        <v>0</v>
      </c>
      <c r="V226" s="11">
        <f t="shared" si="17"/>
        <v>0</v>
      </c>
      <c r="W226" s="96">
        <f t="shared" si="15"/>
        <v>350.60869565217388</v>
      </c>
      <c r="X226" s="12">
        <f>V226/[1]Manure!$I$2</f>
        <v>0</v>
      </c>
      <c r="Y226" s="12">
        <f>W226/[1]Manure!$I$2</f>
        <v>250.04403522279532</v>
      </c>
      <c r="Z226" s="12"/>
      <c r="AA226" s="12"/>
      <c r="AB226" s="11"/>
      <c r="AC226" s="11"/>
    </row>
    <row r="227" spans="1:29" ht="15.75" thickBot="1" x14ac:dyDescent="0.3">
      <c r="A227" s="13">
        <v>45575</v>
      </c>
      <c r="B227" s="7">
        <v>0.41666666666666669</v>
      </c>
      <c r="C227" s="6"/>
      <c r="D227" s="6"/>
      <c r="E227" s="6" t="s">
        <v>60</v>
      </c>
      <c r="F227" s="82">
        <v>20</v>
      </c>
      <c r="G227" s="6">
        <v>141000</v>
      </c>
      <c r="H227" s="6">
        <v>19.8</v>
      </c>
      <c r="I227" s="6">
        <v>22</v>
      </c>
      <c r="J227" s="21"/>
      <c r="K227" s="21"/>
      <c r="L227" s="21"/>
      <c r="M227" s="21"/>
      <c r="N227" s="21"/>
      <c r="O227" s="21"/>
      <c r="P227" s="21"/>
      <c r="Q227" s="21"/>
      <c r="R227" s="21"/>
      <c r="S227" s="21">
        <f t="shared" si="3"/>
        <v>19.8</v>
      </c>
      <c r="T227" s="95">
        <f t="shared" si="14"/>
        <v>266</v>
      </c>
      <c r="U227" s="11">
        <f t="shared" si="16"/>
        <v>0</v>
      </c>
      <c r="V227" s="11">
        <f t="shared" si="17"/>
        <v>0</v>
      </c>
      <c r="W227" s="96">
        <f t="shared" si="15"/>
        <v>248.01229508196721</v>
      </c>
      <c r="X227" s="12">
        <f>V227/[1]Manure!$I$2</f>
        <v>0</v>
      </c>
      <c r="Y227" s="12">
        <f>W227/[1]Manure!$I$2</f>
        <v>176.87523388947415</v>
      </c>
      <c r="Z227" s="12"/>
      <c r="AA227" s="12"/>
      <c r="AB227" s="11"/>
      <c r="AC227" s="11"/>
    </row>
    <row r="228" spans="1:29" ht="15.75" thickBot="1" x14ac:dyDescent="0.3">
      <c r="A228" s="13">
        <v>45576</v>
      </c>
      <c r="B228" s="7">
        <v>0.41666666666666669</v>
      </c>
      <c r="C228" s="6"/>
      <c r="D228" s="6"/>
      <c r="E228" s="6" t="s">
        <v>60</v>
      </c>
      <c r="F228" s="82">
        <v>20</v>
      </c>
      <c r="G228" s="6">
        <v>142125</v>
      </c>
      <c r="H228" s="6">
        <v>19.100000000000001</v>
      </c>
      <c r="I228" s="6">
        <v>23.4</v>
      </c>
      <c r="J228" s="21"/>
      <c r="K228" s="21"/>
      <c r="L228" s="21"/>
      <c r="M228" s="21"/>
      <c r="N228" s="21"/>
      <c r="O228" s="21"/>
      <c r="P228" s="21"/>
      <c r="Q228" s="21"/>
      <c r="R228" s="21"/>
      <c r="S228" s="21">
        <f t="shared" si="3"/>
        <v>19.100000000000001</v>
      </c>
      <c r="T228" s="95">
        <f t="shared" si="14"/>
        <v>1125</v>
      </c>
      <c r="U228" s="11">
        <f t="shared" si="16"/>
        <v>0</v>
      </c>
      <c r="V228" s="11">
        <f t="shared" si="17"/>
        <v>0</v>
      </c>
      <c r="W228" s="96">
        <f t="shared" si="15"/>
        <v>1051.4378637452926</v>
      </c>
      <c r="X228" s="12">
        <f>V228/[1]Manure!$I$2</f>
        <v>0</v>
      </c>
      <c r="Y228" s="12">
        <f>W228/[1]Manure!$I$2</f>
        <v>749.85523604277012</v>
      </c>
      <c r="Z228" s="12"/>
      <c r="AA228" s="12"/>
      <c r="AB228" s="11"/>
      <c r="AC228" s="11"/>
    </row>
    <row r="229" spans="1:29" ht="15.75" thickBot="1" x14ac:dyDescent="0.3">
      <c r="A229" s="13">
        <v>45577</v>
      </c>
      <c r="B229" s="7">
        <v>0.41666666666666669</v>
      </c>
      <c r="C229" s="6"/>
      <c r="D229" s="6"/>
      <c r="E229" s="6" t="s">
        <v>60</v>
      </c>
      <c r="F229" s="82">
        <v>20</v>
      </c>
      <c r="G229" s="6">
        <v>142566</v>
      </c>
      <c r="H229" s="6">
        <v>25</v>
      </c>
      <c r="I229" s="6">
        <v>22.8</v>
      </c>
      <c r="J229" s="21"/>
      <c r="K229" s="21"/>
      <c r="L229" s="21"/>
      <c r="M229" s="21"/>
      <c r="N229" s="21"/>
      <c r="O229" s="21"/>
      <c r="P229" s="21"/>
      <c r="Q229" s="21"/>
      <c r="R229" s="21"/>
      <c r="S229" s="21">
        <f t="shared" si="3"/>
        <v>25</v>
      </c>
      <c r="T229" s="95">
        <f t="shared" si="14"/>
        <v>441</v>
      </c>
      <c r="U229" s="11">
        <f t="shared" si="16"/>
        <v>0</v>
      </c>
      <c r="V229" s="11">
        <f t="shared" si="17"/>
        <v>0</v>
      </c>
      <c r="W229" s="96">
        <f t="shared" si="15"/>
        <v>404.00335570469798</v>
      </c>
      <c r="X229" s="12">
        <f>V229/[1]Manure!$I$2</f>
        <v>0</v>
      </c>
      <c r="Y229" s="12">
        <f>W229/[1]Manure!$I$2</f>
        <v>288.1235706833977</v>
      </c>
      <c r="Z229" s="12"/>
      <c r="AA229" s="12"/>
      <c r="AB229" s="11"/>
      <c r="AC229" s="11"/>
    </row>
    <row r="230" spans="1:29" ht="15.75" thickBot="1" x14ac:dyDescent="0.3">
      <c r="A230" s="13">
        <v>45579</v>
      </c>
      <c r="B230" s="7">
        <v>0.41666666666666669</v>
      </c>
      <c r="C230" s="6"/>
      <c r="D230" s="6"/>
      <c r="E230" s="6" t="s">
        <v>60</v>
      </c>
      <c r="F230" s="82">
        <v>20</v>
      </c>
      <c r="G230" s="6">
        <v>143508</v>
      </c>
      <c r="H230" s="6">
        <v>23.7</v>
      </c>
      <c r="I230" s="6">
        <v>22.2</v>
      </c>
      <c r="J230" s="21"/>
      <c r="K230" s="21"/>
      <c r="L230" s="21"/>
      <c r="M230" s="21"/>
      <c r="N230" s="21"/>
      <c r="O230" s="21"/>
      <c r="P230" s="21"/>
      <c r="Q230" s="21"/>
      <c r="R230" s="21"/>
      <c r="S230" s="21">
        <f t="shared" si="3"/>
        <v>23.7</v>
      </c>
      <c r="T230" s="95">
        <f t="shared" si="14"/>
        <v>942</v>
      </c>
      <c r="U230" s="11">
        <f t="shared" si="16"/>
        <v>0</v>
      </c>
      <c r="V230" s="11">
        <f t="shared" si="17"/>
        <v>0</v>
      </c>
      <c r="W230" s="96">
        <f t="shared" si="15"/>
        <v>866.7542972699697</v>
      </c>
      <c r="X230" s="12">
        <f>V230/[1]Manure!$I$2</f>
        <v>0</v>
      </c>
      <c r="Y230" s="12">
        <f>W230/[1]Manure!$I$2</f>
        <v>618.14422951759366</v>
      </c>
      <c r="Z230" s="12"/>
      <c r="AA230" s="12"/>
      <c r="AB230" s="11"/>
      <c r="AC230" s="11"/>
    </row>
    <row r="231" spans="1:29" ht="15.75" thickBot="1" x14ac:dyDescent="0.3">
      <c r="A231" s="13">
        <v>45580</v>
      </c>
      <c r="B231" s="7">
        <v>0.41666666666666669</v>
      </c>
      <c r="C231" s="6"/>
      <c r="D231" s="6"/>
      <c r="E231" s="6" t="s">
        <v>60</v>
      </c>
      <c r="F231" s="82">
        <v>20</v>
      </c>
      <c r="G231" s="6">
        <v>144124</v>
      </c>
      <c r="H231" s="6">
        <v>22.2</v>
      </c>
      <c r="I231" s="6">
        <v>20.3</v>
      </c>
      <c r="J231" s="21"/>
      <c r="K231" s="21"/>
      <c r="L231" s="21"/>
      <c r="M231" s="21"/>
      <c r="N231" s="21"/>
      <c r="O231" s="21"/>
      <c r="P231" s="21"/>
      <c r="Q231" s="21"/>
      <c r="R231" s="21"/>
      <c r="S231" s="21">
        <f t="shared" si="3"/>
        <v>22.2</v>
      </c>
      <c r="T231" s="95">
        <f t="shared" si="14"/>
        <v>616</v>
      </c>
      <c r="U231" s="11">
        <f t="shared" si="16"/>
        <v>0</v>
      </c>
      <c r="V231" s="11">
        <f t="shared" si="17"/>
        <v>0</v>
      </c>
      <c r="W231" s="96">
        <f t="shared" si="15"/>
        <v>569.67479674796743</v>
      </c>
      <c r="X231" s="12">
        <f>V231/[1]Manure!$I$2</f>
        <v>0</v>
      </c>
      <c r="Y231" s="12">
        <f>W231/[1]Manure!$I$2</f>
        <v>406.27567630239503</v>
      </c>
      <c r="Z231" s="12"/>
      <c r="AA231" s="12"/>
      <c r="AB231" s="11"/>
      <c r="AC231" s="11"/>
    </row>
    <row r="232" spans="1:29" ht="15.75" thickBot="1" x14ac:dyDescent="0.3">
      <c r="A232" s="13">
        <v>45581</v>
      </c>
      <c r="B232" s="7">
        <v>0.41666666666666669</v>
      </c>
      <c r="C232" s="6"/>
      <c r="D232" s="6"/>
      <c r="E232" s="6" t="s">
        <v>60</v>
      </c>
      <c r="F232" s="82">
        <v>20</v>
      </c>
      <c r="G232" s="6">
        <v>145028</v>
      </c>
      <c r="H232" s="6">
        <v>22.4</v>
      </c>
      <c r="I232" s="6">
        <v>20.9</v>
      </c>
      <c r="J232" s="21"/>
      <c r="K232" s="21"/>
      <c r="L232" s="21"/>
      <c r="M232" s="21"/>
      <c r="N232" s="21"/>
      <c r="O232" s="21"/>
      <c r="P232" s="21"/>
      <c r="Q232" s="21"/>
      <c r="R232" s="21"/>
      <c r="S232" s="21">
        <f t="shared" si="3"/>
        <v>22.4</v>
      </c>
      <c r="T232" s="95">
        <f t="shared" si="14"/>
        <v>904</v>
      </c>
      <c r="U232" s="11">
        <f t="shared" si="16"/>
        <v>0</v>
      </c>
      <c r="V232" s="11">
        <f t="shared" si="17"/>
        <v>0</v>
      </c>
      <c r="W232" s="96">
        <f t="shared" si="15"/>
        <v>835.45023696682472</v>
      </c>
      <c r="X232" s="12">
        <f>V232/[1]Manure!$I$2</f>
        <v>0</v>
      </c>
      <c r="Y232" s="12">
        <f>W232/[1]Manure!$I$2</f>
        <v>595.81907428293459</v>
      </c>
      <c r="Z232" s="12"/>
      <c r="AA232" s="12"/>
      <c r="AB232" s="11"/>
      <c r="AC232" s="11"/>
    </row>
    <row r="233" spans="1:29" ht="15.75" thickBot="1" x14ac:dyDescent="0.3">
      <c r="A233" s="13">
        <v>45582</v>
      </c>
      <c r="B233" s="7">
        <v>0.41666666666666669</v>
      </c>
      <c r="C233" s="6"/>
      <c r="D233" s="6"/>
      <c r="E233" s="6" t="s">
        <v>60</v>
      </c>
      <c r="F233" s="82">
        <v>20</v>
      </c>
      <c r="G233" s="6">
        <v>145492</v>
      </c>
      <c r="H233" s="6">
        <v>24.3</v>
      </c>
      <c r="I233" s="6">
        <v>21</v>
      </c>
      <c r="J233" s="21"/>
      <c r="K233" s="21"/>
      <c r="L233" s="21"/>
      <c r="M233" s="21"/>
      <c r="N233" s="21"/>
      <c r="O233" s="21"/>
      <c r="P233" s="21"/>
      <c r="Q233" s="21"/>
      <c r="R233" s="21"/>
      <c r="S233" s="21">
        <f t="shared" si="3"/>
        <v>24.3</v>
      </c>
      <c r="T233" s="95">
        <f t="shared" si="14"/>
        <v>464</v>
      </c>
      <c r="U233" s="11">
        <f t="shared" si="16"/>
        <v>0</v>
      </c>
      <c r="V233" s="11">
        <f t="shared" si="17"/>
        <v>0</v>
      </c>
      <c r="W233" s="96">
        <f t="shared" si="15"/>
        <v>426.0746720484359</v>
      </c>
      <c r="X233" s="12">
        <f>V233/[1]Manure!$I$2</f>
        <v>0</v>
      </c>
      <c r="Y233" s="12">
        <f>W233/[1]Manure!$I$2</f>
        <v>303.86419853919415</v>
      </c>
      <c r="Z233" s="12"/>
      <c r="AA233" s="12"/>
      <c r="AB233" s="11"/>
      <c r="AC233" s="11"/>
    </row>
    <row r="234" spans="1:29" ht="15.75" thickBot="1" x14ac:dyDescent="0.3">
      <c r="A234" s="13">
        <v>45583</v>
      </c>
      <c r="B234" s="7">
        <v>0.41666666666666669</v>
      </c>
      <c r="C234" s="6"/>
      <c r="D234" s="6"/>
      <c r="E234" s="6" t="s">
        <v>60</v>
      </c>
      <c r="F234" s="82">
        <v>20</v>
      </c>
      <c r="G234" s="6">
        <v>146370</v>
      </c>
      <c r="H234" s="6">
        <v>25.2</v>
      </c>
      <c r="I234" s="6">
        <v>21.3</v>
      </c>
      <c r="J234" s="21"/>
      <c r="K234" s="21"/>
      <c r="L234" s="21"/>
      <c r="M234" s="21"/>
      <c r="N234" s="21"/>
      <c r="O234" s="21"/>
      <c r="P234" s="21"/>
      <c r="Q234" s="21"/>
      <c r="R234" s="21"/>
      <c r="S234" s="21">
        <f t="shared" si="3"/>
        <v>25.2</v>
      </c>
      <c r="T234" s="95">
        <f t="shared" si="14"/>
        <v>878</v>
      </c>
      <c r="U234" s="11">
        <f t="shared" si="16"/>
        <v>0</v>
      </c>
      <c r="V234" s="11">
        <f t="shared" si="17"/>
        <v>0</v>
      </c>
      <c r="W234" s="96">
        <f t="shared" si="15"/>
        <v>803.80281690140851</v>
      </c>
      <c r="X234" s="12">
        <f>V234/[1]Manure!$I$2</f>
        <v>0</v>
      </c>
      <c r="Y234" s="12">
        <f>W234/[1]Manure!$I$2</f>
        <v>573.24904474379855</v>
      </c>
      <c r="Z234" s="12"/>
      <c r="AA234" s="12"/>
      <c r="AB234" s="11"/>
      <c r="AC234" s="11"/>
    </row>
    <row r="235" spans="1:29" ht="15.75" thickBot="1" x14ac:dyDescent="0.3">
      <c r="A235" s="13">
        <v>45584</v>
      </c>
      <c r="B235" s="7">
        <v>0.41666666666666669</v>
      </c>
      <c r="C235" s="6"/>
      <c r="D235" s="6"/>
      <c r="E235" s="6" t="s">
        <v>60</v>
      </c>
      <c r="F235" s="82">
        <v>20</v>
      </c>
      <c r="G235" s="6">
        <v>146770</v>
      </c>
      <c r="H235" s="6">
        <v>26.9</v>
      </c>
      <c r="I235" s="6">
        <v>20.9</v>
      </c>
      <c r="J235" s="21"/>
      <c r="K235" s="21"/>
      <c r="L235" s="21"/>
      <c r="M235" s="21"/>
      <c r="N235" s="21"/>
      <c r="O235" s="21"/>
      <c r="P235" s="21"/>
      <c r="Q235" s="21"/>
      <c r="R235" s="21"/>
      <c r="S235" s="21">
        <f t="shared" si="3"/>
        <v>26.9</v>
      </c>
      <c r="T235" s="95">
        <f t="shared" si="14"/>
        <v>400</v>
      </c>
      <c r="U235" s="11">
        <f t="shared" si="16"/>
        <v>0</v>
      </c>
      <c r="V235" s="11">
        <f t="shared" si="17"/>
        <v>0</v>
      </c>
      <c r="W235" s="96">
        <f t="shared" si="15"/>
        <v>364.12137379126375</v>
      </c>
      <c r="X235" s="12">
        <f>V235/[1]Manure!$I$2</f>
        <v>0</v>
      </c>
      <c r="Y235" s="12">
        <f>W235/[1]Manure!$I$2</f>
        <v>259.68088853095406</v>
      </c>
      <c r="Z235" s="12"/>
      <c r="AA235" s="12"/>
      <c r="AB235" s="11"/>
      <c r="AC235" s="11"/>
    </row>
    <row r="236" spans="1:29" ht="15.75" thickBot="1" x14ac:dyDescent="0.3">
      <c r="A236" s="13">
        <v>45586</v>
      </c>
      <c r="B236" s="7">
        <v>0.41666666666666669</v>
      </c>
      <c r="C236" s="6"/>
      <c r="D236" s="6"/>
      <c r="E236" s="6" t="s">
        <v>60</v>
      </c>
      <c r="F236" s="82">
        <v>20</v>
      </c>
      <c r="G236" s="6">
        <v>147629</v>
      </c>
      <c r="H236" s="6">
        <v>24.6</v>
      </c>
      <c r="I236" s="6">
        <v>20.8</v>
      </c>
      <c r="J236" s="21"/>
      <c r="K236" s="21"/>
      <c r="L236" s="21"/>
      <c r="M236" s="21"/>
      <c r="N236" s="21"/>
      <c r="O236" s="21"/>
      <c r="P236" s="21"/>
      <c r="Q236" s="21"/>
      <c r="R236" s="21"/>
      <c r="S236" s="21">
        <f t="shared" si="3"/>
        <v>24.6</v>
      </c>
      <c r="T236" s="95">
        <f t="shared" si="14"/>
        <v>859</v>
      </c>
      <c r="U236" s="11">
        <f t="shared" si="16"/>
        <v>0</v>
      </c>
      <c r="V236" s="11">
        <f t="shared" si="17"/>
        <v>0</v>
      </c>
      <c r="W236" s="96">
        <f t="shared" si="15"/>
        <v>787.99395161290317</v>
      </c>
      <c r="X236" s="12">
        <f>V236/[1]Manure!$I$2</f>
        <v>0</v>
      </c>
      <c r="Y236" s="12">
        <f>W236/[1]Manure!$I$2</f>
        <v>561.97461681873369</v>
      </c>
      <c r="Z236" s="12"/>
      <c r="AA236" s="12"/>
      <c r="AB236" s="11"/>
      <c r="AC236" s="11"/>
    </row>
    <row r="237" spans="1:29" ht="15.75" thickBot="1" x14ac:dyDescent="0.3">
      <c r="A237" s="13">
        <v>45587</v>
      </c>
      <c r="B237" s="7">
        <v>0.41666666666666669</v>
      </c>
      <c r="C237" s="6"/>
      <c r="D237" s="6"/>
      <c r="E237" s="6" t="s">
        <v>60</v>
      </c>
      <c r="F237" s="82">
        <v>20</v>
      </c>
      <c r="G237" s="6">
        <v>147915</v>
      </c>
      <c r="H237" s="6">
        <v>23</v>
      </c>
      <c r="I237" s="6">
        <v>20</v>
      </c>
      <c r="J237" s="21"/>
      <c r="K237" s="21"/>
      <c r="L237" s="21"/>
      <c r="M237" s="21"/>
      <c r="N237" s="21"/>
      <c r="O237" s="21"/>
      <c r="P237" s="21"/>
      <c r="Q237" s="21"/>
      <c r="R237" s="21"/>
      <c r="S237" s="21">
        <f t="shared" si="3"/>
        <v>23</v>
      </c>
      <c r="T237" s="95">
        <f t="shared" si="14"/>
        <v>286</v>
      </c>
      <c r="U237" s="11">
        <f t="shared" si="16"/>
        <v>0</v>
      </c>
      <c r="V237" s="11">
        <f t="shared" si="17"/>
        <v>0</v>
      </c>
      <c r="W237" s="96">
        <f t="shared" si="15"/>
        <v>263.77702702702703</v>
      </c>
      <c r="X237" s="12">
        <f>V237/[1]Manure!$I$2</f>
        <v>0</v>
      </c>
      <c r="Y237" s="12">
        <f>W237/[1]Manure!$I$2</f>
        <v>188.11818718364759</v>
      </c>
      <c r="Z237" s="12"/>
      <c r="AA237" s="12"/>
      <c r="AB237" s="11"/>
      <c r="AC237" s="11"/>
    </row>
    <row r="238" spans="1:29" ht="15.75" thickBot="1" x14ac:dyDescent="0.3">
      <c r="A238" s="13">
        <v>45588</v>
      </c>
      <c r="B238" s="7">
        <v>0.41666666666666669</v>
      </c>
      <c r="C238" s="6"/>
      <c r="D238" s="6"/>
      <c r="E238" s="6" t="s">
        <v>60</v>
      </c>
      <c r="F238" s="82">
        <v>20</v>
      </c>
      <c r="G238" s="6">
        <v>149638</v>
      </c>
      <c r="H238" s="6">
        <v>21.5</v>
      </c>
      <c r="I238" s="6">
        <v>23.1</v>
      </c>
      <c r="J238" s="21"/>
      <c r="K238" s="21"/>
      <c r="L238" s="21"/>
      <c r="M238" s="21"/>
      <c r="N238" s="21"/>
      <c r="O238" s="21"/>
      <c r="P238" s="21"/>
      <c r="Q238" s="21"/>
      <c r="R238" s="21"/>
      <c r="S238" s="21">
        <f t="shared" si="3"/>
        <v>21.5</v>
      </c>
      <c r="T238" s="95">
        <f t="shared" si="14"/>
        <v>1723</v>
      </c>
      <c r="U238" s="11">
        <f t="shared" si="16"/>
        <v>0</v>
      </c>
      <c r="V238" s="11">
        <f t="shared" si="17"/>
        <v>0</v>
      </c>
      <c r="W238" s="96">
        <f t="shared" si="15"/>
        <v>1597.2122241086588</v>
      </c>
      <c r="X238" s="12">
        <f>V238/[1]Manure!$I$2</f>
        <v>0</v>
      </c>
      <c r="Y238" s="12">
        <f>W238/[1]Manure!$I$2</f>
        <v>1139.0858086974217</v>
      </c>
      <c r="Z238" s="12"/>
      <c r="AA238" s="12"/>
      <c r="AB238" s="11"/>
      <c r="AC238" s="11"/>
    </row>
    <row r="239" spans="1:29" ht="15.75" thickBot="1" x14ac:dyDescent="0.3">
      <c r="A239" s="13">
        <v>45589</v>
      </c>
      <c r="B239" s="7">
        <v>0.41666666666666669</v>
      </c>
      <c r="C239" s="6"/>
      <c r="D239" s="6"/>
      <c r="E239" s="6" t="s">
        <v>60</v>
      </c>
      <c r="F239" s="82">
        <v>20</v>
      </c>
      <c r="G239" s="6">
        <v>150171</v>
      </c>
      <c r="H239" s="6">
        <v>25</v>
      </c>
      <c r="I239" s="6">
        <v>29.7</v>
      </c>
      <c r="J239" s="21"/>
      <c r="K239" s="21"/>
      <c r="L239" s="21"/>
      <c r="M239" s="21"/>
      <c r="N239" s="21"/>
      <c r="O239" s="21"/>
      <c r="P239" s="21"/>
      <c r="Q239" s="21"/>
      <c r="R239" s="21"/>
      <c r="S239" s="21">
        <f t="shared" si="3"/>
        <v>25</v>
      </c>
      <c r="T239" s="95">
        <f t="shared" si="14"/>
        <v>533</v>
      </c>
      <c r="U239" s="11">
        <f t="shared" si="16"/>
        <v>0</v>
      </c>
      <c r="V239" s="11">
        <f t="shared" si="17"/>
        <v>0</v>
      </c>
      <c r="W239" s="96">
        <f t="shared" si="15"/>
        <v>488.28523489932883</v>
      </c>
      <c r="X239" s="12">
        <f>V239/[1]Manure!$I$2</f>
        <v>0</v>
      </c>
      <c r="Y239" s="12">
        <f>W239/[1]Manure!$I$2</f>
        <v>348.23098225453737</v>
      </c>
      <c r="Z239" s="12"/>
      <c r="AA239" s="12"/>
      <c r="AB239" s="11"/>
      <c r="AC239" s="11"/>
    </row>
    <row r="240" spans="1:29" ht="15.75" thickBot="1" x14ac:dyDescent="0.3">
      <c r="A240" s="13">
        <v>45590</v>
      </c>
      <c r="B240" s="7">
        <v>0.41666666666666669</v>
      </c>
      <c r="C240" s="6"/>
      <c r="D240" s="6"/>
      <c r="E240" s="6" t="s">
        <v>60</v>
      </c>
      <c r="F240" s="82">
        <v>20</v>
      </c>
      <c r="G240" s="6">
        <v>151001</v>
      </c>
      <c r="H240" s="6">
        <v>24.7</v>
      </c>
      <c r="I240" s="6">
        <v>20.399999999999999</v>
      </c>
      <c r="J240" s="21"/>
      <c r="K240" s="21"/>
      <c r="L240" s="21"/>
      <c r="M240" s="21"/>
      <c r="N240" s="21"/>
      <c r="O240" s="21"/>
      <c r="P240" s="21"/>
      <c r="Q240" s="21"/>
      <c r="R240" s="21"/>
      <c r="S240" s="21">
        <f t="shared" si="3"/>
        <v>24.7</v>
      </c>
      <c r="T240" s="95">
        <f t="shared" si="14"/>
        <v>830</v>
      </c>
      <c r="U240" s="11">
        <f t="shared" si="16"/>
        <v>0</v>
      </c>
      <c r="V240" s="11">
        <f t="shared" si="17"/>
        <v>0</v>
      </c>
      <c r="W240" s="96">
        <f t="shared" si="15"/>
        <v>761.13537117903934</v>
      </c>
      <c r="X240" s="12">
        <f>V240/[1]Manure!$I$2</f>
        <v>0</v>
      </c>
      <c r="Y240" s="12">
        <f>W240/[1]Manure!$I$2</f>
        <v>542.81984993667697</v>
      </c>
      <c r="Z240" s="12"/>
      <c r="AA240" s="12"/>
      <c r="AB240" s="11"/>
      <c r="AC240" s="11"/>
    </row>
    <row r="241" spans="1:29" ht="15.75" thickBot="1" x14ac:dyDescent="0.3">
      <c r="A241" s="13">
        <v>45591</v>
      </c>
      <c r="B241" s="33">
        <v>0.41666666666666669</v>
      </c>
      <c r="C241" s="6"/>
      <c r="D241" s="6"/>
      <c r="E241" s="6" t="s">
        <v>60</v>
      </c>
      <c r="F241" s="82">
        <v>20</v>
      </c>
      <c r="G241" s="6">
        <v>151352</v>
      </c>
      <c r="H241" s="6">
        <v>29.9</v>
      </c>
      <c r="I241" s="6">
        <v>21</v>
      </c>
      <c r="J241" s="21"/>
      <c r="K241" s="21"/>
      <c r="L241" s="21"/>
      <c r="M241" s="21"/>
      <c r="N241" s="21"/>
      <c r="O241" s="21"/>
      <c r="P241" s="21"/>
      <c r="Q241" s="21"/>
      <c r="R241" s="21"/>
      <c r="S241" s="21">
        <f t="shared" si="3"/>
        <v>29.9</v>
      </c>
      <c r="T241" s="95">
        <f t="shared" si="14"/>
        <v>351</v>
      </c>
      <c r="U241" s="11">
        <f t="shared" si="16"/>
        <v>0</v>
      </c>
      <c r="V241" s="11">
        <f t="shared" si="17"/>
        <v>0</v>
      </c>
      <c r="W241" s="96">
        <f t="shared" si="15"/>
        <v>316.35193133047215</v>
      </c>
      <c r="X241" s="12">
        <f>V241/[1]Manure!$I$2</f>
        <v>0</v>
      </c>
      <c r="Y241" s="12">
        <f>W241/[1]Manure!$I$2</f>
        <v>225.61309642722048</v>
      </c>
      <c r="Z241" s="12"/>
      <c r="AA241" s="12"/>
      <c r="AB241" s="11"/>
      <c r="AC241" s="11"/>
    </row>
    <row r="242" spans="1:29" ht="15.75" thickBot="1" x14ac:dyDescent="0.3">
      <c r="A242" s="13">
        <v>45593</v>
      </c>
      <c r="B242" s="33">
        <v>0.41666666666666669</v>
      </c>
      <c r="C242" s="6"/>
      <c r="D242" s="6"/>
      <c r="E242" s="6" t="s">
        <v>60</v>
      </c>
      <c r="F242" s="82">
        <v>20</v>
      </c>
      <c r="G242" s="6">
        <v>153142</v>
      </c>
      <c r="H242" s="6">
        <v>28.5</v>
      </c>
      <c r="I242" s="6">
        <v>20.8</v>
      </c>
      <c r="J242" s="21"/>
      <c r="K242" s="21"/>
      <c r="L242" s="21"/>
      <c r="M242" s="21"/>
      <c r="N242" s="21"/>
      <c r="O242" s="21"/>
      <c r="P242" s="21"/>
      <c r="Q242" s="21"/>
      <c r="R242" s="21"/>
      <c r="S242" s="21">
        <f t="shared" si="3"/>
        <v>28.5</v>
      </c>
      <c r="T242" s="95">
        <f t="shared" si="14"/>
        <v>1790</v>
      </c>
      <c r="U242" s="11">
        <f t="shared" si="16"/>
        <v>0</v>
      </c>
      <c r="V242" s="11">
        <f t="shared" si="17"/>
        <v>0</v>
      </c>
      <c r="W242" s="96">
        <f t="shared" si="15"/>
        <v>1620.7960199004974</v>
      </c>
      <c r="X242" s="12">
        <f>V242/[1]Manure!$I$2</f>
        <v>0</v>
      </c>
      <c r="Y242" s="12">
        <f>W242/[1]Manure!$I$2</f>
        <v>1155.9050933837088</v>
      </c>
      <c r="Z242" s="12"/>
      <c r="AA242" s="12"/>
      <c r="AB242" s="11"/>
      <c r="AC242" s="11"/>
    </row>
    <row r="243" spans="1:29" ht="15.75" thickBot="1" x14ac:dyDescent="0.3">
      <c r="A243" s="13">
        <v>45594</v>
      </c>
      <c r="B243" s="33">
        <v>0.41666666666666669</v>
      </c>
      <c r="C243" s="6"/>
      <c r="D243" s="6"/>
      <c r="E243" s="6" t="s">
        <v>60</v>
      </c>
      <c r="F243" s="82">
        <v>20</v>
      </c>
      <c r="G243" s="6">
        <v>154572</v>
      </c>
      <c r="H243" s="6">
        <v>26.7</v>
      </c>
      <c r="I243" s="6">
        <v>20.7</v>
      </c>
      <c r="J243" s="21"/>
      <c r="K243" s="21"/>
      <c r="L243" s="21"/>
      <c r="M243" s="21"/>
      <c r="N243" s="21"/>
      <c r="O243" s="21"/>
      <c r="P243" s="21"/>
      <c r="Q243" s="21"/>
      <c r="R243" s="21"/>
      <c r="S243" s="21">
        <f t="shared" si="3"/>
        <v>26.7</v>
      </c>
      <c r="T243" s="95">
        <f t="shared" si="14"/>
        <v>1430</v>
      </c>
      <c r="U243" s="11">
        <f t="shared" si="16"/>
        <v>0</v>
      </c>
      <c r="V243" s="11">
        <f t="shared" si="17"/>
        <v>0</v>
      </c>
      <c r="W243" s="96">
        <f t="shared" si="15"/>
        <v>1302.6026026026027</v>
      </c>
      <c r="X243" s="12">
        <f>V243/[1]Manure!$I$2</f>
        <v>0</v>
      </c>
      <c r="Y243" s="12">
        <f>W243/[1]Manure!$I$2</f>
        <v>928.97870214146963</v>
      </c>
      <c r="Z243" s="12"/>
      <c r="AA243" s="12"/>
      <c r="AB243" s="11"/>
      <c r="AC243" s="11"/>
    </row>
    <row r="244" spans="1:29" ht="15.75" thickBot="1" x14ac:dyDescent="0.3">
      <c r="A244" s="13">
        <v>45595</v>
      </c>
      <c r="B244" s="33">
        <v>0.41666666666666669</v>
      </c>
      <c r="C244" s="6"/>
      <c r="D244" s="6"/>
      <c r="E244" s="6" t="s">
        <v>60</v>
      </c>
      <c r="F244" s="82">
        <v>20</v>
      </c>
      <c r="G244" s="6">
        <v>155802</v>
      </c>
      <c r="H244" s="6">
        <v>26.2</v>
      </c>
      <c r="I244" s="6">
        <v>20.9</v>
      </c>
      <c r="J244" s="21"/>
      <c r="K244" s="21"/>
      <c r="L244" s="21"/>
      <c r="M244" s="21"/>
      <c r="N244" s="21"/>
      <c r="O244" s="21"/>
      <c r="P244" s="21"/>
      <c r="Q244" s="21"/>
      <c r="R244" s="21"/>
      <c r="S244" s="21">
        <f t="shared" si="3"/>
        <v>26.2</v>
      </c>
      <c r="T244" s="95">
        <f t="shared" si="14"/>
        <v>1230</v>
      </c>
      <c r="U244" s="11">
        <f t="shared" si="16"/>
        <v>0</v>
      </c>
      <c r="V244" s="11">
        <f t="shared" si="17"/>
        <v>0</v>
      </c>
      <c r="W244" s="96">
        <f t="shared" si="15"/>
        <v>1122.2927807486631</v>
      </c>
      <c r="X244" s="12">
        <f>V244/[1]Manure!$I$2</f>
        <v>0</v>
      </c>
      <c r="Y244" s="12">
        <f>W244/[1]Manure!$I$2</f>
        <v>800.38692445381639</v>
      </c>
      <c r="Z244" s="12"/>
      <c r="AA244" s="12"/>
      <c r="AB244" s="11"/>
      <c r="AC244" s="11"/>
    </row>
    <row r="245" spans="1:29" ht="15.75" thickBot="1" x14ac:dyDescent="0.3">
      <c r="A245" s="13">
        <v>45596</v>
      </c>
      <c r="B245" s="7">
        <v>0.41666666666666669</v>
      </c>
      <c r="C245" s="6"/>
      <c r="D245" s="6"/>
      <c r="E245" s="6" t="s">
        <v>60</v>
      </c>
      <c r="F245" s="82">
        <v>20</v>
      </c>
      <c r="G245" s="6">
        <v>156233</v>
      </c>
      <c r="H245" s="6">
        <v>25.2</v>
      </c>
      <c r="I245" s="6">
        <v>21.6</v>
      </c>
      <c r="J245" s="21"/>
      <c r="K245" s="21"/>
      <c r="L245" s="21"/>
      <c r="M245" s="21"/>
      <c r="N245" s="21"/>
      <c r="O245" s="21"/>
      <c r="P245" s="21"/>
      <c r="Q245" s="21"/>
      <c r="R245" s="21"/>
      <c r="S245" s="21">
        <f t="shared" si="3"/>
        <v>25.2</v>
      </c>
      <c r="T245" s="95">
        <f t="shared" si="14"/>
        <v>431</v>
      </c>
      <c r="U245" s="11">
        <f t="shared" si="16"/>
        <v>0</v>
      </c>
      <c r="V245" s="11">
        <f t="shared" si="17"/>
        <v>0</v>
      </c>
      <c r="W245" s="96">
        <f t="shared" si="15"/>
        <v>394.57746478873241</v>
      </c>
      <c r="X245" s="12">
        <f>V245/[1]Manure!$I$2</f>
        <v>0</v>
      </c>
      <c r="Y245" s="12">
        <f>W245/[1]Manure!$I$2</f>
        <v>281.40129645168241</v>
      </c>
      <c r="Z245" s="12"/>
      <c r="AA245" s="12"/>
      <c r="AB245" s="11"/>
      <c r="AC245" s="11"/>
    </row>
    <row r="246" spans="1:29" ht="15.75" thickBot="1" x14ac:dyDescent="0.3">
      <c r="A246" s="13">
        <v>45597</v>
      </c>
      <c r="B246" s="7">
        <v>0.41666666666666669</v>
      </c>
      <c r="C246" s="6"/>
      <c r="D246" s="6"/>
      <c r="E246" s="6" t="s">
        <v>60</v>
      </c>
      <c r="F246" s="82">
        <v>20</v>
      </c>
      <c r="G246" s="6">
        <v>157563</v>
      </c>
      <c r="H246" s="6">
        <v>29.8</v>
      </c>
      <c r="I246" s="6">
        <v>19.3</v>
      </c>
      <c r="J246" s="21"/>
      <c r="K246" s="21"/>
      <c r="L246" s="21"/>
      <c r="M246" s="21"/>
      <c r="N246" s="21"/>
      <c r="O246" s="21"/>
      <c r="P246" s="21"/>
      <c r="Q246" s="21"/>
      <c r="R246" s="21"/>
      <c r="S246" s="21">
        <f t="shared" si="3"/>
        <v>29.8</v>
      </c>
      <c r="T246" s="95">
        <f t="shared" si="14"/>
        <v>1330</v>
      </c>
      <c r="U246" s="11">
        <f t="shared" si="16"/>
        <v>0</v>
      </c>
      <c r="V246" s="11">
        <f t="shared" si="17"/>
        <v>0</v>
      </c>
      <c r="W246" s="96">
        <f t="shared" si="15"/>
        <v>1199.1083223249668</v>
      </c>
      <c r="X246" s="12">
        <f>V246/[1]Manure!$I$2</f>
        <v>0</v>
      </c>
      <c r="Y246" s="12">
        <f>W246/[1]Manure!$I$2</f>
        <v>855.16955883153935</v>
      </c>
      <c r="Z246" s="12"/>
      <c r="AA246" s="12"/>
      <c r="AB246" s="11"/>
      <c r="AC246" s="11"/>
    </row>
    <row r="247" spans="1:29" ht="15.75" thickBot="1" x14ac:dyDescent="0.3">
      <c r="A247" s="13">
        <v>45598</v>
      </c>
      <c r="B247" s="7">
        <v>0.41666666666666669</v>
      </c>
      <c r="C247" s="6"/>
      <c r="D247" s="6"/>
      <c r="E247" s="6" t="s">
        <v>60</v>
      </c>
      <c r="F247" s="82">
        <v>20</v>
      </c>
      <c r="G247" s="6">
        <v>158382</v>
      </c>
      <c r="H247" s="6">
        <v>31.9</v>
      </c>
      <c r="I247" s="6">
        <v>20.100000000000001</v>
      </c>
      <c r="J247" s="21"/>
      <c r="K247" s="21"/>
      <c r="L247" s="21"/>
      <c r="M247" s="21"/>
      <c r="N247" s="21"/>
      <c r="O247" s="21"/>
      <c r="P247" s="21"/>
      <c r="Q247" s="21"/>
      <c r="R247" s="21"/>
      <c r="S247" s="21">
        <f t="shared" si="3"/>
        <v>31.9</v>
      </c>
      <c r="T247" s="95">
        <f t="shared" si="14"/>
        <v>819</v>
      </c>
      <c r="U247" s="11">
        <f t="shared" si="16"/>
        <v>0</v>
      </c>
      <c r="V247" s="11">
        <f t="shared" si="17"/>
        <v>0</v>
      </c>
      <c r="W247" s="96">
        <f t="shared" si="15"/>
        <v>733.31256149557237</v>
      </c>
      <c r="X247" s="12">
        <f>V247/[1]Manure!$I$2</f>
        <v>0</v>
      </c>
      <c r="Y247" s="12">
        <f>W247/[1]Manure!$I$2</f>
        <v>522.97742249331532</v>
      </c>
      <c r="Z247" s="12"/>
      <c r="AA247" s="12"/>
      <c r="AB247" s="11"/>
      <c r="AC247" s="11"/>
    </row>
    <row r="248" spans="1:29" ht="15.75" thickBot="1" x14ac:dyDescent="0.3">
      <c r="A248" s="13">
        <v>45601</v>
      </c>
      <c r="B248" s="7">
        <v>0.41666666666666669</v>
      </c>
      <c r="C248" s="6"/>
      <c r="D248" s="6"/>
      <c r="E248" s="6" t="s">
        <v>60</v>
      </c>
      <c r="F248" s="82">
        <v>20</v>
      </c>
      <c r="G248" s="6">
        <v>160343</v>
      </c>
      <c r="H248" s="6">
        <v>27.3</v>
      </c>
      <c r="I248" s="6">
        <v>20.8</v>
      </c>
      <c r="J248" s="21"/>
      <c r="K248" s="21"/>
      <c r="L248" s="21"/>
      <c r="M248" s="21"/>
      <c r="N248" s="21"/>
      <c r="O248" s="21"/>
      <c r="P248" s="21"/>
      <c r="Q248" s="21"/>
      <c r="R248" s="21"/>
      <c r="S248" s="21">
        <f t="shared" si="3"/>
        <v>27.3</v>
      </c>
      <c r="T248" s="95">
        <f t="shared" si="14"/>
        <v>1961</v>
      </c>
      <c r="U248" s="11">
        <f t="shared" si="16"/>
        <v>0</v>
      </c>
      <c r="V248" s="11">
        <f t="shared" si="17"/>
        <v>0</v>
      </c>
      <c r="W248" s="96">
        <f t="shared" si="15"/>
        <v>1782.7272727272727</v>
      </c>
      <c r="X248" s="12">
        <f>V248/[1]Manure!$I$2</f>
        <v>0</v>
      </c>
      <c r="Y248" s="12">
        <f>W248/[1]Manure!$I$2</f>
        <v>1271.3898043666281</v>
      </c>
      <c r="Z248" s="12"/>
      <c r="AA248" s="12"/>
      <c r="AB248" s="11"/>
      <c r="AC248" s="11"/>
    </row>
    <row r="249" spans="1:29" ht="15.75" thickBot="1" x14ac:dyDescent="0.3">
      <c r="A249" s="13">
        <v>45602</v>
      </c>
      <c r="B249" s="7">
        <v>0.41666666666666669</v>
      </c>
      <c r="C249" s="6"/>
      <c r="D249" s="6"/>
      <c r="E249" s="6" t="s">
        <v>60</v>
      </c>
      <c r="F249" s="82">
        <v>20</v>
      </c>
      <c r="G249" s="6">
        <v>161982</v>
      </c>
      <c r="H249" s="6">
        <v>25.5</v>
      </c>
      <c r="I249" s="6">
        <v>20.100000000000001</v>
      </c>
      <c r="J249" s="21"/>
      <c r="K249" s="21"/>
      <c r="L249" s="21"/>
      <c r="M249" s="21"/>
      <c r="N249" s="21"/>
      <c r="O249" s="21"/>
      <c r="P249" s="21"/>
      <c r="Q249" s="21"/>
      <c r="R249" s="21"/>
      <c r="S249" s="21">
        <f t="shared" si="3"/>
        <v>25.5</v>
      </c>
      <c r="T249" s="95">
        <f t="shared" si="14"/>
        <v>1639</v>
      </c>
      <c r="U249" s="11">
        <f t="shared" si="16"/>
        <v>0</v>
      </c>
      <c r="V249" s="11">
        <f t="shared" si="17"/>
        <v>0</v>
      </c>
      <c r="W249" s="96">
        <f t="shared" si="15"/>
        <v>1498.9849246231156</v>
      </c>
      <c r="X249" s="12">
        <f>V249/[1]Manure!$I$2</f>
        <v>0</v>
      </c>
      <c r="Y249" s="12">
        <f>W249/[1]Manure!$I$2</f>
        <v>1069.0329245648234</v>
      </c>
      <c r="Z249" s="12"/>
      <c r="AA249" s="12"/>
      <c r="AB249" s="11"/>
      <c r="AC249" s="11"/>
    </row>
    <row r="250" spans="1:29" ht="15.75" thickBot="1" x14ac:dyDescent="0.3">
      <c r="A250" s="13">
        <v>45603</v>
      </c>
      <c r="B250" s="7">
        <v>0.41666666666666669</v>
      </c>
      <c r="C250" s="6"/>
      <c r="D250" s="6"/>
      <c r="E250" s="6" t="s">
        <v>60</v>
      </c>
      <c r="F250" s="82">
        <v>20</v>
      </c>
      <c r="G250" s="6">
        <v>162085</v>
      </c>
      <c r="H250" s="6">
        <v>25.4</v>
      </c>
      <c r="I250" s="6">
        <v>20.6</v>
      </c>
      <c r="J250" s="21"/>
      <c r="K250" s="21"/>
      <c r="L250" s="21"/>
      <c r="M250" s="21"/>
      <c r="N250" s="21"/>
      <c r="O250" s="21"/>
      <c r="P250" s="21"/>
      <c r="Q250" s="21"/>
      <c r="R250" s="21"/>
      <c r="S250" s="21">
        <f t="shared" si="3"/>
        <v>25.4</v>
      </c>
      <c r="T250" s="95">
        <f t="shared" si="14"/>
        <v>103</v>
      </c>
      <c r="U250" s="11">
        <f t="shared" si="16"/>
        <v>0</v>
      </c>
      <c r="V250" s="11">
        <f t="shared" si="17"/>
        <v>0</v>
      </c>
      <c r="W250" s="96">
        <f t="shared" si="15"/>
        <v>94.23257372654156</v>
      </c>
      <c r="X250" s="12">
        <f>V250/[1]Manure!$I$2</f>
        <v>0</v>
      </c>
      <c r="Y250" s="12">
        <f>W250/[1]Manure!$I$2</f>
        <v>67.203960643889175</v>
      </c>
      <c r="Z250" s="12"/>
      <c r="AA250" s="12"/>
      <c r="AB250" s="11"/>
      <c r="AC250" s="11"/>
    </row>
    <row r="251" spans="1:29" ht="15.75" thickBot="1" x14ac:dyDescent="0.3">
      <c r="A251" s="13">
        <v>45604</v>
      </c>
      <c r="B251" s="7">
        <v>0.41666666666666669</v>
      </c>
      <c r="C251" s="6"/>
      <c r="D251" s="6"/>
      <c r="E251" s="6" t="s">
        <v>60</v>
      </c>
      <c r="F251" s="82">
        <v>20</v>
      </c>
      <c r="G251" s="6">
        <v>162312</v>
      </c>
      <c r="H251" s="6">
        <v>23.5</v>
      </c>
      <c r="I251" s="6">
        <v>22.1</v>
      </c>
      <c r="J251" s="21"/>
      <c r="K251" s="21"/>
      <c r="L251" s="21"/>
      <c r="M251" s="21"/>
      <c r="N251" s="21"/>
      <c r="O251" s="21"/>
      <c r="P251" s="21"/>
      <c r="Q251" s="21"/>
      <c r="R251" s="21"/>
      <c r="S251" s="21">
        <f t="shared" si="3"/>
        <v>23.5</v>
      </c>
      <c r="T251" s="95">
        <f t="shared" si="14"/>
        <v>227</v>
      </c>
      <c r="U251" s="11">
        <f t="shared" si="16"/>
        <v>0</v>
      </c>
      <c r="V251" s="11">
        <f t="shared" si="17"/>
        <v>0</v>
      </c>
      <c r="W251" s="96">
        <f t="shared" si="15"/>
        <v>209.00843170320402</v>
      </c>
      <c r="X251" s="12">
        <f>V251/[1]Manure!$I$2</f>
        <v>0</v>
      </c>
      <c r="Y251" s="12">
        <f>W251/[1]Manure!$I$2</f>
        <v>149.05880061372949</v>
      </c>
      <c r="Z251" s="12"/>
      <c r="AA251" s="12"/>
      <c r="AB251" s="11"/>
      <c r="AC251" s="11"/>
    </row>
    <row r="252" spans="1:29" ht="15.75" thickBot="1" x14ac:dyDescent="0.3">
      <c r="A252" s="13">
        <v>45607</v>
      </c>
      <c r="B252" s="33">
        <v>0.41666666666666669</v>
      </c>
      <c r="C252" s="6"/>
      <c r="D252" s="6"/>
      <c r="E252" s="6" t="s">
        <v>60</v>
      </c>
      <c r="F252" s="82">
        <v>20</v>
      </c>
      <c r="G252" s="6">
        <v>164587</v>
      </c>
      <c r="H252" s="6">
        <v>24.8</v>
      </c>
      <c r="I252" s="6">
        <v>23.4</v>
      </c>
      <c r="J252" s="21"/>
      <c r="K252" s="21"/>
      <c r="L252" s="21"/>
      <c r="M252" s="21"/>
      <c r="N252" s="21"/>
      <c r="O252" s="21"/>
      <c r="P252" s="21"/>
      <c r="Q252" s="21"/>
      <c r="R252" s="21"/>
      <c r="S252" s="21">
        <f t="shared" si="3"/>
        <v>24.8</v>
      </c>
      <c r="T252" s="95">
        <f t="shared" si="14"/>
        <v>2275</v>
      </c>
      <c r="U252" s="11">
        <f t="shared" si="16"/>
        <v>0</v>
      </c>
      <c r="V252" s="11">
        <f t="shared" si="17"/>
        <v>0</v>
      </c>
      <c r="W252" s="96">
        <f t="shared" si="15"/>
        <v>2085.5439892545332</v>
      </c>
      <c r="X252" s="12">
        <f>V252/[1]Manure!$I$2</f>
        <v>0</v>
      </c>
      <c r="Y252" s="12">
        <f>W252/[1]Manure!$I$2</f>
        <v>1487.349974985186</v>
      </c>
      <c r="Z252" s="12"/>
      <c r="AA252" s="12"/>
      <c r="AB252" s="11"/>
      <c r="AC252" s="11"/>
    </row>
    <row r="253" spans="1:29" ht="15.75" thickBot="1" x14ac:dyDescent="0.3">
      <c r="A253" s="13">
        <v>45608</v>
      </c>
      <c r="B253" s="33">
        <v>0.41666666666666669</v>
      </c>
      <c r="C253" s="6"/>
      <c r="D253" s="6"/>
      <c r="E253" s="6" t="s">
        <v>60</v>
      </c>
      <c r="F253" s="82">
        <v>20</v>
      </c>
      <c r="G253" s="6">
        <v>165049</v>
      </c>
      <c r="H253" s="6">
        <v>24.6</v>
      </c>
      <c r="I253" s="6">
        <v>20.2</v>
      </c>
      <c r="J253" s="21"/>
      <c r="K253" s="21"/>
      <c r="L253" s="21"/>
      <c r="M253" s="21"/>
      <c r="N253" s="21"/>
      <c r="O253" s="21"/>
      <c r="P253" s="21"/>
      <c r="Q253" s="21"/>
      <c r="R253" s="21"/>
      <c r="S253" s="21">
        <f t="shared" si="3"/>
        <v>24.6</v>
      </c>
      <c r="T253" s="95">
        <f t="shared" si="14"/>
        <v>462</v>
      </c>
      <c r="U253" s="11">
        <f t="shared" si="16"/>
        <v>0</v>
      </c>
      <c r="V253" s="11">
        <f t="shared" si="17"/>
        <v>0</v>
      </c>
      <c r="W253" s="96">
        <f t="shared" si="15"/>
        <v>423.81048387096769</v>
      </c>
      <c r="X253" s="12">
        <f>V253/[1]Manure!$I$2</f>
        <v>0</v>
      </c>
      <c r="Y253" s="12">
        <f>W253/[1]Manure!$I$2</f>
        <v>302.24944466851565</v>
      </c>
      <c r="Z253" s="12"/>
      <c r="AA253" s="12"/>
      <c r="AB253" s="11"/>
      <c r="AC253" s="11"/>
    </row>
    <row r="254" spans="1:29" ht="15.75" thickBot="1" x14ac:dyDescent="0.3">
      <c r="A254" s="13">
        <v>45609</v>
      </c>
      <c r="B254" s="33">
        <v>0.41666666666666669</v>
      </c>
      <c r="C254" s="6"/>
      <c r="D254" s="6"/>
      <c r="E254" s="6" t="s">
        <v>60</v>
      </c>
      <c r="F254" s="82">
        <v>20</v>
      </c>
      <c r="G254" s="6">
        <v>166279</v>
      </c>
      <c r="H254" s="6">
        <v>18.899999999999999</v>
      </c>
      <c r="I254" s="6">
        <v>20.399999999999999</v>
      </c>
      <c r="J254" s="21"/>
      <c r="K254" s="21"/>
      <c r="L254" s="21"/>
      <c r="M254" s="21"/>
      <c r="N254" s="21"/>
      <c r="O254" s="21"/>
      <c r="P254" s="21"/>
      <c r="Q254" s="21"/>
      <c r="R254" s="21"/>
      <c r="S254" s="21">
        <f t="shared" si="3"/>
        <v>18.899999999999999</v>
      </c>
      <c r="T254" s="95">
        <f t="shared" si="14"/>
        <v>1230</v>
      </c>
      <c r="U254" s="11">
        <f t="shared" si="16"/>
        <v>0</v>
      </c>
      <c r="V254" s="11">
        <f t="shared" si="17"/>
        <v>0</v>
      </c>
      <c r="W254" s="96">
        <f t="shared" si="15"/>
        <v>1150.359712230216</v>
      </c>
      <c r="X254" s="12">
        <f>V254/[1]Manure!$I$2</f>
        <v>0</v>
      </c>
      <c r="Y254" s="12">
        <f>W254/[1]Manure!$I$2</f>
        <v>820.40345254053409</v>
      </c>
      <c r="Z254" s="12"/>
      <c r="AA254" s="12"/>
      <c r="AB254" s="11"/>
      <c r="AC254" s="11"/>
    </row>
    <row r="255" spans="1:29" ht="15.75" thickBot="1" x14ac:dyDescent="0.3">
      <c r="A255" s="13">
        <v>45610</v>
      </c>
      <c r="B255" s="33">
        <v>0.41666666666666669</v>
      </c>
      <c r="C255" s="6"/>
      <c r="D255" s="6"/>
      <c r="E255" s="6" t="s">
        <v>60</v>
      </c>
      <c r="F255" s="82">
        <v>20</v>
      </c>
      <c r="G255" s="6">
        <v>166767</v>
      </c>
      <c r="H255" s="6">
        <v>18.899999999999999</v>
      </c>
      <c r="I255" s="6">
        <v>21.1</v>
      </c>
      <c r="J255" s="21"/>
      <c r="K255" s="21"/>
      <c r="L255" s="21"/>
      <c r="M255" s="21"/>
      <c r="N255" s="21"/>
      <c r="O255" s="21"/>
      <c r="P255" s="21"/>
      <c r="Q255" s="21"/>
      <c r="R255" s="21"/>
      <c r="S255" s="21">
        <f t="shared" si="3"/>
        <v>18.899999999999999</v>
      </c>
      <c r="T255" s="95">
        <f t="shared" si="14"/>
        <v>488</v>
      </c>
      <c r="U255" s="11">
        <f t="shared" si="16"/>
        <v>0</v>
      </c>
      <c r="V255" s="11">
        <f t="shared" si="17"/>
        <v>0</v>
      </c>
      <c r="W255" s="96">
        <f t="shared" si="15"/>
        <v>456.40287769784175</v>
      </c>
      <c r="X255" s="12">
        <f>V255/[1]Manure!$I$2</f>
        <v>0</v>
      </c>
      <c r="Y255" s="12">
        <f>W255/[1]Manure!$I$2</f>
        <v>325.4934023087647</v>
      </c>
      <c r="Z255" s="12"/>
      <c r="AA255" s="12"/>
      <c r="AB255" s="11"/>
      <c r="AC255" s="11"/>
    </row>
    <row r="256" spans="1:29" ht="15.75" thickBot="1" x14ac:dyDescent="0.3">
      <c r="A256" s="13">
        <v>45611</v>
      </c>
      <c r="B256" s="7">
        <v>0.41666666666666669</v>
      </c>
      <c r="C256" s="6"/>
      <c r="D256" s="6"/>
      <c r="E256" s="6" t="s">
        <v>60</v>
      </c>
      <c r="F256" s="82">
        <v>20</v>
      </c>
      <c r="G256" s="6">
        <v>167578</v>
      </c>
      <c r="H256" s="6">
        <v>26.9</v>
      </c>
      <c r="I256" s="6">
        <v>23.1</v>
      </c>
      <c r="J256" s="21"/>
      <c r="K256" s="21"/>
      <c r="L256" s="21"/>
      <c r="M256" s="21"/>
      <c r="N256" s="21"/>
      <c r="O256" s="21"/>
      <c r="P256" s="21"/>
      <c r="Q256" s="21"/>
      <c r="R256" s="21"/>
      <c r="S256" s="21">
        <f t="shared" si="3"/>
        <v>26.9</v>
      </c>
      <c r="T256" s="95">
        <f t="shared" si="14"/>
        <v>811</v>
      </c>
      <c r="U256" s="11">
        <f t="shared" si="16"/>
        <v>0</v>
      </c>
      <c r="V256" s="11">
        <f t="shared" si="17"/>
        <v>0</v>
      </c>
      <c r="W256" s="96">
        <f t="shared" si="15"/>
        <v>738.25608536178731</v>
      </c>
      <c r="X256" s="12">
        <f>V256/[1]Manure!$I$2</f>
        <v>0</v>
      </c>
      <c r="Y256" s="12">
        <f>W256/[1]Manure!$I$2</f>
        <v>526.50300149650946</v>
      </c>
      <c r="Z256" s="12"/>
      <c r="AA256" s="12"/>
      <c r="AB256" s="11"/>
      <c r="AC256" s="11"/>
    </row>
    <row r="257" spans="1:29" ht="15.75" thickBot="1" x14ac:dyDescent="0.3">
      <c r="A257" s="13">
        <v>45612</v>
      </c>
      <c r="B257" s="7">
        <v>0.41666666666666669</v>
      </c>
      <c r="C257" s="6"/>
      <c r="D257" s="6"/>
      <c r="E257" s="6" t="s">
        <v>60</v>
      </c>
      <c r="F257" s="82">
        <v>20</v>
      </c>
      <c r="G257" s="6">
        <v>168178</v>
      </c>
      <c r="H257" s="6">
        <v>22.4</v>
      </c>
      <c r="I257" s="6">
        <v>17.399999999999999</v>
      </c>
      <c r="J257" s="21"/>
      <c r="K257" s="21"/>
      <c r="L257" s="21"/>
      <c r="M257" s="21"/>
      <c r="N257" s="21"/>
      <c r="O257" s="21"/>
      <c r="P257" s="21"/>
      <c r="Q257" s="21"/>
      <c r="R257" s="21"/>
      <c r="S257" s="21">
        <f t="shared" si="3"/>
        <v>22.4</v>
      </c>
      <c r="T257" s="95">
        <f t="shared" si="14"/>
        <v>600</v>
      </c>
      <c r="U257" s="11">
        <f t="shared" si="16"/>
        <v>0</v>
      </c>
      <c r="V257" s="11">
        <f t="shared" si="17"/>
        <v>0</v>
      </c>
      <c r="W257" s="96">
        <f t="shared" si="15"/>
        <v>554.5023696682465</v>
      </c>
      <c r="X257" s="12">
        <f>V257/[1]Manure!$I$2</f>
        <v>0</v>
      </c>
      <c r="Y257" s="12">
        <f>W257/[1]Manure!$I$2</f>
        <v>395.45513779840792</v>
      </c>
      <c r="Z257" s="12"/>
      <c r="AA257" s="12"/>
      <c r="AB257" s="11"/>
      <c r="AC257" s="11"/>
    </row>
    <row r="258" spans="1:29" ht="15.75" thickBot="1" x14ac:dyDescent="0.3">
      <c r="A258" s="13">
        <v>45614</v>
      </c>
      <c r="B258" s="7">
        <v>0.41666666666666669</v>
      </c>
      <c r="C258" s="6"/>
      <c r="D258" s="6"/>
      <c r="E258" s="6" t="s">
        <v>60</v>
      </c>
      <c r="F258" s="82">
        <v>20</v>
      </c>
      <c r="G258" s="6">
        <v>168804</v>
      </c>
      <c r="H258" s="6">
        <v>23.4</v>
      </c>
      <c r="I258" s="6">
        <v>20.100000000000001</v>
      </c>
      <c r="J258" s="21"/>
      <c r="K258" s="21"/>
      <c r="L258" s="21"/>
      <c r="M258" s="21"/>
      <c r="N258" s="21"/>
      <c r="O258" s="21"/>
      <c r="P258" s="21"/>
      <c r="Q258" s="21"/>
      <c r="R258" s="21"/>
      <c r="S258" s="21">
        <f t="shared" si="3"/>
        <v>23.4</v>
      </c>
      <c r="T258" s="95">
        <f t="shared" si="14"/>
        <v>626</v>
      </c>
      <c r="U258" s="11">
        <f t="shared" si="16"/>
        <v>0</v>
      </c>
      <c r="V258" s="11">
        <f t="shared" si="17"/>
        <v>0</v>
      </c>
      <c r="W258" s="96">
        <f t="shared" si="15"/>
        <v>576.57894736842115</v>
      </c>
      <c r="X258" s="12">
        <f>V258/[1]Manure!$I$2</f>
        <v>0</v>
      </c>
      <c r="Y258" s="12">
        <f>W258/[1]Manure!$I$2</f>
        <v>411.19951790225326</v>
      </c>
      <c r="Z258" s="12"/>
      <c r="AA258" s="12"/>
      <c r="AB258" s="11"/>
      <c r="AC258" s="11"/>
    </row>
    <row r="259" spans="1:29" ht="15.75" thickBot="1" x14ac:dyDescent="0.3">
      <c r="A259" s="13">
        <v>45615</v>
      </c>
      <c r="B259" s="7">
        <v>0.41666666666666669</v>
      </c>
      <c r="C259" s="6"/>
      <c r="D259" s="6"/>
      <c r="E259" s="6" t="s">
        <v>60</v>
      </c>
      <c r="F259" s="82">
        <v>20</v>
      </c>
      <c r="G259" s="6">
        <v>169051</v>
      </c>
      <c r="H259" s="6">
        <v>18.7</v>
      </c>
      <c r="I259" s="6">
        <v>20.100000000000001</v>
      </c>
      <c r="J259" s="21"/>
      <c r="K259" s="21"/>
      <c r="L259" s="21"/>
      <c r="M259" s="21"/>
      <c r="N259" s="21"/>
      <c r="O259" s="21"/>
      <c r="P259" s="21"/>
      <c r="Q259" s="21"/>
      <c r="R259" s="21"/>
      <c r="S259" s="21">
        <f t="shared" ref="S259:S307" si="18">H259</f>
        <v>18.7</v>
      </c>
      <c r="T259" s="95">
        <f t="shared" si="14"/>
        <v>247</v>
      </c>
      <c r="U259" s="11">
        <f t="shared" si="16"/>
        <v>0</v>
      </c>
      <c r="V259" s="11">
        <f t="shared" si="17"/>
        <v>0</v>
      </c>
      <c r="W259" s="96">
        <f t="shared" si="15"/>
        <v>231.16558107644843</v>
      </c>
      <c r="X259" s="12">
        <f>V259/[1]Manure!$I$2</f>
        <v>0</v>
      </c>
      <c r="Y259" s="12">
        <f>W259/[1]Manure!$I$2</f>
        <v>164.86064211687508</v>
      </c>
      <c r="Z259" s="12"/>
      <c r="AA259" s="12"/>
      <c r="AB259" s="11"/>
      <c r="AC259" s="11"/>
    </row>
    <row r="260" spans="1:29" ht="15.75" thickBot="1" x14ac:dyDescent="0.3">
      <c r="A260" s="13">
        <v>45616</v>
      </c>
      <c r="B260" s="7">
        <v>0.41666666666666669</v>
      </c>
      <c r="C260" s="6"/>
      <c r="D260" s="6"/>
      <c r="E260" s="6" t="s">
        <v>60</v>
      </c>
      <c r="F260" s="82">
        <v>20</v>
      </c>
      <c r="G260" s="6">
        <v>169745</v>
      </c>
      <c r="H260" s="6">
        <v>16.899999999999999</v>
      </c>
      <c r="I260" s="6">
        <v>19.899999999999999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21">
        <f t="shared" si="18"/>
        <v>16.899999999999999</v>
      </c>
      <c r="T260" s="95">
        <f t="shared" si="14"/>
        <v>694</v>
      </c>
      <c r="U260" s="11">
        <f t="shared" si="16"/>
        <v>0</v>
      </c>
      <c r="V260" s="11">
        <f t="shared" si="17"/>
        <v>0</v>
      </c>
      <c r="W260" s="96">
        <f t="shared" si="15"/>
        <v>653.54260089686102</v>
      </c>
      <c r="X260" s="12">
        <f>V260/[1]Manure!$I$2</f>
        <v>0</v>
      </c>
      <c r="Y260" s="12">
        <f>W260/[1]Manure!$I$2</f>
        <v>466.0877814632683</v>
      </c>
      <c r="Z260" s="12"/>
      <c r="AA260" s="12"/>
      <c r="AB260" s="11"/>
      <c r="AC260" s="11"/>
    </row>
    <row r="261" spans="1:29" ht="15.75" thickBot="1" x14ac:dyDescent="0.3">
      <c r="A261" s="13">
        <v>45617</v>
      </c>
      <c r="B261" s="7">
        <v>0.41666666666666669</v>
      </c>
      <c r="C261" s="6"/>
      <c r="D261" s="6"/>
      <c r="E261" s="6" t="s">
        <v>60</v>
      </c>
      <c r="F261" s="82">
        <v>20</v>
      </c>
      <c r="G261" s="6">
        <v>170220</v>
      </c>
      <c r="H261" s="6">
        <v>27.4</v>
      </c>
      <c r="I261" s="6">
        <v>19.100000000000001</v>
      </c>
      <c r="J261" s="21"/>
      <c r="K261" s="21"/>
      <c r="L261" s="21"/>
      <c r="M261" s="21"/>
      <c r="N261" s="21"/>
      <c r="O261" s="21"/>
      <c r="P261" s="21"/>
      <c r="Q261" s="21"/>
      <c r="R261" s="21"/>
      <c r="S261" s="21">
        <f t="shared" si="18"/>
        <v>27.4</v>
      </c>
      <c r="T261" s="95">
        <f t="shared" si="14"/>
        <v>475</v>
      </c>
      <c r="U261" s="11">
        <f t="shared" si="16"/>
        <v>0</v>
      </c>
      <c r="V261" s="11">
        <f t="shared" si="17"/>
        <v>0</v>
      </c>
      <c r="W261" s="96">
        <f t="shared" si="15"/>
        <v>431.6744340878829</v>
      </c>
      <c r="X261" s="12">
        <f>V261/[1]Manure!$I$2</f>
        <v>0</v>
      </c>
      <c r="Y261" s="12">
        <f>W261/[1]Manure!$I$2</f>
        <v>307.85778772849318</v>
      </c>
      <c r="Z261" s="12"/>
      <c r="AA261" s="12"/>
      <c r="AB261" s="11"/>
      <c r="AC261" s="11"/>
    </row>
    <row r="262" spans="1:29" ht="15.75" thickBot="1" x14ac:dyDescent="0.3">
      <c r="A262" s="13">
        <v>45618</v>
      </c>
      <c r="B262" s="7">
        <v>0.41666666666666669</v>
      </c>
      <c r="C262" s="6"/>
      <c r="D262" s="6"/>
      <c r="E262" s="6" t="s">
        <v>60</v>
      </c>
      <c r="F262" s="82">
        <v>20</v>
      </c>
      <c r="G262" s="6">
        <v>171006</v>
      </c>
      <c r="H262" s="6">
        <v>29.4</v>
      </c>
      <c r="I262" s="6">
        <v>20.100000000000001</v>
      </c>
      <c r="J262" s="21"/>
      <c r="K262" s="21"/>
      <c r="L262" s="21"/>
      <c r="M262" s="21"/>
      <c r="N262" s="21"/>
      <c r="O262" s="21"/>
      <c r="P262" s="21"/>
      <c r="Q262" s="21"/>
      <c r="R262" s="21"/>
      <c r="S262" s="21">
        <f t="shared" si="18"/>
        <v>29.4</v>
      </c>
      <c r="T262" s="95">
        <f t="shared" si="14"/>
        <v>786</v>
      </c>
      <c r="U262" s="11">
        <f t="shared" si="16"/>
        <v>0</v>
      </c>
      <c r="V262" s="11">
        <f t="shared" si="17"/>
        <v>0</v>
      </c>
      <c r="W262" s="96">
        <f t="shared" si="15"/>
        <v>709.58333333333348</v>
      </c>
      <c r="X262" s="12">
        <f>V262/[1]Manure!$I$2</f>
        <v>0</v>
      </c>
      <c r="Y262" s="12">
        <f>W262/[1]Manure!$I$2</f>
        <v>506.05441962434236</v>
      </c>
      <c r="Z262" s="12"/>
      <c r="AA262" s="12"/>
      <c r="AB262" s="11"/>
      <c r="AC262" s="11"/>
    </row>
    <row r="263" spans="1:29" ht="15.75" thickBot="1" x14ac:dyDescent="0.3">
      <c r="A263" s="13">
        <v>45619</v>
      </c>
      <c r="B263" s="7">
        <v>0.41666666666666669</v>
      </c>
      <c r="C263" s="6"/>
      <c r="D263" s="6"/>
      <c r="E263" s="6" t="s">
        <v>60</v>
      </c>
      <c r="F263" s="82">
        <v>20</v>
      </c>
      <c r="G263" s="6">
        <v>172019</v>
      </c>
      <c r="H263" s="6">
        <v>22.5</v>
      </c>
      <c r="I263" s="6">
        <v>20.399999999999999</v>
      </c>
      <c r="J263" s="21"/>
      <c r="K263" s="21"/>
      <c r="L263" s="21"/>
      <c r="M263" s="21"/>
      <c r="N263" s="21"/>
      <c r="O263" s="21"/>
      <c r="P263" s="21"/>
      <c r="Q263" s="21"/>
      <c r="R263" s="21"/>
      <c r="S263" s="21">
        <f t="shared" si="18"/>
        <v>22.5</v>
      </c>
      <c r="T263" s="95">
        <f t="shared" si="14"/>
        <v>1013</v>
      </c>
      <c r="U263" s="11">
        <f t="shared" si="16"/>
        <v>0</v>
      </c>
      <c r="V263" s="11">
        <f t="shared" si="17"/>
        <v>0</v>
      </c>
      <c r="W263" s="96">
        <f t="shared" si="15"/>
        <v>935.86802030456852</v>
      </c>
      <c r="X263" s="12">
        <f>V263/[1]Manure!$I$2</f>
        <v>0</v>
      </c>
      <c r="Y263" s="12">
        <f>W263/[1]Manure!$I$2</f>
        <v>667.43414848179998</v>
      </c>
      <c r="Z263" s="12"/>
      <c r="AA263" s="12"/>
    </row>
    <row r="264" spans="1:29" ht="15.75" thickBot="1" x14ac:dyDescent="0.3">
      <c r="A264" s="13">
        <v>45621</v>
      </c>
      <c r="B264" s="7">
        <v>0.41666666666666669</v>
      </c>
      <c r="C264" s="6"/>
      <c r="D264" s="6"/>
      <c r="E264" s="6" t="s">
        <v>60</v>
      </c>
      <c r="F264" s="82">
        <v>20</v>
      </c>
      <c r="G264" s="6">
        <v>173454</v>
      </c>
      <c r="H264" s="6">
        <v>24.5</v>
      </c>
      <c r="I264" s="6">
        <v>21</v>
      </c>
      <c r="J264" s="21"/>
      <c r="K264" s="21"/>
      <c r="L264" s="21"/>
      <c r="M264" s="21"/>
      <c r="N264" s="21"/>
      <c r="O264" s="21"/>
      <c r="P264" s="21"/>
      <c r="Q264" s="21"/>
      <c r="R264" s="21"/>
      <c r="S264" s="21">
        <f t="shared" si="18"/>
        <v>24.5</v>
      </c>
      <c r="T264" s="95">
        <f t="shared" si="14"/>
        <v>1435</v>
      </c>
      <c r="U264" s="11">
        <f t="shared" si="16"/>
        <v>0</v>
      </c>
      <c r="V264" s="11">
        <f t="shared" si="17"/>
        <v>0</v>
      </c>
      <c r="W264" s="96">
        <f t="shared" si="15"/>
        <v>1316.8235294117646</v>
      </c>
      <c r="X264" s="12">
        <f>V264/[1]Manure!$I$2</f>
        <v>0</v>
      </c>
      <c r="Y264" s="12">
        <f>W264/[1]Manure!$I$2</f>
        <v>939.12065802581117</v>
      </c>
      <c r="Z264" s="12"/>
      <c r="AA264" s="12"/>
    </row>
    <row r="265" spans="1:29" ht="15.75" thickBot="1" x14ac:dyDescent="0.3">
      <c r="A265" s="13">
        <v>45622</v>
      </c>
      <c r="B265" s="7">
        <v>0.41666666666666669</v>
      </c>
      <c r="C265" s="6"/>
      <c r="D265" s="6"/>
      <c r="E265" s="6" t="s">
        <v>60</v>
      </c>
      <c r="F265" s="82">
        <v>20</v>
      </c>
      <c r="G265" s="6">
        <v>174412</v>
      </c>
      <c r="H265" s="6">
        <v>23.3</v>
      </c>
      <c r="I265" s="6">
        <v>20.100000000000001</v>
      </c>
      <c r="J265" s="21"/>
      <c r="K265" s="21"/>
      <c r="L265" s="21"/>
      <c r="M265" s="21"/>
      <c r="N265" s="21"/>
      <c r="O265" s="21"/>
      <c r="P265" s="21"/>
      <c r="Q265" s="21"/>
      <c r="R265" s="21"/>
      <c r="S265" s="21">
        <f t="shared" si="18"/>
        <v>23.3</v>
      </c>
      <c r="T265" s="95">
        <f t="shared" si="14"/>
        <v>958</v>
      </c>
      <c r="U265" s="11">
        <f t="shared" si="16"/>
        <v>0</v>
      </c>
      <c r="V265" s="11">
        <f t="shared" si="17"/>
        <v>0</v>
      </c>
      <c r="W265" s="96">
        <f t="shared" si="15"/>
        <v>882.66621667229151</v>
      </c>
      <c r="X265" s="12">
        <f>V265/[1]Manure!$I$2</f>
        <v>0</v>
      </c>
      <c r="Y265" s="12">
        <f>W265/[1]Manure!$I$2</f>
        <v>629.4921526719113</v>
      </c>
      <c r="Z265" s="12"/>
      <c r="AA265" s="12"/>
    </row>
    <row r="266" spans="1:29" ht="15.75" thickBot="1" x14ac:dyDescent="0.3">
      <c r="A266" s="13">
        <v>45623</v>
      </c>
      <c r="B266" s="7">
        <v>0.41666666666666669</v>
      </c>
      <c r="C266" s="6"/>
      <c r="D266" s="6"/>
      <c r="E266" s="6" t="s">
        <v>60</v>
      </c>
      <c r="F266" s="82">
        <v>20</v>
      </c>
      <c r="G266" s="6">
        <v>175286</v>
      </c>
      <c r="H266" s="6">
        <v>25.5</v>
      </c>
      <c r="I266" s="6">
        <v>20.8</v>
      </c>
      <c r="J266" s="21"/>
      <c r="K266" s="21"/>
      <c r="L266" s="21"/>
      <c r="M266" s="21"/>
      <c r="N266" s="21"/>
      <c r="O266" s="21"/>
      <c r="P266" s="21"/>
      <c r="Q266" s="21"/>
      <c r="R266" s="21"/>
      <c r="S266" s="21">
        <f t="shared" si="18"/>
        <v>25.5</v>
      </c>
      <c r="T266" s="95">
        <f t="shared" si="14"/>
        <v>874</v>
      </c>
      <c r="U266" s="11">
        <f t="shared" si="16"/>
        <v>0</v>
      </c>
      <c r="V266" s="11">
        <f t="shared" si="17"/>
        <v>0</v>
      </c>
      <c r="W266" s="96">
        <f t="shared" si="15"/>
        <v>799.3366834170854</v>
      </c>
      <c r="X266" s="12">
        <f>V266/[1]Manure!$I$2</f>
        <v>0</v>
      </c>
      <c r="Y266" s="12">
        <f>W266/[1]Manure!$I$2</f>
        <v>570.06392682712351</v>
      </c>
      <c r="Z266" s="12"/>
      <c r="AA266" s="12"/>
    </row>
    <row r="267" spans="1:29" ht="15.75" thickBot="1" x14ac:dyDescent="0.3">
      <c r="A267" s="13">
        <v>45624</v>
      </c>
      <c r="B267" s="7">
        <v>0.41666666666666669</v>
      </c>
      <c r="C267" s="6"/>
      <c r="D267" s="6"/>
      <c r="E267" s="6" t="s">
        <v>60</v>
      </c>
      <c r="F267" s="82">
        <v>20</v>
      </c>
      <c r="G267" s="6">
        <v>175679</v>
      </c>
      <c r="H267" s="6">
        <v>22.6</v>
      </c>
      <c r="I267" s="6">
        <v>18.899999999999999</v>
      </c>
      <c r="J267" s="21"/>
      <c r="K267" s="21"/>
      <c r="L267" s="21"/>
      <c r="M267" s="21"/>
      <c r="N267" s="21"/>
      <c r="O267" s="21"/>
      <c r="P267" s="21"/>
      <c r="Q267" s="21"/>
      <c r="R267" s="21"/>
      <c r="S267" s="21">
        <f t="shared" si="18"/>
        <v>22.6</v>
      </c>
      <c r="T267" s="95">
        <f t="shared" si="14"/>
        <v>393</v>
      </c>
      <c r="U267" s="11">
        <f t="shared" si="16"/>
        <v>0</v>
      </c>
      <c r="V267" s="11">
        <f t="shared" si="17"/>
        <v>0</v>
      </c>
      <c r="W267" s="96">
        <f t="shared" si="15"/>
        <v>362.95331529093369</v>
      </c>
      <c r="X267" s="12">
        <f>V267/[1]Manure!$I$2</f>
        <v>0</v>
      </c>
      <c r="Y267" s="12">
        <f>W267/[1]Manure!$I$2</f>
        <v>258.84786281190981</v>
      </c>
      <c r="Z267" s="12"/>
      <c r="AA267" s="12"/>
    </row>
    <row r="268" spans="1:29" ht="15.75" thickBot="1" x14ac:dyDescent="0.3">
      <c r="A268" s="13">
        <v>45625</v>
      </c>
      <c r="B268" s="7">
        <v>0.41666666666666669</v>
      </c>
      <c r="C268" s="6"/>
      <c r="D268" s="6"/>
      <c r="E268" s="6" t="s">
        <v>60</v>
      </c>
      <c r="F268" s="82">
        <v>20</v>
      </c>
      <c r="G268" s="6">
        <v>176874</v>
      </c>
      <c r="H268" s="6">
        <v>25</v>
      </c>
      <c r="I268" s="6">
        <v>20.3</v>
      </c>
      <c r="J268" s="21"/>
      <c r="K268" s="21"/>
      <c r="L268" s="21"/>
      <c r="M268" s="21"/>
      <c r="N268" s="21"/>
      <c r="O268" s="21"/>
      <c r="P268" s="21"/>
      <c r="Q268" s="21"/>
      <c r="R268" s="21"/>
      <c r="S268" s="21">
        <f t="shared" si="18"/>
        <v>25</v>
      </c>
      <c r="T268" s="95">
        <f t="shared" si="14"/>
        <v>1195</v>
      </c>
      <c r="U268" s="11">
        <f t="shared" si="16"/>
        <v>0</v>
      </c>
      <c r="V268" s="11">
        <f t="shared" si="17"/>
        <v>0</v>
      </c>
      <c r="W268" s="96">
        <f t="shared" si="15"/>
        <v>1094.7483221476509</v>
      </c>
      <c r="X268" s="12">
        <f>V268/[1]Manure!$I$2</f>
        <v>0</v>
      </c>
      <c r="Y268" s="12">
        <f>W268/[1]Manure!$I$2</f>
        <v>780.74300899469449</v>
      </c>
      <c r="Z268" s="12"/>
      <c r="AA268" s="12"/>
    </row>
    <row r="269" spans="1:29" ht="15.75" thickBot="1" x14ac:dyDescent="0.3">
      <c r="A269" s="13">
        <v>45626</v>
      </c>
      <c r="B269" s="7">
        <v>0.41666666666666669</v>
      </c>
      <c r="C269" s="6"/>
      <c r="D269" s="6"/>
      <c r="E269" s="6" t="s">
        <v>60</v>
      </c>
      <c r="F269" s="82">
        <v>20</v>
      </c>
      <c r="G269" s="6">
        <v>177628</v>
      </c>
      <c r="H269" s="6">
        <v>20.399999999999999</v>
      </c>
      <c r="I269" s="6">
        <v>21.4</v>
      </c>
      <c r="J269" s="21"/>
      <c r="K269" s="21"/>
      <c r="L269" s="21"/>
      <c r="M269" s="21"/>
      <c r="N269" s="21"/>
      <c r="O269" s="21"/>
      <c r="P269" s="21"/>
      <c r="Q269" s="21"/>
      <c r="R269" s="21"/>
      <c r="S269" s="21">
        <f t="shared" si="18"/>
        <v>20.399999999999999</v>
      </c>
      <c r="T269" s="95">
        <f t="shared" si="14"/>
        <v>754</v>
      </c>
      <c r="U269" s="11">
        <f t="shared" si="16"/>
        <v>0</v>
      </c>
      <c r="V269" s="11">
        <f t="shared" si="17"/>
        <v>0</v>
      </c>
      <c r="W269" s="96">
        <f t="shared" si="15"/>
        <v>701.5746421267894</v>
      </c>
      <c r="X269" s="12">
        <f>V269/[1]Manure!$I$2</f>
        <v>0</v>
      </c>
      <c r="Y269" s="12">
        <f>W269/[1]Manure!$I$2</f>
        <v>500.34285145455505</v>
      </c>
      <c r="Z269" s="12"/>
      <c r="AA269" s="12"/>
    </row>
    <row r="270" spans="1:29" ht="15.75" thickBot="1" x14ac:dyDescent="0.3">
      <c r="A270" s="13">
        <v>45628</v>
      </c>
      <c r="B270" s="7">
        <v>0.41666666666666669</v>
      </c>
      <c r="C270" s="6"/>
      <c r="D270" s="6"/>
      <c r="E270" s="6" t="s">
        <v>60</v>
      </c>
      <c r="F270" s="82">
        <v>20</v>
      </c>
      <c r="G270" s="6">
        <v>179441</v>
      </c>
      <c r="H270" s="6">
        <v>24.5</v>
      </c>
      <c r="I270" s="6">
        <v>20.5</v>
      </c>
      <c r="J270" s="21"/>
      <c r="K270" s="21"/>
      <c r="L270" s="21"/>
      <c r="M270" s="21"/>
      <c r="N270" s="21"/>
      <c r="O270" s="21"/>
      <c r="P270" s="21"/>
      <c r="Q270" s="21"/>
      <c r="R270" s="21"/>
      <c r="S270" s="21">
        <f t="shared" si="18"/>
        <v>24.5</v>
      </c>
      <c r="T270" s="95">
        <f t="shared" si="14"/>
        <v>1813</v>
      </c>
      <c r="U270" s="11">
        <f t="shared" si="16"/>
        <v>0</v>
      </c>
      <c r="V270" s="11">
        <f t="shared" si="17"/>
        <v>0</v>
      </c>
      <c r="W270" s="96">
        <f t="shared" si="15"/>
        <v>1663.6941176470586</v>
      </c>
      <c r="X270" s="12">
        <f>V270/[1]Manure!$I$2</f>
        <v>0</v>
      </c>
      <c r="Y270" s="12">
        <f>W270/[1]Manure!$I$2</f>
        <v>1186.4987825789517</v>
      </c>
      <c r="Z270" s="12"/>
      <c r="AA270" s="12"/>
    </row>
    <row r="271" spans="1:29" ht="15.75" thickBot="1" x14ac:dyDescent="0.3">
      <c r="A271" s="13">
        <v>45629</v>
      </c>
      <c r="B271" s="7">
        <v>0.41666666666666669</v>
      </c>
      <c r="C271" s="6"/>
      <c r="D271" s="6"/>
      <c r="E271" s="6" t="s">
        <v>60</v>
      </c>
      <c r="F271" s="82">
        <v>20</v>
      </c>
      <c r="G271" s="6">
        <v>180428</v>
      </c>
      <c r="H271" s="6">
        <v>28.2</v>
      </c>
      <c r="I271" s="6">
        <v>20.100000000000001</v>
      </c>
      <c r="J271" s="21"/>
      <c r="K271" s="21"/>
      <c r="L271" s="21"/>
      <c r="M271" s="21"/>
      <c r="N271" s="21"/>
      <c r="O271" s="21"/>
      <c r="P271" s="21"/>
      <c r="Q271" s="21"/>
      <c r="R271" s="21"/>
      <c r="S271" s="21">
        <f t="shared" si="18"/>
        <v>28.2</v>
      </c>
      <c r="T271" s="95">
        <f t="shared" si="14"/>
        <v>987</v>
      </c>
      <c r="U271" s="11">
        <f t="shared" si="16"/>
        <v>0</v>
      </c>
      <c r="V271" s="11">
        <f t="shared" si="17"/>
        <v>0</v>
      </c>
      <c r="W271" s="96">
        <f t="shared" si="15"/>
        <v>894.59163346613559</v>
      </c>
      <c r="X271" s="12">
        <f>V271/[1]Manure!$I$2</f>
        <v>0</v>
      </c>
      <c r="Y271" s="12">
        <f>W271/[1]Manure!$I$2</f>
        <v>637.99701685190496</v>
      </c>
      <c r="Z271" s="12"/>
      <c r="AA271" s="12"/>
    </row>
    <row r="272" spans="1:29" ht="15.75" thickBot="1" x14ac:dyDescent="0.3">
      <c r="A272" s="13">
        <v>45630</v>
      </c>
      <c r="B272" s="7">
        <v>0.41666666666666669</v>
      </c>
      <c r="C272" s="6"/>
      <c r="D272" s="6"/>
      <c r="E272" s="6" t="s">
        <v>60</v>
      </c>
      <c r="F272" s="82">
        <v>20</v>
      </c>
      <c r="G272" s="6">
        <v>181364</v>
      </c>
      <c r="H272" s="6">
        <v>26.8</v>
      </c>
      <c r="I272" s="6">
        <v>20.3</v>
      </c>
      <c r="J272" s="21"/>
      <c r="K272" s="21"/>
      <c r="L272" s="21"/>
      <c r="M272" s="21"/>
      <c r="N272" s="21"/>
      <c r="O272" s="21"/>
      <c r="P272" s="21"/>
      <c r="Q272" s="21"/>
      <c r="R272" s="21"/>
      <c r="S272" s="21">
        <f t="shared" si="18"/>
        <v>26.8</v>
      </c>
      <c r="T272" s="95">
        <f t="shared" si="14"/>
        <v>936</v>
      </c>
      <c r="U272" s="11">
        <f t="shared" si="16"/>
        <v>0</v>
      </c>
      <c r="V272" s="11">
        <f t="shared" si="17"/>
        <v>0</v>
      </c>
      <c r="W272" s="96">
        <f t="shared" si="15"/>
        <v>852.32821881254165</v>
      </c>
      <c r="X272" s="12">
        <f>V272/[1]Manure!$I$2</f>
        <v>0</v>
      </c>
      <c r="Y272" s="12">
        <f>W272/[1]Manure!$I$2</f>
        <v>607.85596537963147</v>
      </c>
      <c r="Z272" s="12"/>
      <c r="AA272" s="12"/>
    </row>
    <row r="273" spans="1:27" ht="15.75" thickBot="1" x14ac:dyDescent="0.3">
      <c r="A273" s="13">
        <v>45631</v>
      </c>
      <c r="B273" s="7">
        <v>0.41666666666666669</v>
      </c>
      <c r="C273" s="6"/>
      <c r="D273" s="6"/>
      <c r="E273" s="6" t="s">
        <v>60</v>
      </c>
      <c r="F273" s="82">
        <v>20</v>
      </c>
      <c r="G273" s="6">
        <v>182256</v>
      </c>
      <c r="H273" s="6">
        <v>21.8</v>
      </c>
      <c r="I273" s="6">
        <v>20.9</v>
      </c>
      <c r="J273" s="21"/>
      <c r="K273" s="21"/>
      <c r="L273" s="21"/>
      <c r="M273" s="21"/>
      <c r="N273" s="21"/>
      <c r="O273" s="21"/>
      <c r="P273" s="21"/>
      <c r="Q273" s="21"/>
      <c r="R273" s="21"/>
      <c r="S273" s="21">
        <f t="shared" si="18"/>
        <v>21.8</v>
      </c>
      <c r="T273" s="95">
        <f t="shared" si="14"/>
        <v>892</v>
      </c>
      <c r="U273" s="11">
        <f t="shared" si="16"/>
        <v>0</v>
      </c>
      <c r="V273" s="11">
        <f t="shared" si="17"/>
        <v>0</v>
      </c>
      <c r="W273" s="96">
        <f t="shared" si="15"/>
        <v>826.03799185888738</v>
      </c>
      <c r="X273" s="12">
        <f>V273/[1]Manure!$I$2</f>
        <v>0</v>
      </c>
      <c r="Y273" s="12">
        <f>W273/[1]Manure!$I$2</f>
        <v>589.10653184893442</v>
      </c>
      <c r="Z273" s="12"/>
      <c r="AA273" s="12"/>
    </row>
    <row r="274" spans="1:27" ht="15.75" thickBot="1" x14ac:dyDescent="0.3">
      <c r="A274" s="13">
        <v>45632</v>
      </c>
      <c r="B274" s="7">
        <v>0.41666666666666669</v>
      </c>
      <c r="C274" s="6"/>
      <c r="D274" s="6"/>
      <c r="E274" s="6" t="s">
        <v>60</v>
      </c>
      <c r="F274" s="82">
        <v>20</v>
      </c>
      <c r="G274" s="6">
        <v>183144</v>
      </c>
      <c r="H274" s="6">
        <v>28.7</v>
      </c>
      <c r="I274" s="6">
        <v>21.6</v>
      </c>
      <c r="J274" s="21"/>
      <c r="K274" s="21"/>
      <c r="L274" s="21"/>
      <c r="M274" s="21"/>
      <c r="N274" s="21"/>
      <c r="O274" s="21"/>
      <c r="P274" s="21"/>
      <c r="Q274" s="21"/>
      <c r="R274" s="21"/>
      <c r="S274" s="21">
        <f t="shared" si="18"/>
        <v>28.7</v>
      </c>
      <c r="T274" s="95">
        <f t="shared" si="14"/>
        <v>888</v>
      </c>
      <c r="U274" s="11">
        <f t="shared" si="16"/>
        <v>0</v>
      </c>
      <c r="V274" s="11">
        <f t="shared" si="17"/>
        <v>0</v>
      </c>
      <c r="W274" s="96">
        <f t="shared" si="15"/>
        <v>803.52668213457082</v>
      </c>
      <c r="X274" s="12">
        <f>V274/[1]Manure!$I$2</f>
        <v>0</v>
      </c>
      <c r="Y274" s="12">
        <f>W274/[1]Manure!$I$2</f>
        <v>573.05211337209664</v>
      </c>
      <c r="Z274" s="12"/>
      <c r="AA274" s="12"/>
    </row>
    <row r="275" spans="1:27" ht="15.75" thickBot="1" x14ac:dyDescent="0.3">
      <c r="A275" s="13">
        <v>45633</v>
      </c>
      <c r="B275" s="7">
        <v>0.41666666666666669</v>
      </c>
      <c r="C275" s="6"/>
      <c r="D275" s="6"/>
      <c r="E275" s="6" t="s">
        <v>60</v>
      </c>
      <c r="F275" s="82">
        <v>20</v>
      </c>
      <c r="G275" s="6">
        <v>184301</v>
      </c>
      <c r="H275" s="6">
        <v>27.8</v>
      </c>
      <c r="I275" s="6">
        <v>20.399999999999999</v>
      </c>
      <c r="J275" s="21"/>
      <c r="K275" s="21"/>
      <c r="L275" s="21"/>
      <c r="M275" s="21"/>
      <c r="N275" s="21"/>
      <c r="O275" s="21"/>
      <c r="P275" s="21"/>
      <c r="Q275" s="21"/>
      <c r="R275" s="21"/>
      <c r="S275" s="21">
        <f t="shared" si="18"/>
        <v>27.8</v>
      </c>
      <c r="T275" s="95">
        <f t="shared" ref="T275:T307" si="19">G275-G274</f>
        <v>1157</v>
      </c>
      <c r="U275" s="11">
        <f t="shared" si="16"/>
        <v>0</v>
      </c>
      <c r="V275" s="11">
        <f t="shared" si="17"/>
        <v>0</v>
      </c>
      <c r="W275" s="96">
        <f t="shared" si="15"/>
        <v>1050.0698138297871</v>
      </c>
      <c r="X275" s="12">
        <f>V275/[1]Manure!$I$2</f>
        <v>0</v>
      </c>
      <c r="Y275" s="12">
        <f>W275/[1]Manure!$I$2</f>
        <v>748.87958219989298</v>
      </c>
      <c r="Z275" s="12"/>
      <c r="AA275" s="12"/>
    </row>
    <row r="276" spans="1:27" ht="15.75" thickBot="1" x14ac:dyDescent="0.3">
      <c r="A276" s="13">
        <v>45635</v>
      </c>
      <c r="B276" s="7">
        <v>0.41666666666666669</v>
      </c>
      <c r="C276" s="6"/>
      <c r="D276" s="6"/>
      <c r="E276" s="6" t="s">
        <v>60</v>
      </c>
      <c r="F276" s="82">
        <v>20</v>
      </c>
      <c r="G276" s="6">
        <v>186514</v>
      </c>
      <c r="H276" s="6">
        <v>25.7</v>
      </c>
      <c r="I276" s="6">
        <v>21</v>
      </c>
      <c r="J276" s="21"/>
      <c r="K276" s="21"/>
      <c r="L276" s="21"/>
      <c r="M276" s="21"/>
      <c r="N276" s="21"/>
      <c r="O276" s="21"/>
      <c r="P276" s="21"/>
      <c r="Q276" s="21"/>
      <c r="R276" s="21"/>
      <c r="S276" s="21">
        <f t="shared" si="18"/>
        <v>25.7</v>
      </c>
      <c r="T276" s="95">
        <f t="shared" si="19"/>
        <v>2213</v>
      </c>
      <c r="U276" s="11">
        <f t="shared" si="16"/>
        <v>0</v>
      </c>
      <c r="V276" s="11">
        <f t="shared" si="17"/>
        <v>0</v>
      </c>
      <c r="W276" s="96">
        <f t="shared" si="15"/>
        <v>2022.5945764981586</v>
      </c>
      <c r="X276" s="12">
        <f>V276/[1]Manure!$I$2</f>
        <v>0</v>
      </c>
      <c r="Y276" s="12">
        <f>W276/[1]Manure!$I$2</f>
        <v>1442.4562647729201</v>
      </c>
      <c r="Z276" s="12"/>
      <c r="AA276" s="12"/>
    </row>
    <row r="277" spans="1:27" ht="15.75" thickBot="1" x14ac:dyDescent="0.3">
      <c r="A277" s="13">
        <v>45636</v>
      </c>
      <c r="B277" s="7">
        <v>0.41666666666666669</v>
      </c>
      <c r="C277" s="6"/>
      <c r="D277" s="6"/>
      <c r="E277" s="6" t="s">
        <v>60</v>
      </c>
      <c r="F277" s="82">
        <v>20</v>
      </c>
      <c r="G277" s="6">
        <v>187559</v>
      </c>
      <c r="H277" s="6">
        <v>27.1</v>
      </c>
      <c r="I277" s="6">
        <v>21.2</v>
      </c>
      <c r="J277" s="21"/>
      <c r="K277" s="21"/>
      <c r="L277" s="21"/>
      <c r="M277" s="21"/>
      <c r="N277" s="21"/>
      <c r="O277" s="21"/>
      <c r="P277" s="21"/>
      <c r="Q277" s="21"/>
      <c r="R277" s="21"/>
      <c r="S277" s="21">
        <f t="shared" si="18"/>
        <v>27.1</v>
      </c>
      <c r="T277" s="95">
        <f t="shared" si="19"/>
        <v>1045</v>
      </c>
      <c r="U277" s="11">
        <f t="shared" si="16"/>
        <v>0</v>
      </c>
      <c r="V277" s="11">
        <f t="shared" si="17"/>
        <v>0</v>
      </c>
      <c r="W277" s="96">
        <f t="shared" si="15"/>
        <v>950.63312229256906</v>
      </c>
      <c r="X277" s="12">
        <f>V277/[1]Manure!$I$2</f>
        <v>0</v>
      </c>
      <c r="Y277" s="12">
        <f>W277/[1]Manure!$I$2</f>
        <v>677.96419444853893</v>
      </c>
      <c r="Z277" s="12"/>
      <c r="AA277" s="12"/>
    </row>
    <row r="278" spans="1:27" ht="15.75" thickBot="1" x14ac:dyDescent="0.3">
      <c r="A278" s="13">
        <v>45637</v>
      </c>
      <c r="B278" s="33">
        <v>0.41666666666666669</v>
      </c>
      <c r="C278" s="6"/>
      <c r="D278" s="6"/>
      <c r="E278" s="6" t="s">
        <v>60</v>
      </c>
      <c r="F278" s="82">
        <v>20</v>
      </c>
      <c r="G278" s="6">
        <v>188608</v>
      </c>
      <c r="H278" s="6">
        <v>26.6</v>
      </c>
      <c r="I278" s="6">
        <v>20.3</v>
      </c>
      <c r="J278" s="21"/>
      <c r="K278" s="21"/>
      <c r="L278" s="21"/>
      <c r="M278" s="21"/>
      <c r="N278" s="21"/>
      <c r="O278" s="21"/>
      <c r="P278" s="21"/>
      <c r="Q278" s="21"/>
      <c r="R278" s="21"/>
      <c r="S278" s="21">
        <f t="shared" si="18"/>
        <v>26.6</v>
      </c>
      <c r="T278" s="95">
        <f t="shared" si="19"/>
        <v>1049</v>
      </c>
      <c r="U278" s="11">
        <f t="shared" si="16"/>
        <v>0</v>
      </c>
      <c r="V278" s="11">
        <f t="shared" si="17"/>
        <v>0</v>
      </c>
      <c r="W278" s="96">
        <f t="shared" si="15"/>
        <v>955.86448598130835</v>
      </c>
      <c r="X278" s="12">
        <f>V278/[1]Manure!$I$2</f>
        <v>0</v>
      </c>
      <c r="Y278" s="12">
        <f>W278/[1]Manure!$I$2</f>
        <v>681.69505253241277</v>
      </c>
      <c r="Z278" s="12"/>
      <c r="AA278" s="12"/>
    </row>
    <row r="279" spans="1:27" ht="15.75" thickBot="1" x14ac:dyDescent="0.3">
      <c r="A279" s="13">
        <v>45638</v>
      </c>
      <c r="B279" s="33">
        <v>0.41666666666666669</v>
      </c>
      <c r="C279" s="6"/>
      <c r="D279" s="6"/>
      <c r="E279" s="6" t="s">
        <v>60</v>
      </c>
      <c r="F279" s="82">
        <v>20</v>
      </c>
      <c r="G279" s="6">
        <v>189782</v>
      </c>
      <c r="H279" s="6">
        <v>27.2</v>
      </c>
      <c r="I279" s="6">
        <v>20</v>
      </c>
      <c r="J279" s="21"/>
      <c r="K279" s="21"/>
      <c r="L279" s="21"/>
      <c r="M279" s="21"/>
      <c r="N279" s="21"/>
      <c r="O279" s="21"/>
      <c r="P279" s="21"/>
      <c r="Q279" s="21"/>
      <c r="R279" s="21"/>
      <c r="S279" s="21">
        <f t="shared" si="18"/>
        <v>27.2</v>
      </c>
      <c r="T279" s="95">
        <f t="shared" si="19"/>
        <v>1174</v>
      </c>
      <c r="U279" s="11">
        <f t="shared" si="16"/>
        <v>0</v>
      </c>
      <c r="V279" s="11">
        <f t="shared" si="17"/>
        <v>0</v>
      </c>
      <c r="W279" s="96">
        <f t="shared" si="15"/>
        <v>1067.6282478347769</v>
      </c>
      <c r="X279" s="12">
        <f>V279/[1]Manure!$I$2</f>
        <v>0</v>
      </c>
      <c r="Y279" s="12">
        <f>W279/[1]Manure!$I$2</f>
        <v>761.40175220093681</v>
      </c>
      <c r="Z279" s="12"/>
      <c r="AA279" s="12"/>
    </row>
    <row r="280" spans="1:27" ht="15.75" thickBot="1" x14ac:dyDescent="0.3">
      <c r="A280" s="13">
        <v>45639</v>
      </c>
      <c r="B280" s="33">
        <v>0.41666666666666669</v>
      </c>
      <c r="C280" s="6"/>
      <c r="D280" s="6"/>
      <c r="E280" s="6" t="s">
        <v>60</v>
      </c>
      <c r="F280" s="82">
        <v>20</v>
      </c>
      <c r="G280" s="6">
        <v>190684</v>
      </c>
      <c r="H280" s="6">
        <v>26.6</v>
      </c>
      <c r="I280" s="6">
        <v>20.5</v>
      </c>
      <c r="J280" s="21"/>
      <c r="K280" s="21"/>
      <c r="L280" s="21"/>
      <c r="M280" s="21"/>
      <c r="N280" s="21"/>
      <c r="O280" s="21"/>
      <c r="P280" s="21"/>
      <c r="Q280" s="21"/>
      <c r="R280" s="21"/>
      <c r="S280" s="21">
        <f t="shared" si="18"/>
        <v>26.6</v>
      </c>
      <c r="T280" s="95">
        <f t="shared" si="19"/>
        <v>902</v>
      </c>
      <c r="U280" s="11">
        <f t="shared" si="16"/>
        <v>0</v>
      </c>
      <c r="V280" s="11">
        <f t="shared" si="17"/>
        <v>0</v>
      </c>
      <c r="W280" s="96">
        <f t="shared" ref="W280:W307" si="20">T280*(273/(273+S280))</f>
        <v>821.91588785046724</v>
      </c>
      <c r="X280" s="12">
        <f>V280/[1]Manure!$I$2</f>
        <v>0</v>
      </c>
      <c r="Y280" s="12">
        <f>W280/[1]Manure!$I$2</f>
        <v>586.16676585723201</v>
      </c>
      <c r="Z280" s="12"/>
      <c r="AA280" s="12"/>
    </row>
    <row r="281" spans="1:27" ht="15.75" thickBot="1" x14ac:dyDescent="0.3">
      <c r="A281" s="13">
        <v>45640</v>
      </c>
      <c r="B281" s="33">
        <v>0.41666666666666669</v>
      </c>
      <c r="C281" s="6"/>
      <c r="D281" s="6"/>
      <c r="E281" s="6" t="s">
        <v>60</v>
      </c>
      <c r="F281" s="82">
        <v>20</v>
      </c>
      <c r="G281" s="6">
        <v>191808</v>
      </c>
      <c r="H281" s="6">
        <v>24.4</v>
      </c>
      <c r="I281" s="6">
        <v>20.3</v>
      </c>
      <c r="J281" s="21"/>
      <c r="K281" s="21"/>
      <c r="L281" s="21"/>
      <c r="M281" s="21"/>
      <c r="N281" s="21"/>
      <c r="O281" s="21"/>
      <c r="P281" s="21"/>
      <c r="Q281" s="21"/>
      <c r="R281" s="21"/>
      <c r="S281" s="21">
        <f t="shared" si="18"/>
        <v>24.4</v>
      </c>
      <c r="T281" s="95">
        <f t="shared" si="19"/>
        <v>1124</v>
      </c>
      <c r="U281" s="11">
        <f t="shared" si="16"/>
        <v>0</v>
      </c>
      <c r="V281" s="11">
        <f t="shared" si="17"/>
        <v>0</v>
      </c>
      <c r="W281" s="96">
        <f t="shared" si="20"/>
        <v>1031.7821116341629</v>
      </c>
      <c r="X281" s="12">
        <f>V281/[1]Manure!$I$2</f>
        <v>0</v>
      </c>
      <c r="Y281" s="12">
        <f>W281/[1]Manure!$I$2</f>
        <v>735.83731910530298</v>
      </c>
      <c r="Z281" s="12"/>
      <c r="AA281" s="12"/>
    </row>
    <row r="282" spans="1:27" ht="15.75" thickBot="1" x14ac:dyDescent="0.3">
      <c r="A282" s="13">
        <v>45642</v>
      </c>
      <c r="B282" s="7">
        <v>0.41666666666666669</v>
      </c>
      <c r="C282" s="6"/>
      <c r="D282" s="6"/>
      <c r="E282" s="6" t="s">
        <v>60</v>
      </c>
      <c r="F282" s="82">
        <v>20</v>
      </c>
      <c r="G282" s="6">
        <v>194269</v>
      </c>
      <c r="H282" s="6">
        <v>23.9</v>
      </c>
      <c r="I282" s="6">
        <v>20.8</v>
      </c>
      <c r="J282" s="21"/>
      <c r="K282" s="21"/>
      <c r="L282" s="21"/>
      <c r="M282" s="21"/>
      <c r="N282" s="21"/>
      <c r="O282" s="21"/>
      <c r="P282" s="21"/>
      <c r="Q282" s="21"/>
      <c r="R282" s="21"/>
      <c r="S282" s="21">
        <f t="shared" si="18"/>
        <v>23.9</v>
      </c>
      <c r="T282" s="95">
        <f t="shared" si="19"/>
        <v>2461</v>
      </c>
      <c r="U282" s="11">
        <f t="shared" si="16"/>
        <v>0</v>
      </c>
      <c r="V282" s="11">
        <f t="shared" si="17"/>
        <v>0</v>
      </c>
      <c r="W282" s="96">
        <f t="shared" si="20"/>
        <v>2262.8932300437859</v>
      </c>
      <c r="X282" s="12">
        <f>V282/[1]Manure!$I$2</f>
        <v>0</v>
      </c>
      <c r="Y282" s="12">
        <f>W282/[1]Manure!$I$2</f>
        <v>1613.830351429235</v>
      </c>
      <c r="Z282" s="12"/>
      <c r="AA282" s="12"/>
    </row>
    <row r="283" spans="1:27" ht="15.75" thickBot="1" x14ac:dyDescent="0.3">
      <c r="A283" s="13">
        <v>45643</v>
      </c>
      <c r="B283" s="7">
        <v>0.41666666666666669</v>
      </c>
      <c r="C283" s="6"/>
      <c r="D283" s="6"/>
      <c r="E283" s="6" t="s">
        <v>60</v>
      </c>
      <c r="F283" s="82">
        <v>20</v>
      </c>
      <c r="G283" s="6">
        <v>195613</v>
      </c>
      <c r="H283" s="6">
        <v>28</v>
      </c>
      <c r="I283" s="6">
        <v>20</v>
      </c>
      <c r="J283" s="21"/>
      <c r="K283" s="21"/>
      <c r="L283" s="21"/>
      <c r="M283" s="21"/>
      <c r="N283" s="21"/>
      <c r="O283" s="21"/>
      <c r="P283" s="21"/>
      <c r="Q283" s="21"/>
      <c r="R283" s="21"/>
      <c r="S283" s="21">
        <f t="shared" si="18"/>
        <v>28</v>
      </c>
      <c r="T283" s="95">
        <f t="shared" si="19"/>
        <v>1344</v>
      </c>
      <c r="U283" s="11">
        <f t="shared" si="16"/>
        <v>0</v>
      </c>
      <c r="V283" s="11">
        <f t="shared" si="17"/>
        <v>0</v>
      </c>
      <c r="W283" s="96">
        <f t="shared" si="20"/>
        <v>1218.9767441860465</v>
      </c>
      <c r="X283" s="12">
        <f>V283/[1]Manure!$I$2</f>
        <v>0</v>
      </c>
      <c r="Y283" s="12">
        <f>W283/[1]Manure!$I$2</f>
        <v>869.33914571646278</v>
      </c>
      <c r="Z283" s="12"/>
      <c r="AA283" s="12"/>
    </row>
    <row r="284" spans="1:27" ht="15.75" thickBot="1" x14ac:dyDescent="0.3">
      <c r="A284" s="13">
        <v>45644</v>
      </c>
      <c r="B284" s="7">
        <v>0.41666666666666669</v>
      </c>
      <c r="C284" s="6"/>
      <c r="D284" s="6"/>
      <c r="E284" s="6" t="s">
        <v>60</v>
      </c>
      <c r="F284" s="82">
        <v>20</v>
      </c>
      <c r="G284" s="6">
        <v>196275</v>
      </c>
      <c r="H284" s="6">
        <v>21.1</v>
      </c>
      <c r="I284" s="6">
        <v>21</v>
      </c>
      <c r="J284" s="21"/>
      <c r="K284" s="21"/>
      <c r="L284" s="21"/>
      <c r="M284" s="21"/>
      <c r="N284" s="21"/>
      <c r="O284" s="21"/>
      <c r="P284" s="21"/>
      <c r="Q284" s="21"/>
      <c r="R284" s="21"/>
      <c r="S284" s="21">
        <f t="shared" si="18"/>
        <v>21.1</v>
      </c>
      <c r="T284" s="95">
        <f t="shared" si="19"/>
        <v>662</v>
      </c>
      <c r="U284" s="11">
        <f t="shared" si="16"/>
        <v>0</v>
      </c>
      <c r="V284" s="11">
        <f t="shared" si="17"/>
        <v>0</v>
      </c>
      <c r="W284" s="96">
        <f t="shared" si="20"/>
        <v>614.50527031621891</v>
      </c>
      <c r="X284" s="12">
        <f>V284/[1]Manure!$I$2</f>
        <v>0</v>
      </c>
      <c r="Y284" s="12">
        <f>W284/[1]Manure!$I$2</f>
        <v>438.24748034194766</v>
      </c>
      <c r="Z284" s="12"/>
      <c r="AA284" s="12"/>
    </row>
    <row r="285" spans="1:27" ht="15.75" thickBot="1" x14ac:dyDescent="0.3">
      <c r="A285" s="13">
        <v>45645</v>
      </c>
      <c r="B285" s="7">
        <v>0.41666666666666669</v>
      </c>
      <c r="C285" s="6"/>
      <c r="D285" s="6"/>
      <c r="E285" s="6" t="s">
        <v>60</v>
      </c>
      <c r="F285" s="82">
        <v>20</v>
      </c>
      <c r="G285" s="6">
        <v>198263</v>
      </c>
      <c r="H285" s="6">
        <v>27.7</v>
      </c>
      <c r="I285" s="6">
        <v>19.8</v>
      </c>
      <c r="J285" s="21"/>
      <c r="K285" s="21"/>
      <c r="L285" s="21"/>
      <c r="M285" s="21"/>
      <c r="N285" s="21"/>
      <c r="O285" s="21"/>
      <c r="P285" s="21"/>
      <c r="Q285" s="21"/>
      <c r="R285" s="21"/>
      <c r="S285" s="21">
        <f t="shared" si="18"/>
        <v>27.7</v>
      </c>
      <c r="T285" s="95">
        <f t="shared" si="19"/>
        <v>1988</v>
      </c>
      <c r="U285" s="11">
        <f t="shared" si="16"/>
        <v>0</v>
      </c>
      <c r="V285" s="11">
        <f t="shared" si="17"/>
        <v>0</v>
      </c>
      <c r="W285" s="96">
        <f t="shared" si="20"/>
        <v>1804.8686398403725</v>
      </c>
      <c r="X285" s="12">
        <f>V285/[1]Manure!$I$2</f>
        <v>0</v>
      </c>
      <c r="Y285" s="12">
        <f>W285/[1]Manure!$I$2</f>
        <v>1287.1803904158717</v>
      </c>
      <c r="Z285" s="12"/>
      <c r="AA285" s="12"/>
    </row>
    <row r="286" spans="1:27" ht="15.75" thickBot="1" x14ac:dyDescent="0.3">
      <c r="A286" s="13">
        <v>45646</v>
      </c>
      <c r="B286" s="7">
        <v>0.41666666666666669</v>
      </c>
      <c r="C286" s="6"/>
      <c r="D286" s="6"/>
      <c r="E286" s="6" t="s">
        <v>60</v>
      </c>
      <c r="F286" s="82">
        <v>20</v>
      </c>
      <c r="G286" s="6">
        <v>199202</v>
      </c>
      <c r="H286" s="6">
        <v>27</v>
      </c>
      <c r="I286" s="6">
        <v>20.399999999999999</v>
      </c>
      <c r="J286" s="21"/>
      <c r="K286" s="21"/>
      <c r="L286" s="21"/>
      <c r="M286" s="21"/>
      <c r="N286" s="21"/>
      <c r="O286" s="21"/>
      <c r="P286" s="21"/>
      <c r="Q286" s="21"/>
      <c r="R286" s="21"/>
      <c r="S286" s="21">
        <f t="shared" si="18"/>
        <v>27</v>
      </c>
      <c r="T286" s="95">
        <f t="shared" si="19"/>
        <v>939</v>
      </c>
      <c r="U286" s="11">
        <f t="shared" si="16"/>
        <v>0</v>
      </c>
      <c r="V286" s="11">
        <f t="shared" si="17"/>
        <v>0</v>
      </c>
      <c r="W286" s="96">
        <f t="shared" si="20"/>
        <v>854.49</v>
      </c>
      <c r="X286" s="12">
        <f>V286/[1]Manure!$I$2</f>
        <v>0</v>
      </c>
      <c r="Y286" s="12">
        <f>W286/[1]Manure!$I$2</f>
        <v>609.39768553113925</v>
      </c>
      <c r="Z286" s="12"/>
      <c r="AA286" s="12"/>
    </row>
    <row r="287" spans="1:27" ht="15.75" thickBot="1" x14ac:dyDescent="0.3">
      <c r="A287" s="13">
        <v>45647</v>
      </c>
      <c r="B287" s="7">
        <v>0.41666666666666669</v>
      </c>
      <c r="C287" s="6"/>
      <c r="D287" s="6"/>
      <c r="E287" s="6" t="s">
        <v>60</v>
      </c>
      <c r="F287" s="82">
        <v>20</v>
      </c>
      <c r="G287" s="6">
        <v>200424</v>
      </c>
      <c r="H287" s="6">
        <v>23.9</v>
      </c>
      <c r="I287" s="6">
        <v>22.6</v>
      </c>
      <c r="J287" s="21"/>
      <c r="K287" s="21"/>
      <c r="L287" s="21"/>
      <c r="M287" s="21"/>
      <c r="N287" s="21"/>
      <c r="O287" s="21"/>
      <c r="P287" s="21"/>
      <c r="Q287" s="21"/>
      <c r="R287" s="21"/>
      <c r="S287" s="21">
        <f t="shared" si="18"/>
        <v>23.9</v>
      </c>
      <c r="T287" s="95">
        <f t="shared" si="19"/>
        <v>1222</v>
      </c>
      <c r="U287" s="11">
        <f t="shared" si="16"/>
        <v>0</v>
      </c>
      <c r="V287" s="11">
        <f t="shared" si="17"/>
        <v>0</v>
      </c>
      <c r="W287" s="96">
        <f t="shared" si="20"/>
        <v>1123.6308521387673</v>
      </c>
      <c r="X287" s="12">
        <f>V287/[1]Manure!$I$2</f>
        <v>0</v>
      </c>
      <c r="Y287" s="12">
        <f>W287/[1]Manure!$I$2</f>
        <v>801.34119847481713</v>
      </c>
      <c r="Z287" s="12"/>
      <c r="AA287" s="12"/>
    </row>
    <row r="288" spans="1:27" ht="15.75" thickBot="1" x14ac:dyDescent="0.3">
      <c r="A288" s="13">
        <v>45649</v>
      </c>
      <c r="B288" s="7">
        <v>0.41666666666666669</v>
      </c>
      <c r="C288" s="6"/>
      <c r="D288" s="6"/>
      <c r="E288" s="6" t="s">
        <v>60</v>
      </c>
      <c r="F288" s="82">
        <v>20</v>
      </c>
      <c r="G288" s="6">
        <v>202362</v>
      </c>
      <c r="H288" s="6">
        <v>23.4</v>
      </c>
      <c r="I288" s="6">
        <v>20.9</v>
      </c>
      <c r="J288" s="21"/>
      <c r="K288" s="21"/>
      <c r="L288" s="21"/>
      <c r="M288" s="21"/>
      <c r="N288" s="21"/>
      <c r="O288" s="21"/>
      <c r="P288" s="21"/>
      <c r="Q288" s="21"/>
      <c r="R288" s="21"/>
      <c r="S288" s="21">
        <f t="shared" si="18"/>
        <v>23.4</v>
      </c>
      <c r="T288" s="95">
        <f t="shared" si="19"/>
        <v>1938</v>
      </c>
      <c r="U288" s="11">
        <f t="shared" si="16"/>
        <v>0</v>
      </c>
      <c r="V288" s="11">
        <f t="shared" si="17"/>
        <v>0</v>
      </c>
      <c r="W288" s="96">
        <f t="shared" si="20"/>
        <v>1785.0000000000002</v>
      </c>
      <c r="X288" s="12">
        <f>V288/[1]Manure!$I$2</f>
        <v>0</v>
      </c>
      <c r="Y288" s="12">
        <f>W288/[1]Manure!$I$2</f>
        <v>1273.0106480743877</v>
      </c>
      <c r="Z288" s="12"/>
      <c r="AA288" s="12"/>
    </row>
    <row r="289" spans="1:27" ht="15.75" thickBot="1" x14ac:dyDescent="0.3">
      <c r="A289" s="13">
        <v>45650</v>
      </c>
      <c r="B289" s="7">
        <v>0.41666666666666669</v>
      </c>
      <c r="C289" s="6"/>
      <c r="D289" s="6"/>
      <c r="E289" s="6" t="s">
        <v>60</v>
      </c>
      <c r="F289" s="82">
        <v>20</v>
      </c>
      <c r="G289" s="6">
        <v>203448</v>
      </c>
      <c r="H289" s="6">
        <v>24.1</v>
      </c>
      <c r="I289" s="6">
        <v>19.8</v>
      </c>
      <c r="J289" s="21"/>
      <c r="K289" s="21"/>
      <c r="L289" s="21"/>
      <c r="M289" s="21"/>
      <c r="N289" s="21"/>
      <c r="O289" s="21"/>
      <c r="P289" s="21"/>
      <c r="Q289" s="21"/>
      <c r="R289" s="21"/>
      <c r="S289" s="84">
        <f t="shared" si="18"/>
        <v>24.1</v>
      </c>
      <c r="T289" s="95">
        <f t="shared" si="19"/>
        <v>1086</v>
      </c>
      <c r="U289" s="11">
        <f t="shared" ref="U289:U307" si="21">T289*(P289/100)</f>
        <v>0</v>
      </c>
      <c r="V289" s="11">
        <f t="shared" ref="V289:V307" si="22">U289*(273/(273+S289))</f>
        <v>0</v>
      </c>
      <c r="W289" s="96">
        <f t="shared" si="20"/>
        <v>997.90642881184783</v>
      </c>
      <c r="X289" s="12">
        <f>V289/[1]Manure!$I$2</f>
        <v>0</v>
      </c>
      <c r="Y289" s="12">
        <f>W289/[1]Manure!$I$2</f>
        <v>711.67815667191496</v>
      </c>
      <c r="Z289" s="12"/>
      <c r="AA289" s="12"/>
    </row>
    <row r="290" spans="1:27" ht="15.75" thickBot="1" x14ac:dyDescent="0.3">
      <c r="A290" s="13">
        <v>45651</v>
      </c>
      <c r="B290" s="7">
        <v>0.41666666666666669</v>
      </c>
      <c r="C290" s="6"/>
      <c r="D290" s="6"/>
      <c r="E290" s="6" t="s">
        <v>60</v>
      </c>
      <c r="F290" s="82">
        <v>20</v>
      </c>
      <c r="G290" s="6">
        <v>204470</v>
      </c>
      <c r="H290" s="6">
        <v>23.9</v>
      </c>
      <c r="I290" s="6">
        <v>20.399999999999999</v>
      </c>
      <c r="J290" s="21"/>
      <c r="K290" s="21"/>
      <c r="L290" s="21"/>
      <c r="M290" s="21"/>
      <c r="N290" s="21"/>
      <c r="O290" s="21"/>
      <c r="P290" s="21"/>
      <c r="Q290" s="21"/>
      <c r="R290" s="21"/>
      <c r="S290" s="84">
        <f t="shared" si="18"/>
        <v>23.9</v>
      </c>
      <c r="T290" s="95">
        <f t="shared" si="19"/>
        <v>1022</v>
      </c>
      <c r="U290" s="11">
        <f t="shared" si="21"/>
        <v>0</v>
      </c>
      <c r="V290" s="11">
        <f t="shared" si="22"/>
        <v>0</v>
      </c>
      <c r="W290" s="96">
        <f t="shared" si="20"/>
        <v>939.73054900639943</v>
      </c>
      <c r="X290" s="12">
        <f>V290/[1]Manure!$I$2</f>
        <v>0</v>
      </c>
      <c r="Y290" s="12">
        <f>W290/[1]Manure!$I$2</f>
        <v>670.18879283245747</v>
      </c>
      <c r="Z290" s="12"/>
      <c r="AA290" s="12"/>
    </row>
    <row r="291" spans="1:27" ht="15.75" thickBot="1" x14ac:dyDescent="0.3">
      <c r="A291" s="13">
        <v>45652</v>
      </c>
      <c r="B291" s="7">
        <v>0.41666666666666669</v>
      </c>
      <c r="C291" s="6"/>
      <c r="D291" s="6"/>
      <c r="E291" s="6" t="s">
        <v>60</v>
      </c>
      <c r="F291" s="82">
        <v>20</v>
      </c>
      <c r="G291" s="6">
        <v>205426</v>
      </c>
      <c r="H291" s="6">
        <v>22</v>
      </c>
      <c r="I291" s="6">
        <v>19.100000000000001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84">
        <f t="shared" si="18"/>
        <v>22</v>
      </c>
      <c r="T291" s="95">
        <f t="shared" si="19"/>
        <v>956</v>
      </c>
      <c r="U291" s="11">
        <f t="shared" si="21"/>
        <v>0</v>
      </c>
      <c r="V291" s="11">
        <f t="shared" si="22"/>
        <v>0</v>
      </c>
      <c r="W291" s="96">
        <f t="shared" si="20"/>
        <v>884.70508474576263</v>
      </c>
      <c r="X291" s="12">
        <f>V291/[1]Manure!$I$2</f>
        <v>0</v>
      </c>
      <c r="Y291" s="12">
        <f>W291/[1]Manure!$I$2</f>
        <v>630.9462147265599</v>
      </c>
      <c r="Z291" s="12"/>
      <c r="AA291" s="12"/>
    </row>
    <row r="292" spans="1:27" ht="15.75" thickBot="1" x14ac:dyDescent="0.3">
      <c r="A292" s="13">
        <v>45653</v>
      </c>
      <c r="B292" s="7">
        <v>0.41666666666666669</v>
      </c>
      <c r="C292" s="6"/>
      <c r="D292" s="6"/>
      <c r="E292" s="6" t="s">
        <v>60</v>
      </c>
      <c r="F292" s="82">
        <v>20</v>
      </c>
      <c r="G292" s="6">
        <v>206380</v>
      </c>
      <c r="H292" s="6">
        <v>25.5</v>
      </c>
      <c r="I292" s="6">
        <v>20.3</v>
      </c>
      <c r="J292" s="21"/>
      <c r="K292" s="21"/>
      <c r="L292" s="21"/>
      <c r="M292" s="21"/>
      <c r="N292" s="21"/>
      <c r="O292" s="21"/>
      <c r="P292" s="21"/>
      <c r="Q292" s="21"/>
      <c r="R292" s="21"/>
      <c r="S292" s="84">
        <f t="shared" si="18"/>
        <v>25.5</v>
      </c>
      <c r="T292" s="95">
        <f t="shared" si="19"/>
        <v>954</v>
      </c>
      <c r="U292" s="11">
        <f t="shared" si="21"/>
        <v>0</v>
      </c>
      <c r="V292" s="11">
        <f t="shared" si="22"/>
        <v>0</v>
      </c>
      <c r="W292" s="96">
        <f t="shared" si="20"/>
        <v>872.50251256281399</v>
      </c>
      <c r="X292" s="12">
        <f>V292/[1]Manure!$I$2</f>
        <v>0</v>
      </c>
      <c r="Y292" s="12">
        <f>W292/[1]Manure!$I$2</f>
        <v>622.24369129642548</v>
      </c>
      <c r="Z292" s="12"/>
      <c r="AA292" s="12"/>
    </row>
    <row r="293" spans="1:27" ht="15.75" thickBot="1" x14ac:dyDescent="0.3">
      <c r="A293" s="13">
        <v>45654</v>
      </c>
      <c r="B293" s="7">
        <v>0.41666666666666669</v>
      </c>
      <c r="C293" s="6"/>
      <c r="D293" s="6"/>
      <c r="E293" s="6" t="s">
        <v>60</v>
      </c>
      <c r="F293" s="82">
        <v>20</v>
      </c>
      <c r="G293" s="6">
        <v>207470</v>
      </c>
      <c r="H293" s="6">
        <v>27.2</v>
      </c>
      <c r="I293" s="6">
        <v>20.9</v>
      </c>
      <c r="J293" s="21"/>
      <c r="K293" s="21"/>
      <c r="L293" s="21"/>
      <c r="M293" s="21"/>
      <c r="N293" s="21"/>
      <c r="O293" s="21"/>
      <c r="P293" s="21"/>
      <c r="Q293" s="21"/>
      <c r="R293" s="21"/>
      <c r="S293" s="84">
        <f t="shared" si="18"/>
        <v>27.2</v>
      </c>
      <c r="T293" s="95">
        <f t="shared" si="19"/>
        <v>1090</v>
      </c>
      <c r="U293" s="11">
        <f t="shared" si="21"/>
        <v>0</v>
      </c>
      <c r="V293" s="11">
        <f t="shared" si="22"/>
        <v>0</v>
      </c>
      <c r="W293" s="96">
        <f t="shared" si="20"/>
        <v>991.23917388407733</v>
      </c>
      <c r="X293" s="12">
        <f>V293/[1]Manure!$I$2</f>
        <v>0</v>
      </c>
      <c r="Y293" s="12">
        <f>W293/[1]Manure!$I$2</f>
        <v>706.92326226492435</v>
      </c>
      <c r="Z293" s="12"/>
      <c r="AA293" s="12"/>
    </row>
    <row r="294" spans="1:27" ht="15.75" thickBot="1" x14ac:dyDescent="0.3">
      <c r="A294" s="13">
        <v>45656</v>
      </c>
      <c r="B294" s="7">
        <v>0.41666666666666669</v>
      </c>
      <c r="C294" s="6"/>
      <c r="D294" s="6"/>
      <c r="E294" s="6" t="s">
        <v>60</v>
      </c>
      <c r="F294" s="82">
        <v>20</v>
      </c>
      <c r="G294" s="6">
        <v>209559</v>
      </c>
      <c r="H294" s="6">
        <v>31.1</v>
      </c>
      <c r="I294" s="6">
        <v>21.2</v>
      </c>
      <c r="J294" s="21"/>
      <c r="K294" s="21"/>
      <c r="L294" s="21"/>
      <c r="M294" s="21"/>
      <c r="N294" s="21"/>
      <c r="O294" s="21"/>
      <c r="P294" s="21"/>
      <c r="Q294" s="21"/>
      <c r="R294" s="21"/>
      <c r="S294" s="84">
        <f t="shared" si="18"/>
        <v>31.1</v>
      </c>
      <c r="T294" s="95">
        <f t="shared" si="19"/>
        <v>2089</v>
      </c>
      <c r="U294" s="11">
        <f t="shared" si="21"/>
        <v>0</v>
      </c>
      <c r="V294" s="11">
        <f t="shared" si="22"/>
        <v>0</v>
      </c>
      <c r="W294" s="96">
        <f t="shared" si="20"/>
        <v>1875.3600789214072</v>
      </c>
      <c r="X294" s="12">
        <f>V294/[1]Manure!$I$2</f>
        <v>0</v>
      </c>
      <c r="Y294" s="12">
        <f>W294/[1]Manure!$I$2</f>
        <v>1337.452856829454</v>
      </c>
      <c r="Z294" s="12"/>
      <c r="AA294" s="12"/>
    </row>
    <row r="295" spans="1:27" ht="15.75" thickBot="1" x14ac:dyDescent="0.3">
      <c r="A295" s="13">
        <v>45657</v>
      </c>
      <c r="B295" s="7">
        <v>0.41666666666666669</v>
      </c>
      <c r="C295" s="6"/>
      <c r="D295" s="6"/>
      <c r="E295" s="6" t="s">
        <v>60</v>
      </c>
      <c r="F295" s="82">
        <v>20</v>
      </c>
      <c r="G295" s="6">
        <v>210481</v>
      </c>
      <c r="H295" s="6">
        <v>28.7</v>
      </c>
      <c r="I295" s="6">
        <v>20.399999999999999</v>
      </c>
      <c r="J295" s="21"/>
      <c r="K295" s="21"/>
      <c r="L295" s="21"/>
      <c r="M295" s="21"/>
      <c r="N295" s="21"/>
      <c r="O295" s="21"/>
      <c r="P295" s="21"/>
      <c r="Q295" s="21"/>
      <c r="R295" s="21"/>
      <c r="S295" s="84">
        <f t="shared" si="18"/>
        <v>28.7</v>
      </c>
      <c r="T295" s="95">
        <f t="shared" si="19"/>
        <v>922</v>
      </c>
      <c r="U295" s="11">
        <f t="shared" si="21"/>
        <v>0</v>
      </c>
      <c r="V295" s="11">
        <f t="shared" si="22"/>
        <v>0</v>
      </c>
      <c r="W295" s="96">
        <f t="shared" si="20"/>
        <v>834.29234338747108</v>
      </c>
      <c r="X295" s="12">
        <f>V295/[1]Manure!$I$2</f>
        <v>0</v>
      </c>
      <c r="Y295" s="12">
        <f>W295/[1]Manure!$I$2</f>
        <v>594.99329789310036</v>
      </c>
      <c r="Z295" s="12"/>
      <c r="AA295" s="12"/>
    </row>
    <row r="296" spans="1:27" ht="15.75" thickBot="1" x14ac:dyDescent="0.3">
      <c r="A296" s="13">
        <v>45658</v>
      </c>
      <c r="B296" s="33">
        <v>0.41666666666666669</v>
      </c>
      <c r="C296" s="6"/>
      <c r="D296" s="6"/>
      <c r="E296" s="6" t="s">
        <v>60</v>
      </c>
      <c r="F296" s="82">
        <v>20</v>
      </c>
      <c r="G296" s="6">
        <v>211514</v>
      </c>
      <c r="H296" s="6">
        <v>28.8</v>
      </c>
      <c r="I296" s="6">
        <v>21</v>
      </c>
      <c r="J296" s="21"/>
      <c r="K296" s="21"/>
      <c r="L296" s="21"/>
      <c r="M296" s="21"/>
      <c r="N296" s="21"/>
      <c r="O296" s="21"/>
      <c r="P296" s="21"/>
      <c r="Q296" s="21"/>
      <c r="R296" s="21"/>
      <c r="S296" s="84">
        <f t="shared" si="18"/>
        <v>28.8</v>
      </c>
      <c r="T296" s="95">
        <f t="shared" si="19"/>
        <v>1033</v>
      </c>
      <c r="U296" s="11">
        <f t="shared" si="21"/>
        <v>0</v>
      </c>
      <c r="V296" s="11">
        <f t="shared" si="22"/>
        <v>0</v>
      </c>
      <c r="W296" s="96">
        <f t="shared" si="20"/>
        <v>934.42345924453275</v>
      </c>
      <c r="X296" s="12">
        <f>V296/[1]Manure!$I$2</f>
        <v>0</v>
      </c>
      <c r="Y296" s="12">
        <f>W296/[1]Manure!$I$2</f>
        <v>666.40392909176126</v>
      </c>
      <c r="Z296" s="12"/>
      <c r="AA296" s="12"/>
    </row>
    <row r="297" spans="1:27" ht="15.75" thickBot="1" x14ac:dyDescent="0.3">
      <c r="A297" s="13">
        <v>45659</v>
      </c>
      <c r="B297" s="7">
        <v>0.41666666666666669</v>
      </c>
      <c r="C297" s="6"/>
      <c r="D297" s="6"/>
      <c r="E297" s="6" t="s">
        <v>60</v>
      </c>
      <c r="F297" s="82">
        <v>20</v>
      </c>
      <c r="G297" s="6">
        <v>212411</v>
      </c>
      <c r="H297" s="6">
        <v>27.2</v>
      </c>
      <c r="I297" s="6">
        <v>20.6</v>
      </c>
      <c r="J297" s="21"/>
      <c r="K297" s="21"/>
      <c r="L297" s="21"/>
      <c r="M297" s="21"/>
      <c r="N297" s="21"/>
      <c r="O297" s="21"/>
      <c r="P297" s="21"/>
      <c r="Q297" s="21"/>
      <c r="R297" s="21"/>
      <c r="S297" s="84">
        <f t="shared" si="18"/>
        <v>27.2</v>
      </c>
      <c r="T297" s="95">
        <f t="shared" si="19"/>
        <v>897</v>
      </c>
      <c r="U297" s="11">
        <f t="shared" si="21"/>
        <v>0</v>
      </c>
      <c r="V297" s="11">
        <f t="shared" si="22"/>
        <v>0</v>
      </c>
      <c r="W297" s="96">
        <f t="shared" si="20"/>
        <v>815.72618254497013</v>
      </c>
      <c r="X297" s="12">
        <f>V297/[1]Manure!$I$2</f>
        <v>0</v>
      </c>
      <c r="Y297" s="12">
        <f>W297/[1]Manure!$I$2</f>
        <v>581.75244610241941</v>
      </c>
      <c r="Z297" s="12"/>
      <c r="AA297" s="12"/>
    </row>
    <row r="298" spans="1:27" ht="15.75" thickBot="1" x14ac:dyDescent="0.3">
      <c r="A298" s="13">
        <v>45660</v>
      </c>
      <c r="B298" s="33">
        <v>0.41666666666666669</v>
      </c>
      <c r="C298" s="6"/>
      <c r="D298" s="6"/>
      <c r="E298" s="6" t="s">
        <v>60</v>
      </c>
      <c r="F298" s="82">
        <v>20</v>
      </c>
      <c r="G298" s="6">
        <v>213568</v>
      </c>
      <c r="H298" s="6">
        <v>26.3</v>
      </c>
      <c r="I298" s="6">
        <v>21.1</v>
      </c>
      <c r="J298" s="21"/>
      <c r="K298" s="21"/>
      <c r="L298" s="21"/>
      <c r="M298" s="21"/>
      <c r="N298" s="21"/>
      <c r="O298" s="21"/>
      <c r="P298" s="21"/>
      <c r="Q298" s="21"/>
      <c r="R298" s="21"/>
      <c r="S298" s="84">
        <f t="shared" si="18"/>
        <v>26.3</v>
      </c>
      <c r="T298" s="95">
        <f t="shared" si="19"/>
        <v>1157</v>
      </c>
      <c r="U298" s="11">
        <f t="shared" si="21"/>
        <v>0</v>
      </c>
      <c r="V298" s="11">
        <f t="shared" si="22"/>
        <v>0</v>
      </c>
      <c r="W298" s="96">
        <f t="shared" si="20"/>
        <v>1055.3324423655195</v>
      </c>
      <c r="X298" s="12">
        <f>V298/[1]Manure!$I$2</f>
        <v>0</v>
      </c>
      <c r="Y298" s="12">
        <f>W298/[1]Manure!$I$2</f>
        <v>752.63273747319681</v>
      </c>
      <c r="Z298" s="12"/>
      <c r="AA298" s="12"/>
    </row>
    <row r="299" spans="1:27" ht="15.75" thickBot="1" x14ac:dyDescent="0.3">
      <c r="A299" s="13">
        <v>45661</v>
      </c>
      <c r="B299" s="33">
        <v>0.41666666666666669</v>
      </c>
      <c r="C299" s="6"/>
      <c r="D299" s="6"/>
      <c r="E299" s="6" t="s">
        <v>60</v>
      </c>
      <c r="F299" s="82">
        <v>20</v>
      </c>
      <c r="G299" s="6">
        <v>214513</v>
      </c>
      <c r="H299" s="6">
        <v>26.2</v>
      </c>
      <c r="I299" s="6">
        <v>21.1</v>
      </c>
      <c r="J299" s="21"/>
      <c r="K299" s="21"/>
      <c r="L299" s="21"/>
      <c r="M299" s="21"/>
      <c r="N299" s="21"/>
      <c r="O299" s="21"/>
      <c r="P299" s="21"/>
      <c r="Q299" s="21"/>
      <c r="R299" s="21"/>
      <c r="S299" s="84">
        <f t="shared" si="18"/>
        <v>26.2</v>
      </c>
      <c r="T299" s="95">
        <f t="shared" si="19"/>
        <v>945</v>
      </c>
      <c r="U299" s="11">
        <f t="shared" si="21"/>
        <v>0</v>
      </c>
      <c r="V299" s="11">
        <f t="shared" si="22"/>
        <v>0</v>
      </c>
      <c r="W299" s="96">
        <f t="shared" si="20"/>
        <v>862.24933155080214</v>
      </c>
      <c r="X299" s="12">
        <f>V299/[1]Manure!$I$2</f>
        <v>0</v>
      </c>
      <c r="Y299" s="12">
        <f>W299/[1]Manure!$I$2</f>
        <v>614.93141756817602</v>
      </c>
      <c r="Z299" s="12"/>
      <c r="AA299" s="12"/>
    </row>
    <row r="300" spans="1:27" ht="15.75" thickBot="1" x14ac:dyDescent="0.3">
      <c r="A300" s="13">
        <v>45663</v>
      </c>
      <c r="B300" s="33">
        <v>0.41666666666666669</v>
      </c>
      <c r="C300" s="6"/>
      <c r="D300" s="6"/>
      <c r="E300" s="6" t="s">
        <v>60</v>
      </c>
      <c r="F300" s="82">
        <v>20</v>
      </c>
      <c r="G300" s="6">
        <v>216292</v>
      </c>
      <c r="H300" s="6">
        <v>25.3</v>
      </c>
      <c r="I300" s="6">
        <v>20.8</v>
      </c>
      <c r="J300" s="21"/>
      <c r="K300" s="21"/>
      <c r="L300" s="21"/>
      <c r="M300" s="21"/>
      <c r="N300" s="21"/>
      <c r="O300" s="21"/>
      <c r="P300" s="21"/>
      <c r="Q300" s="21"/>
      <c r="R300" s="21"/>
      <c r="S300" s="84">
        <f t="shared" si="18"/>
        <v>25.3</v>
      </c>
      <c r="T300" s="95">
        <f t="shared" si="19"/>
        <v>1779</v>
      </c>
      <c r="U300" s="11">
        <f t="shared" si="21"/>
        <v>0</v>
      </c>
      <c r="V300" s="11">
        <f t="shared" si="22"/>
        <v>0</v>
      </c>
      <c r="W300" s="96">
        <f t="shared" si="20"/>
        <v>1628.1159906134762</v>
      </c>
      <c r="X300" s="12">
        <f>V300/[1]Manure!$I$2</f>
        <v>0</v>
      </c>
      <c r="Y300" s="12">
        <f>W300/[1]Manure!$I$2</f>
        <v>1161.1254859109999</v>
      </c>
      <c r="Z300" s="12"/>
      <c r="AA300" s="12"/>
    </row>
    <row r="301" spans="1:27" ht="15.75" thickBot="1" x14ac:dyDescent="0.3">
      <c r="A301" s="13">
        <v>45664</v>
      </c>
      <c r="B301" s="33">
        <v>0.41666666666666669</v>
      </c>
      <c r="C301" s="6"/>
      <c r="D301" s="6"/>
      <c r="E301" s="6" t="s">
        <v>60</v>
      </c>
      <c r="F301" s="82">
        <v>20</v>
      </c>
      <c r="G301" s="6">
        <v>217193</v>
      </c>
      <c r="H301" s="6">
        <v>29.3</v>
      </c>
      <c r="I301" s="6">
        <v>20</v>
      </c>
      <c r="J301" s="21"/>
      <c r="K301" s="21"/>
      <c r="L301" s="21"/>
      <c r="M301" s="21"/>
      <c r="N301" s="21"/>
      <c r="O301" s="21"/>
      <c r="P301" s="21"/>
      <c r="Q301" s="21"/>
      <c r="R301" s="21"/>
      <c r="S301" s="84">
        <f t="shared" si="18"/>
        <v>29.3</v>
      </c>
      <c r="T301" s="95">
        <f t="shared" si="19"/>
        <v>901</v>
      </c>
      <c r="U301" s="11">
        <f t="shared" si="21"/>
        <v>0</v>
      </c>
      <c r="V301" s="11">
        <f t="shared" si="22"/>
        <v>0</v>
      </c>
      <c r="W301" s="96">
        <f t="shared" si="20"/>
        <v>813.67184915646703</v>
      </c>
      <c r="X301" s="12">
        <f>V301/[1]Manure!$I$2</f>
        <v>0</v>
      </c>
      <c r="Y301" s="12">
        <f>W301/[1]Manure!$I$2</f>
        <v>580.28735463000532</v>
      </c>
      <c r="Z301" s="12"/>
      <c r="AA301" s="12"/>
    </row>
    <row r="302" spans="1:27" ht="15.75" thickBot="1" x14ac:dyDescent="0.3">
      <c r="A302" s="13">
        <v>45665</v>
      </c>
      <c r="B302" s="33">
        <v>0.41666666666666669</v>
      </c>
      <c r="C302" s="6"/>
      <c r="D302" s="6"/>
      <c r="E302" s="6" t="s">
        <v>60</v>
      </c>
      <c r="F302" s="82">
        <v>20</v>
      </c>
      <c r="G302" s="6">
        <v>218168</v>
      </c>
      <c r="H302" s="6">
        <v>29</v>
      </c>
      <c r="I302" s="6">
        <v>20.2</v>
      </c>
      <c r="J302" s="21"/>
      <c r="K302" s="21"/>
      <c r="L302" s="21"/>
      <c r="M302" s="21"/>
      <c r="N302" s="21"/>
      <c r="O302" s="21"/>
      <c r="P302" s="21"/>
      <c r="Q302" s="21"/>
      <c r="R302" s="21"/>
      <c r="S302" s="84">
        <f t="shared" si="18"/>
        <v>29</v>
      </c>
      <c r="T302" s="95">
        <f t="shared" si="19"/>
        <v>975</v>
      </c>
      <c r="U302" s="11">
        <f t="shared" si="21"/>
        <v>0</v>
      </c>
      <c r="V302" s="11">
        <f t="shared" si="22"/>
        <v>0</v>
      </c>
      <c r="W302" s="96">
        <f t="shared" si="20"/>
        <v>881.37417218543044</v>
      </c>
      <c r="X302" s="12">
        <f>V302/[1]Manure!$I$2</f>
        <v>0</v>
      </c>
      <c r="Y302" s="12">
        <f>W302/[1]Manure!$I$2</f>
        <v>628.57070371417467</v>
      </c>
      <c r="Z302" s="12"/>
      <c r="AA302" s="12"/>
    </row>
    <row r="303" spans="1:27" ht="15.75" thickBot="1" x14ac:dyDescent="0.3">
      <c r="A303" s="13">
        <v>45666</v>
      </c>
      <c r="B303" s="7">
        <v>0.41666666666666669</v>
      </c>
      <c r="C303" s="6"/>
      <c r="D303" s="6"/>
      <c r="E303" s="6" t="s">
        <v>60</v>
      </c>
      <c r="F303" s="82">
        <v>20</v>
      </c>
      <c r="G303" s="81">
        <v>219000</v>
      </c>
      <c r="H303" s="81">
        <v>27.2</v>
      </c>
      <c r="I303" s="6">
        <v>21</v>
      </c>
      <c r="J303" s="21"/>
      <c r="K303" s="21"/>
      <c r="L303" s="21"/>
      <c r="M303" s="21"/>
      <c r="N303" s="21"/>
      <c r="O303" s="21"/>
      <c r="P303" s="21"/>
      <c r="Q303" s="21"/>
      <c r="R303" s="21"/>
      <c r="S303" s="84">
        <f t="shared" si="18"/>
        <v>27.2</v>
      </c>
      <c r="T303" s="95">
        <f t="shared" si="19"/>
        <v>832</v>
      </c>
      <c r="U303" s="11">
        <f t="shared" si="21"/>
        <v>0</v>
      </c>
      <c r="V303" s="11">
        <f t="shared" si="22"/>
        <v>0</v>
      </c>
      <c r="W303" s="96">
        <f t="shared" si="20"/>
        <v>756.61558960692878</v>
      </c>
      <c r="X303" s="12">
        <f>V303/[1]Manure!$I$2</f>
        <v>0</v>
      </c>
      <c r="Y303" s="12">
        <f>W303/[1]Manure!$I$2</f>
        <v>539.59647174717156</v>
      </c>
      <c r="Z303" s="12"/>
      <c r="AA303" s="12"/>
    </row>
    <row r="304" spans="1:27" ht="15.75" thickBot="1" x14ac:dyDescent="0.3">
      <c r="A304" s="13">
        <v>45667</v>
      </c>
      <c r="B304" s="33">
        <v>0.41666666666666669</v>
      </c>
      <c r="C304" s="6"/>
      <c r="D304" s="6"/>
      <c r="E304" s="6" t="s">
        <v>60</v>
      </c>
      <c r="F304" s="82">
        <v>20</v>
      </c>
      <c r="G304" s="81">
        <v>220014</v>
      </c>
      <c r="H304" s="81">
        <v>26.6</v>
      </c>
      <c r="I304" s="6">
        <v>21.9</v>
      </c>
      <c r="J304" s="21"/>
      <c r="K304" s="21"/>
      <c r="L304" s="21"/>
      <c r="M304" s="21"/>
      <c r="N304" s="21"/>
      <c r="O304" s="21"/>
      <c r="P304" s="21"/>
      <c r="Q304" s="21"/>
      <c r="R304" s="21"/>
      <c r="S304" s="84">
        <f t="shared" si="18"/>
        <v>26.6</v>
      </c>
      <c r="T304" s="95">
        <f t="shared" si="19"/>
        <v>1014</v>
      </c>
      <c r="U304" s="11">
        <f t="shared" si="21"/>
        <v>0</v>
      </c>
      <c r="V304" s="11">
        <f t="shared" si="22"/>
        <v>0</v>
      </c>
      <c r="W304" s="96">
        <f t="shared" si="20"/>
        <v>923.97196261682234</v>
      </c>
      <c r="X304" s="12">
        <f>V304/[1]Manure!$I$2</f>
        <v>0</v>
      </c>
      <c r="Y304" s="12">
        <f>W304/[1]Manure!$I$2</f>
        <v>658.9502223716554</v>
      </c>
      <c r="Z304" s="12"/>
      <c r="AA304" s="12"/>
    </row>
    <row r="305" spans="1:27" ht="15.75" thickBot="1" x14ac:dyDescent="0.3">
      <c r="A305" s="13">
        <v>45668</v>
      </c>
      <c r="B305" s="33">
        <v>0.41666666666666669</v>
      </c>
      <c r="C305" s="6"/>
      <c r="D305" s="6"/>
      <c r="E305" s="6" t="s">
        <v>60</v>
      </c>
      <c r="F305" s="82">
        <v>20</v>
      </c>
      <c r="G305" s="81">
        <v>220837</v>
      </c>
      <c r="H305" s="81">
        <v>27.3</v>
      </c>
      <c r="I305" s="6">
        <v>20.8</v>
      </c>
      <c r="J305" s="21"/>
      <c r="K305" s="21"/>
      <c r="L305" s="21"/>
      <c r="M305" s="21"/>
      <c r="N305" s="21"/>
      <c r="O305" s="21"/>
      <c r="P305" s="21"/>
      <c r="Q305" s="21"/>
      <c r="R305" s="21"/>
      <c r="S305" s="84">
        <f t="shared" si="18"/>
        <v>27.3</v>
      </c>
      <c r="T305" s="95">
        <f t="shared" si="19"/>
        <v>823</v>
      </c>
      <c r="U305" s="11">
        <f t="shared" si="21"/>
        <v>0</v>
      </c>
      <c r="V305" s="11">
        <f t="shared" si="22"/>
        <v>0</v>
      </c>
      <c r="W305" s="96">
        <f t="shared" si="20"/>
        <v>748.18181818181813</v>
      </c>
      <c r="X305" s="12">
        <f>V305/[1]Manure!$I$2</f>
        <v>0</v>
      </c>
      <c r="Y305" s="12">
        <f>W305/[1]Manure!$I$2</f>
        <v>533.58174859445933</v>
      </c>
      <c r="Z305" s="12"/>
      <c r="AA305" s="12"/>
    </row>
    <row r="306" spans="1:27" ht="15.75" thickBot="1" x14ac:dyDescent="0.3">
      <c r="A306" s="13">
        <v>45669</v>
      </c>
      <c r="B306" s="33">
        <v>0.41666666666666669</v>
      </c>
      <c r="C306" s="6"/>
      <c r="D306" s="6"/>
      <c r="E306" s="6" t="s">
        <v>60</v>
      </c>
      <c r="F306" s="82">
        <v>20</v>
      </c>
      <c r="G306" s="81">
        <v>222583</v>
      </c>
      <c r="H306" s="81">
        <v>28.8</v>
      </c>
      <c r="I306" s="6">
        <v>20.3</v>
      </c>
      <c r="J306" s="21"/>
      <c r="K306" s="21"/>
      <c r="L306" s="21"/>
      <c r="M306" s="21"/>
      <c r="N306" s="21"/>
      <c r="O306" s="21"/>
      <c r="P306" s="21"/>
      <c r="Q306" s="21"/>
      <c r="R306" s="21"/>
      <c r="S306" s="84">
        <f t="shared" si="18"/>
        <v>28.8</v>
      </c>
      <c r="T306" s="95">
        <f t="shared" si="19"/>
        <v>1746</v>
      </c>
      <c r="U306" s="11">
        <f t="shared" si="21"/>
        <v>0</v>
      </c>
      <c r="V306" s="11">
        <f t="shared" si="22"/>
        <v>0</v>
      </c>
      <c r="W306" s="96">
        <f t="shared" si="20"/>
        <v>1579.3836978131212</v>
      </c>
      <c r="X306" s="12">
        <f>V306/[1]Manure!$I$2</f>
        <v>0</v>
      </c>
      <c r="Y306" s="12">
        <f>W306/[1]Manure!$I$2</f>
        <v>1126.3710166449323</v>
      </c>
      <c r="Z306" s="12"/>
      <c r="AA306" s="12"/>
    </row>
    <row r="307" spans="1:27" ht="15.75" thickBot="1" x14ac:dyDescent="0.3">
      <c r="A307" s="13">
        <v>45671</v>
      </c>
      <c r="B307" s="33">
        <v>0.41666666666666669</v>
      </c>
      <c r="C307" s="6"/>
      <c r="D307" s="6"/>
      <c r="E307" s="6" t="s">
        <v>60</v>
      </c>
      <c r="F307" s="82">
        <v>20</v>
      </c>
      <c r="G307" s="81">
        <v>223664</v>
      </c>
      <c r="H307" s="81">
        <v>27.7</v>
      </c>
      <c r="I307" s="6">
        <v>19.899999999999999</v>
      </c>
      <c r="J307" s="21"/>
      <c r="K307" s="21"/>
      <c r="L307" s="21"/>
      <c r="M307" s="21"/>
      <c r="N307" s="21"/>
      <c r="O307" s="21"/>
      <c r="P307" s="21"/>
      <c r="Q307" s="21"/>
      <c r="R307" s="21"/>
      <c r="S307" s="84">
        <f t="shared" si="18"/>
        <v>27.7</v>
      </c>
      <c r="T307" s="95">
        <f t="shared" si="19"/>
        <v>1081</v>
      </c>
      <c r="U307" s="11">
        <f t="shared" si="21"/>
        <v>0</v>
      </c>
      <c r="V307" s="11">
        <f t="shared" si="22"/>
        <v>0</v>
      </c>
      <c r="W307" s="96">
        <f t="shared" si="20"/>
        <v>981.42001995344197</v>
      </c>
      <c r="X307" s="12">
        <f>V307/[1]Manure!$I$2</f>
        <v>0</v>
      </c>
      <c r="Y307" s="12">
        <f>W307/[1]Manure!$I$2</f>
        <v>699.92052416476724</v>
      </c>
      <c r="Z307" s="12"/>
      <c r="AA307" s="12"/>
    </row>
    <row r="308" spans="1:27" ht="15.75" thickBot="1" x14ac:dyDescent="0.3">
      <c r="B308" s="33"/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AE69-AC9F-41A6-8059-B474BFDEDE2C}">
  <dimension ref="A1:AC286"/>
  <sheetViews>
    <sheetView topLeftCell="A197" workbookViewId="0">
      <selection activeCell="P274" sqref="P274"/>
    </sheetView>
  </sheetViews>
  <sheetFormatPr defaultRowHeight="15" x14ac:dyDescent="0.25"/>
  <cols>
    <col min="1" max="1" width="11.42578125" customWidth="1"/>
  </cols>
  <sheetData>
    <row r="1" spans="1:29" ht="64.5" thickBot="1" x14ac:dyDescent="0.3">
      <c r="A1" s="1" t="s">
        <v>29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5" t="s">
        <v>28</v>
      </c>
    </row>
    <row r="2" spans="1:29" ht="15.75" thickBot="1" x14ac:dyDescent="0.3">
      <c r="A2" s="97">
        <v>45566</v>
      </c>
      <c r="B2" s="92">
        <v>0.50694444444444442</v>
      </c>
      <c r="C2" s="91"/>
      <c r="D2" s="91"/>
      <c r="E2" s="91"/>
      <c r="F2" s="91"/>
      <c r="G2" s="93">
        <v>174171</v>
      </c>
      <c r="H2" s="93">
        <v>29.9</v>
      </c>
      <c r="I2" s="93"/>
      <c r="J2" s="101"/>
      <c r="K2" s="102"/>
      <c r="L2" s="102"/>
      <c r="M2" s="102"/>
      <c r="N2" s="102"/>
      <c r="O2" s="101"/>
      <c r="P2" s="101"/>
      <c r="Q2" s="103"/>
      <c r="R2" s="103"/>
      <c r="S2" s="94">
        <f>H2</f>
        <v>29.9</v>
      </c>
      <c r="T2" s="95"/>
      <c r="U2" s="95">
        <f>T2*(I2/100)</f>
        <v>0</v>
      </c>
      <c r="V2" s="95">
        <f t="shared" ref="V2:V256" si="0">U2*(273/(273+S2))</f>
        <v>0</v>
      </c>
      <c r="W2" s="96"/>
      <c r="X2" s="96"/>
      <c r="Y2" s="96"/>
      <c r="Z2" s="96"/>
      <c r="AA2" s="96"/>
      <c r="AB2" s="95"/>
      <c r="AC2" s="11"/>
    </row>
    <row r="3" spans="1:29" ht="15.75" thickBot="1" x14ac:dyDescent="0.3">
      <c r="A3" s="97">
        <v>45475</v>
      </c>
      <c r="B3" s="92">
        <v>0.4375</v>
      </c>
      <c r="C3" s="91"/>
      <c r="D3" s="91"/>
      <c r="E3" s="91"/>
      <c r="F3" s="91"/>
      <c r="G3" s="93">
        <v>174448</v>
      </c>
      <c r="H3" s="93">
        <v>25.5</v>
      </c>
      <c r="I3" s="93"/>
      <c r="J3" s="101"/>
      <c r="K3" s="102"/>
      <c r="L3" s="102"/>
      <c r="M3" s="102"/>
      <c r="N3" s="102"/>
      <c r="O3" s="101"/>
      <c r="P3" s="101"/>
      <c r="Q3" s="104"/>
      <c r="R3" s="103"/>
      <c r="S3" s="94">
        <f>H3</f>
        <v>25.5</v>
      </c>
      <c r="T3" s="95">
        <f>G3-G2</f>
        <v>277</v>
      </c>
      <c r="U3" s="95">
        <f>T3*(P3/100)</f>
        <v>0</v>
      </c>
      <c r="V3" s="95">
        <f>U3*(273/(273+S3))</f>
        <v>0</v>
      </c>
      <c r="W3" s="96">
        <f t="shared" ref="W3:W163" si="1">T3*(273/(273+S3))</f>
        <v>253.33668341708542</v>
      </c>
      <c r="X3" s="96">
        <f>V3/[1]Manure!$I$2</f>
        <v>0</v>
      </c>
      <c r="Y3" s="96">
        <f>W3/[1]Manure!$I$2</f>
        <v>180.67243447495792</v>
      </c>
      <c r="Z3" s="96"/>
      <c r="AA3" s="96"/>
      <c r="AB3" s="95"/>
      <c r="AC3" s="11"/>
    </row>
    <row r="4" spans="1:29" ht="15.75" thickBot="1" x14ac:dyDescent="0.3">
      <c r="A4" s="97">
        <v>45506</v>
      </c>
      <c r="B4" s="92">
        <v>0.42499999999999999</v>
      </c>
      <c r="C4" s="91"/>
      <c r="D4" s="91"/>
      <c r="E4" s="91" t="s">
        <v>60</v>
      </c>
      <c r="F4" s="91">
        <v>30</v>
      </c>
      <c r="G4" s="93">
        <v>175179</v>
      </c>
      <c r="H4" s="93">
        <v>26.4</v>
      </c>
      <c r="I4" s="93"/>
      <c r="J4" s="101"/>
      <c r="K4" s="102"/>
      <c r="L4" s="102"/>
      <c r="M4" s="102"/>
      <c r="N4" s="102"/>
      <c r="O4" s="101"/>
      <c r="P4" s="101"/>
      <c r="Q4" s="104"/>
      <c r="R4" s="103"/>
      <c r="S4" s="94">
        <f t="shared" ref="S4:S258" si="2">H4</f>
        <v>26.4</v>
      </c>
      <c r="T4" s="95">
        <f>G4-G3</f>
        <v>731</v>
      </c>
      <c r="U4" s="95">
        <f>T4*(P4/100)</f>
        <v>0</v>
      </c>
      <c r="V4" s="95">
        <f t="shared" si="0"/>
        <v>0</v>
      </c>
      <c r="W4" s="96">
        <f t="shared" si="1"/>
        <v>666.54308617234472</v>
      </c>
      <c r="X4" s="96">
        <f>V4/[1]Manure!$I$2</f>
        <v>0</v>
      </c>
      <c r="Y4" s="96">
        <f>W4/[1]Manure!$I$2</f>
        <v>475.35935355616749</v>
      </c>
      <c r="Z4" s="96"/>
      <c r="AA4" s="96"/>
      <c r="AB4" s="95"/>
      <c r="AC4" s="11"/>
    </row>
    <row r="5" spans="1:29" ht="15.75" thickBot="1" x14ac:dyDescent="0.3">
      <c r="A5" s="97">
        <v>45537</v>
      </c>
      <c r="B5" s="92">
        <v>0.4375</v>
      </c>
      <c r="C5" s="91"/>
      <c r="D5" s="91"/>
      <c r="E5" s="91" t="s">
        <v>62</v>
      </c>
      <c r="F5" s="91">
        <v>210</v>
      </c>
      <c r="G5" s="93">
        <v>175586</v>
      </c>
      <c r="H5" s="93">
        <v>27.1</v>
      </c>
      <c r="I5" s="93"/>
      <c r="J5" s="101"/>
      <c r="K5" s="102"/>
      <c r="L5" s="102"/>
      <c r="M5" s="102"/>
      <c r="N5" s="102"/>
      <c r="O5" s="101"/>
      <c r="P5" s="101"/>
      <c r="Q5" s="104"/>
      <c r="R5" s="103"/>
      <c r="S5" s="94">
        <f t="shared" si="2"/>
        <v>27.1</v>
      </c>
      <c r="T5" s="95">
        <f t="shared" ref="T4:T132" si="3">G5-G4</f>
        <v>407</v>
      </c>
      <c r="U5" s="95">
        <f t="shared" ref="U5" si="4">T5*(I5/100)</f>
        <v>0</v>
      </c>
      <c r="V5" s="95">
        <f t="shared" si="0"/>
        <v>0</v>
      </c>
      <c r="W5" s="96">
        <f>T5*(273/(273+S5))</f>
        <v>370.24658447184271</v>
      </c>
      <c r="X5" s="96">
        <f>V5/[1]Manure!$I$2</f>
        <v>0</v>
      </c>
      <c r="Y5" s="96">
        <f>W5/[1]Manure!$I$2</f>
        <v>264.04921257469414</v>
      </c>
      <c r="Z5" s="96"/>
      <c r="AA5" s="96"/>
      <c r="AB5" s="95"/>
      <c r="AC5" s="11"/>
    </row>
    <row r="6" spans="1:29" ht="15.75" thickBot="1" x14ac:dyDescent="0.3">
      <c r="A6" s="97">
        <v>45567</v>
      </c>
      <c r="B6" s="92">
        <v>0.41666666666666669</v>
      </c>
      <c r="C6" s="91"/>
      <c r="D6" s="91"/>
      <c r="E6" s="91" t="s">
        <v>60</v>
      </c>
      <c r="F6" s="91">
        <v>30</v>
      </c>
      <c r="G6" s="93">
        <v>176476</v>
      </c>
      <c r="H6" s="93">
        <v>32.6</v>
      </c>
      <c r="I6" s="93"/>
      <c r="J6" s="101"/>
      <c r="K6" s="102"/>
      <c r="L6" s="102"/>
      <c r="M6" s="102"/>
      <c r="N6" s="102"/>
      <c r="O6" s="101"/>
      <c r="P6" s="101"/>
      <c r="Q6" s="104"/>
      <c r="R6" s="103"/>
      <c r="S6" s="94">
        <f t="shared" si="2"/>
        <v>32.6</v>
      </c>
      <c r="T6" s="95">
        <f t="shared" si="3"/>
        <v>890</v>
      </c>
      <c r="U6" s="95">
        <f t="shared" ref="U6:U7" si="5">T6*(P6/100)</f>
        <v>0</v>
      </c>
      <c r="V6" s="95">
        <f t="shared" si="0"/>
        <v>0</v>
      </c>
      <c r="W6" s="96">
        <f t="shared" si="1"/>
        <v>795.05890052356017</v>
      </c>
      <c r="X6" s="96">
        <f>V6/[1]Manure!$I$2</f>
        <v>0</v>
      </c>
      <c r="Y6" s="96">
        <f>W6/[1]Manure!$I$2</f>
        <v>567.01313513322543</v>
      </c>
      <c r="Z6" s="96"/>
      <c r="AA6" s="96"/>
      <c r="AB6" s="95"/>
      <c r="AC6" s="11"/>
    </row>
    <row r="7" spans="1:29" ht="15.75" thickBot="1" x14ac:dyDescent="0.3">
      <c r="A7" s="97">
        <v>45628</v>
      </c>
      <c r="B7" s="92">
        <v>0.41666666666666669</v>
      </c>
      <c r="C7" s="91"/>
      <c r="D7" s="91"/>
      <c r="E7" s="91" t="s">
        <v>60</v>
      </c>
      <c r="F7" s="91">
        <v>30</v>
      </c>
      <c r="G7" s="93">
        <v>177793</v>
      </c>
      <c r="H7" s="93">
        <v>31.3</v>
      </c>
      <c r="I7" s="93"/>
      <c r="J7" s="101"/>
      <c r="K7" s="102"/>
      <c r="L7" s="102"/>
      <c r="M7" s="102"/>
      <c r="N7" s="102"/>
      <c r="O7" s="101"/>
      <c r="P7" s="101"/>
      <c r="Q7" s="104"/>
      <c r="R7" s="103"/>
      <c r="S7" s="94">
        <f t="shared" si="2"/>
        <v>31.3</v>
      </c>
      <c r="T7" s="95">
        <f t="shared" si="3"/>
        <v>1317</v>
      </c>
      <c r="U7" s="95">
        <f t="shared" si="5"/>
        <v>0</v>
      </c>
      <c r="V7" s="95">
        <f t="shared" si="0"/>
        <v>0</v>
      </c>
      <c r="W7" s="96">
        <f t="shared" si="1"/>
        <v>1181.5346697338152</v>
      </c>
      <c r="X7" s="96">
        <f>V7/[1]Manure!$I$2</f>
        <v>0</v>
      </c>
      <c r="Y7" s="96">
        <f>W7/[1]Manure!$I$2</f>
        <v>842.63653537266202</v>
      </c>
      <c r="Z7" s="96"/>
      <c r="AA7" s="96"/>
      <c r="AB7" s="95"/>
      <c r="AC7" s="11"/>
    </row>
    <row r="8" spans="1:29" ht="15.75" thickBot="1" x14ac:dyDescent="0.3">
      <c r="A8" s="97" t="s">
        <v>63</v>
      </c>
      <c r="B8" s="92">
        <v>0.41666666666666669</v>
      </c>
      <c r="C8" s="91"/>
      <c r="D8" s="91"/>
      <c r="E8" s="91" t="s">
        <v>66</v>
      </c>
      <c r="F8" s="91" t="s">
        <v>66</v>
      </c>
      <c r="G8" s="93">
        <v>178353</v>
      </c>
      <c r="H8" s="93">
        <v>29.4</v>
      </c>
      <c r="I8" s="93"/>
      <c r="J8" s="101"/>
      <c r="K8" s="102"/>
      <c r="L8" s="102"/>
      <c r="M8" s="102"/>
      <c r="N8" s="102"/>
      <c r="O8" s="101"/>
      <c r="P8" s="101"/>
      <c r="Q8" s="104"/>
      <c r="R8" s="103"/>
      <c r="S8" s="94">
        <f t="shared" si="2"/>
        <v>29.4</v>
      </c>
      <c r="T8" s="95">
        <f t="shared" si="3"/>
        <v>560</v>
      </c>
      <c r="U8" s="95">
        <f t="shared" ref="U8" si="6">T8*(I8/100)</f>
        <v>0</v>
      </c>
      <c r="V8" s="95">
        <f t="shared" si="0"/>
        <v>0</v>
      </c>
      <c r="W8" s="96">
        <f t="shared" si="1"/>
        <v>505.5555555555556</v>
      </c>
      <c r="X8" s="96">
        <f>V8/[1]Manure!$I$2</f>
        <v>0</v>
      </c>
      <c r="Y8" s="96">
        <f>W8/[1]Manure!$I$2</f>
        <v>360.54767810385709</v>
      </c>
      <c r="Z8" s="96"/>
      <c r="AA8" s="96"/>
      <c r="AB8" s="95"/>
      <c r="AC8" s="11"/>
    </row>
    <row r="9" spans="1:29" ht="15.75" thickBot="1" x14ac:dyDescent="0.3">
      <c r="A9" s="97" t="s">
        <v>64</v>
      </c>
      <c r="B9" s="92">
        <v>0.41666666666666669</v>
      </c>
      <c r="C9" s="92"/>
      <c r="D9" s="91"/>
      <c r="E9" s="91" t="s">
        <v>66</v>
      </c>
      <c r="F9" s="91" t="s">
        <v>66</v>
      </c>
      <c r="G9" s="93">
        <v>179941</v>
      </c>
      <c r="H9" s="93">
        <v>29.9</v>
      </c>
      <c r="I9" s="93"/>
      <c r="J9" s="101"/>
      <c r="K9" s="102"/>
      <c r="L9" s="102"/>
      <c r="M9" s="102"/>
      <c r="N9" s="102"/>
      <c r="O9" s="101"/>
      <c r="P9" s="101"/>
      <c r="Q9" s="104"/>
      <c r="R9" s="103"/>
      <c r="S9" s="94">
        <f t="shared" si="2"/>
        <v>29.9</v>
      </c>
      <c r="T9" s="95">
        <f t="shared" si="3"/>
        <v>1588</v>
      </c>
      <c r="U9" s="95">
        <f t="shared" ref="U9:U10" si="7">T9*(P9/100)</f>
        <v>0</v>
      </c>
      <c r="V9" s="95">
        <f t="shared" si="0"/>
        <v>0</v>
      </c>
      <c r="W9" s="96">
        <f t="shared" si="1"/>
        <v>1431.2446351931333</v>
      </c>
      <c r="X9" s="96">
        <f>V9/[1]Manure!$I$2</f>
        <v>0</v>
      </c>
      <c r="Y9" s="96">
        <f>W9/[1]Manure!$I$2</f>
        <v>1020.7224989356869</v>
      </c>
      <c r="Z9" s="96"/>
      <c r="AA9" s="96"/>
      <c r="AB9" s="95"/>
      <c r="AC9" s="11"/>
    </row>
    <row r="10" spans="1:29" ht="15.75" thickBot="1" x14ac:dyDescent="0.3">
      <c r="A10" s="97" t="s">
        <v>65</v>
      </c>
      <c r="B10" s="92">
        <v>0.41666666666666669</v>
      </c>
      <c r="C10" s="92"/>
      <c r="D10" s="91"/>
      <c r="E10" s="91" t="s">
        <v>66</v>
      </c>
      <c r="F10" s="91" t="s">
        <v>66</v>
      </c>
      <c r="G10" s="93">
        <v>181312</v>
      </c>
      <c r="H10" s="93">
        <v>27.1</v>
      </c>
      <c r="I10" s="93"/>
      <c r="J10" s="101"/>
      <c r="K10" s="102"/>
      <c r="L10" s="102"/>
      <c r="M10" s="102"/>
      <c r="N10" s="102"/>
      <c r="O10" s="101"/>
      <c r="P10" s="101"/>
      <c r="Q10" s="104"/>
      <c r="R10" s="103"/>
      <c r="S10" s="94">
        <f t="shared" si="2"/>
        <v>27.1</v>
      </c>
      <c r="T10" s="95">
        <f t="shared" si="3"/>
        <v>1371</v>
      </c>
      <c r="U10" s="95">
        <f t="shared" si="7"/>
        <v>0</v>
      </c>
      <c r="V10" s="95">
        <f t="shared" si="0"/>
        <v>0</v>
      </c>
      <c r="W10" s="96">
        <f t="shared" si="1"/>
        <v>1247.194268577141</v>
      </c>
      <c r="X10" s="96">
        <f>V10/[1]Manure!$I$2</f>
        <v>0</v>
      </c>
      <c r="Y10" s="96">
        <f>W10/[1]Manure!$I$2</f>
        <v>889.46307233392054</v>
      </c>
      <c r="Z10" s="96"/>
      <c r="AA10" s="96"/>
      <c r="AB10" s="95"/>
      <c r="AC10" s="11"/>
    </row>
    <row r="11" spans="1:29" ht="15.75" thickBot="1" x14ac:dyDescent="0.3">
      <c r="A11" s="97" t="s">
        <v>70</v>
      </c>
      <c r="B11" s="92">
        <v>0.41666666666666669</v>
      </c>
      <c r="C11" s="92"/>
      <c r="D11" s="91"/>
      <c r="E11" s="91" t="s">
        <v>60</v>
      </c>
      <c r="F11" s="91">
        <v>30</v>
      </c>
      <c r="G11" s="93">
        <v>182981</v>
      </c>
      <c r="H11" s="93">
        <v>30.2</v>
      </c>
      <c r="I11" s="93"/>
      <c r="J11" s="101"/>
      <c r="K11" s="105"/>
      <c r="L11" s="105"/>
      <c r="M11" s="105"/>
      <c r="N11" s="105"/>
      <c r="O11" s="101"/>
      <c r="P11" s="101"/>
      <c r="Q11" s="104"/>
      <c r="R11" s="103"/>
      <c r="S11" s="94">
        <f t="shared" si="2"/>
        <v>30.2</v>
      </c>
      <c r="T11" s="95">
        <f t="shared" si="3"/>
        <v>1669</v>
      </c>
      <c r="U11" s="95">
        <f t="shared" ref="U11" si="8">T11*(I11/100)</f>
        <v>0</v>
      </c>
      <c r="V11" s="95">
        <f t="shared" si="0"/>
        <v>0</v>
      </c>
      <c r="W11" s="96">
        <f t="shared" si="1"/>
        <v>1502.7605540897098</v>
      </c>
      <c r="X11" s="96">
        <f>V11/[1]Manure!$I$2</f>
        <v>0</v>
      </c>
      <c r="Y11" s="96">
        <f>W11/[1]Manure!$I$2</f>
        <v>1071.7255948808781</v>
      </c>
      <c r="Z11" s="96"/>
      <c r="AA11" s="96"/>
      <c r="AB11" s="95"/>
      <c r="AC11" s="11"/>
    </row>
    <row r="12" spans="1:29" ht="15.75" thickBot="1" x14ac:dyDescent="0.3">
      <c r="A12" s="97" t="s">
        <v>71</v>
      </c>
      <c r="B12" s="92">
        <v>0.41666666666666669</v>
      </c>
      <c r="C12" s="92"/>
      <c r="D12" s="91"/>
      <c r="E12" s="91" t="s">
        <v>60</v>
      </c>
      <c r="F12" s="91">
        <v>30</v>
      </c>
      <c r="G12" s="93">
        <v>184854</v>
      </c>
      <c r="H12" s="93">
        <v>35.4</v>
      </c>
      <c r="I12" s="93"/>
      <c r="J12" s="101"/>
      <c r="K12" s="105"/>
      <c r="L12" s="105"/>
      <c r="M12" s="105"/>
      <c r="N12" s="105"/>
      <c r="O12" s="101"/>
      <c r="P12" s="101"/>
      <c r="Q12" s="104"/>
      <c r="R12" s="103"/>
      <c r="S12" s="94">
        <f t="shared" si="2"/>
        <v>35.4</v>
      </c>
      <c r="T12" s="95">
        <f t="shared" si="3"/>
        <v>1873</v>
      </c>
      <c r="U12" s="95">
        <f t="shared" ref="U12:U13" si="9">T12*(P12/100)</f>
        <v>0</v>
      </c>
      <c r="V12" s="95">
        <f t="shared" si="0"/>
        <v>0</v>
      </c>
      <c r="W12" s="96">
        <f t="shared" si="1"/>
        <v>1658.0058365758757</v>
      </c>
      <c r="X12" s="96">
        <f>V12/[1]Manure!$I$2</f>
        <v>0</v>
      </c>
      <c r="Y12" s="96">
        <f>W12/[1]Manure!$I$2</f>
        <v>1182.442064162786</v>
      </c>
      <c r="Z12" s="96"/>
      <c r="AA12" s="96"/>
      <c r="AB12" s="95"/>
      <c r="AC12" s="11"/>
    </row>
    <row r="13" spans="1:29" ht="15.75" thickBot="1" x14ac:dyDescent="0.3">
      <c r="A13" s="97" t="s">
        <v>67</v>
      </c>
      <c r="B13" s="92">
        <v>0.41666666666666669</v>
      </c>
      <c r="C13" s="92"/>
      <c r="D13" s="91"/>
      <c r="E13" s="91" t="s">
        <v>60</v>
      </c>
      <c r="F13" s="91">
        <v>30</v>
      </c>
      <c r="G13" s="93">
        <v>189189</v>
      </c>
      <c r="H13" s="93">
        <v>28</v>
      </c>
      <c r="I13" s="93"/>
      <c r="J13" s="101"/>
      <c r="K13" s="105"/>
      <c r="L13" s="105"/>
      <c r="M13" s="105"/>
      <c r="N13" s="105"/>
      <c r="O13" s="101"/>
      <c r="P13" s="101"/>
      <c r="Q13" s="104"/>
      <c r="R13" s="103"/>
      <c r="S13" s="94">
        <f t="shared" si="2"/>
        <v>28</v>
      </c>
      <c r="T13" s="95">
        <f t="shared" si="3"/>
        <v>4335</v>
      </c>
      <c r="U13" s="95">
        <f t="shared" si="9"/>
        <v>0</v>
      </c>
      <c r="V13" s="95">
        <f t="shared" si="0"/>
        <v>0</v>
      </c>
      <c r="W13" s="96">
        <f t="shared" si="1"/>
        <v>3931.7441860465115</v>
      </c>
      <c r="X13" s="96">
        <f>V13/[1]Manure!$I$2</f>
        <v>0</v>
      </c>
      <c r="Y13" s="96">
        <f>W13/[1]Manure!$I$2</f>
        <v>2804.0068427685014</v>
      </c>
      <c r="Z13" s="96"/>
      <c r="AA13" s="96"/>
      <c r="AB13" s="95"/>
      <c r="AC13" s="11"/>
    </row>
    <row r="14" spans="1:29" ht="15.75" thickBot="1" x14ac:dyDescent="0.3">
      <c r="A14" s="97" t="s">
        <v>68</v>
      </c>
      <c r="B14" s="92">
        <v>0.41666666666666669</v>
      </c>
      <c r="C14" s="92"/>
      <c r="D14" s="91"/>
      <c r="E14" s="91" t="s">
        <v>60</v>
      </c>
      <c r="F14" s="91">
        <v>30</v>
      </c>
      <c r="G14" s="93">
        <v>191355</v>
      </c>
      <c r="H14" s="93">
        <v>26.5</v>
      </c>
      <c r="I14" s="93"/>
      <c r="J14" s="101"/>
      <c r="K14" s="105"/>
      <c r="L14" s="105"/>
      <c r="M14" s="105"/>
      <c r="N14" s="105"/>
      <c r="O14" s="101"/>
      <c r="P14" s="101"/>
      <c r="Q14" s="104"/>
      <c r="R14" s="103"/>
      <c r="S14" s="94">
        <f t="shared" si="2"/>
        <v>26.5</v>
      </c>
      <c r="T14" s="95">
        <f t="shared" si="3"/>
        <v>2166</v>
      </c>
      <c r="U14" s="95">
        <f t="shared" ref="U14" si="10">T14*(I14/100)</f>
        <v>0</v>
      </c>
      <c r="V14" s="95">
        <f t="shared" si="0"/>
        <v>0</v>
      </c>
      <c r="W14" s="96">
        <f t="shared" si="1"/>
        <v>1974.3505843071787</v>
      </c>
      <c r="X14" s="96">
        <f>V14/[1]Manure!$I$2</f>
        <v>0</v>
      </c>
      <c r="Y14" s="96">
        <f>W14/[1]Manure!$I$2</f>
        <v>1408.050037453741</v>
      </c>
      <c r="Z14" s="96"/>
      <c r="AA14" s="96"/>
      <c r="AB14" s="95"/>
      <c r="AC14" s="11"/>
    </row>
    <row r="15" spans="1:29" ht="15.75" thickBot="1" x14ac:dyDescent="0.3">
      <c r="A15" s="91" t="s">
        <v>69</v>
      </c>
      <c r="B15" s="92">
        <v>0.41666666666666669</v>
      </c>
      <c r="C15" s="92"/>
      <c r="D15" s="91"/>
      <c r="E15" s="91" t="s">
        <v>60</v>
      </c>
      <c r="F15" s="91">
        <v>30</v>
      </c>
      <c r="G15" s="93">
        <v>193145</v>
      </c>
      <c r="H15" s="93">
        <v>24.5</v>
      </c>
      <c r="I15" s="93"/>
      <c r="J15" s="101"/>
      <c r="K15" s="105"/>
      <c r="L15" s="105"/>
      <c r="M15" s="105"/>
      <c r="N15" s="105"/>
      <c r="O15" s="101"/>
      <c r="P15" s="101"/>
      <c r="Q15" s="104"/>
      <c r="R15" s="103"/>
      <c r="S15" s="94">
        <f t="shared" si="2"/>
        <v>24.5</v>
      </c>
      <c r="T15" s="95">
        <f t="shared" si="3"/>
        <v>1790</v>
      </c>
      <c r="U15" s="95">
        <f t="shared" ref="U15:U16" si="11">T15*(P15/100)</f>
        <v>0</v>
      </c>
      <c r="V15" s="95">
        <f t="shared" si="0"/>
        <v>0</v>
      </c>
      <c r="W15" s="96">
        <f t="shared" si="1"/>
        <v>1642.5882352941176</v>
      </c>
      <c r="X15" s="96">
        <f>V15/[1]Manure!$I$2</f>
        <v>0</v>
      </c>
      <c r="Y15" s="96">
        <f>W15/[1]Manure!$I$2</f>
        <v>1171.4466744712208</v>
      </c>
      <c r="Z15" s="96"/>
      <c r="AA15" s="96"/>
      <c r="AB15" s="95"/>
      <c r="AC15" s="11"/>
    </row>
    <row r="16" spans="1:29" ht="15.75" thickBot="1" x14ac:dyDescent="0.3">
      <c r="A16" s="91" t="s">
        <v>72</v>
      </c>
      <c r="B16" s="92">
        <v>0.41666666666666669</v>
      </c>
      <c r="C16" s="92"/>
      <c r="D16" s="91"/>
      <c r="E16" s="91" t="s">
        <v>60</v>
      </c>
      <c r="F16" s="91">
        <v>30</v>
      </c>
      <c r="G16" s="93">
        <v>194556</v>
      </c>
      <c r="H16" s="93">
        <v>24.3</v>
      </c>
      <c r="I16" s="93"/>
      <c r="J16" s="101"/>
      <c r="K16" s="105"/>
      <c r="L16" s="105"/>
      <c r="M16" s="105"/>
      <c r="N16" s="105"/>
      <c r="O16" s="101"/>
      <c r="P16" s="101"/>
      <c r="Q16" s="104"/>
      <c r="R16" s="103"/>
      <c r="S16" s="94">
        <f t="shared" si="2"/>
        <v>24.3</v>
      </c>
      <c r="T16" s="95">
        <f t="shared" si="3"/>
        <v>1411</v>
      </c>
      <c r="U16" s="95">
        <f t="shared" si="11"/>
        <v>0</v>
      </c>
      <c r="V16" s="95">
        <f t="shared" si="0"/>
        <v>0</v>
      </c>
      <c r="W16" s="96">
        <f t="shared" si="1"/>
        <v>1295.6710393541878</v>
      </c>
      <c r="X16" s="96">
        <f>V16/[1]Manure!$I$2</f>
        <v>0</v>
      </c>
      <c r="Y16" s="96">
        <f>W16/[1]Manure!$I$2</f>
        <v>924.03531064397202</v>
      </c>
      <c r="Z16" s="96"/>
      <c r="AA16" s="96"/>
      <c r="AB16" s="95"/>
      <c r="AC16" s="11"/>
    </row>
    <row r="17" spans="1:29" ht="15.75" thickBot="1" x14ac:dyDescent="0.3">
      <c r="A17" s="91" t="s">
        <v>73</v>
      </c>
      <c r="B17" s="92">
        <v>0.41666666666666669</v>
      </c>
      <c r="C17" s="92"/>
      <c r="D17" s="91"/>
      <c r="E17" s="91" t="s">
        <v>60</v>
      </c>
      <c r="F17" s="91">
        <v>30</v>
      </c>
      <c r="G17" s="93">
        <v>195835</v>
      </c>
      <c r="H17" s="93">
        <v>23.5</v>
      </c>
      <c r="I17" s="93"/>
      <c r="J17" s="101"/>
      <c r="K17" s="105"/>
      <c r="L17" s="105"/>
      <c r="M17" s="105"/>
      <c r="N17" s="105"/>
      <c r="O17" s="101"/>
      <c r="P17" s="101"/>
      <c r="Q17" s="104"/>
      <c r="R17" s="103"/>
      <c r="S17" s="94">
        <f t="shared" si="2"/>
        <v>23.5</v>
      </c>
      <c r="T17" s="95">
        <f t="shared" si="3"/>
        <v>1279</v>
      </c>
      <c r="U17" s="95">
        <f t="shared" ref="U17" si="12">T17*(I17/100)</f>
        <v>0</v>
      </c>
      <c r="V17" s="95">
        <f t="shared" si="0"/>
        <v>0</v>
      </c>
      <c r="W17" s="96">
        <f t="shared" si="1"/>
        <v>1177.6290050590219</v>
      </c>
      <c r="X17" s="96">
        <f>V17/[1]Manure!$I$2</f>
        <v>0</v>
      </c>
      <c r="Y17" s="96">
        <f>W17/[1]Manure!$I$2</f>
        <v>839.85112768704869</v>
      </c>
      <c r="Z17" s="96"/>
      <c r="AA17" s="96"/>
      <c r="AB17" s="98"/>
      <c r="AC17" s="11"/>
    </row>
    <row r="18" spans="1:29" ht="15.75" thickBot="1" x14ac:dyDescent="0.3">
      <c r="A18" s="91" t="s">
        <v>74</v>
      </c>
      <c r="B18" s="92">
        <v>0.41666666666666669</v>
      </c>
      <c r="C18" s="92"/>
      <c r="D18" s="91"/>
      <c r="E18" s="91" t="s">
        <v>60</v>
      </c>
      <c r="F18" s="91">
        <v>30</v>
      </c>
      <c r="G18" s="93">
        <v>197211</v>
      </c>
      <c r="H18" s="93">
        <v>23.3</v>
      </c>
      <c r="I18" s="93"/>
      <c r="J18" s="101"/>
      <c r="K18" s="105"/>
      <c r="L18" s="105"/>
      <c r="M18" s="105"/>
      <c r="N18" s="105"/>
      <c r="O18" s="101"/>
      <c r="P18" s="101"/>
      <c r="Q18" s="104"/>
      <c r="R18" s="103"/>
      <c r="S18" s="94">
        <f t="shared" si="2"/>
        <v>23.3</v>
      </c>
      <c r="T18" s="95">
        <f t="shared" si="3"/>
        <v>1376</v>
      </c>
      <c r="U18" s="95">
        <f t="shared" ref="U18:U19" si="13">T18*(P18/100)</f>
        <v>0</v>
      </c>
      <c r="V18" s="95">
        <f t="shared" si="0"/>
        <v>0</v>
      </c>
      <c r="W18" s="96">
        <f t="shared" si="1"/>
        <v>1267.796152548093</v>
      </c>
      <c r="X18" s="96">
        <f>V18/[1]Manure!$I$2</f>
        <v>0</v>
      </c>
      <c r="Y18" s="96">
        <f>W18/[1]Manure!$I$2</f>
        <v>904.15574329493734</v>
      </c>
      <c r="Z18" s="96"/>
      <c r="AA18" s="96"/>
      <c r="AB18" s="98"/>
      <c r="AC18" s="11"/>
    </row>
    <row r="19" spans="1:29" ht="15.75" thickBot="1" x14ac:dyDescent="0.3">
      <c r="A19" s="91" t="s">
        <v>75</v>
      </c>
      <c r="B19" s="92">
        <v>0.41666666666666669</v>
      </c>
      <c r="C19" s="92"/>
      <c r="D19" s="91"/>
      <c r="E19" s="91" t="s">
        <v>60</v>
      </c>
      <c r="F19" s="91">
        <v>30</v>
      </c>
      <c r="G19" s="93">
        <v>200282</v>
      </c>
      <c r="H19" s="93">
        <v>27.6</v>
      </c>
      <c r="I19" s="93"/>
      <c r="J19" s="101"/>
      <c r="K19" s="105"/>
      <c r="L19" s="105"/>
      <c r="M19" s="105"/>
      <c r="N19" s="105"/>
      <c r="O19" s="101"/>
      <c r="P19" s="101"/>
      <c r="Q19" s="104"/>
      <c r="R19" s="103"/>
      <c r="S19" s="94">
        <f t="shared" si="2"/>
        <v>27.6</v>
      </c>
      <c r="T19" s="95">
        <f t="shared" si="3"/>
        <v>3071</v>
      </c>
      <c r="U19" s="95">
        <f t="shared" si="13"/>
        <v>0</v>
      </c>
      <c r="V19" s="95">
        <f t="shared" si="0"/>
        <v>0</v>
      </c>
      <c r="W19" s="96">
        <f t="shared" si="1"/>
        <v>2789.0319361277443</v>
      </c>
      <c r="X19" s="96">
        <f>V19/[1]Manure!$I$2</f>
        <v>0</v>
      </c>
      <c r="Y19" s="96">
        <f>W19/[1]Manure!$I$2</f>
        <v>1989.0573403418173</v>
      </c>
      <c r="Z19" s="96"/>
      <c r="AA19" s="96"/>
      <c r="AB19" s="95"/>
      <c r="AC19" s="11"/>
    </row>
    <row r="20" spans="1:29" ht="15.75" thickBot="1" x14ac:dyDescent="0.3">
      <c r="A20" s="91" t="s">
        <v>76</v>
      </c>
      <c r="B20" s="92">
        <v>0.41666666666666669</v>
      </c>
      <c r="C20" s="92"/>
      <c r="D20" s="91"/>
      <c r="E20" s="91" t="s">
        <v>60</v>
      </c>
      <c r="F20" s="91">
        <v>30</v>
      </c>
      <c r="G20" s="93">
        <v>202099</v>
      </c>
      <c r="H20" s="93">
        <v>26.9</v>
      </c>
      <c r="I20" s="93"/>
      <c r="J20" s="101"/>
      <c r="K20" s="105"/>
      <c r="L20" s="105"/>
      <c r="M20" s="105"/>
      <c r="N20" s="105"/>
      <c r="O20" s="101"/>
      <c r="P20" s="101"/>
      <c r="Q20" s="104"/>
      <c r="R20" s="103"/>
      <c r="S20" s="94">
        <f t="shared" si="2"/>
        <v>26.9</v>
      </c>
      <c r="T20" s="95">
        <f t="shared" si="3"/>
        <v>1817</v>
      </c>
      <c r="U20" s="95">
        <f t="shared" ref="U20" si="14">T20*(I20/100)</f>
        <v>0</v>
      </c>
      <c r="V20" s="95">
        <f t="shared" si="0"/>
        <v>0</v>
      </c>
      <c r="W20" s="96">
        <f t="shared" si="1"/>
        <v>1654.0213404468157</v>
      </c>
      <c r="X20" s="96">
        <f>V20/[1]Manure!$I$2</f>
        <v>0</v>
      </c>
      <c r="Y20" s="96">
        <f>W20/[1]Manure!$I$2</f>
        <v>1179.600436151859</v>
      </c>
      <c r="Z20" s="96"/>
      <c r="AA20" s="96"/>
      <c r="AB20" s="95"/>
      <c r="AC20" s="11"/>
    </row>
    <row r="21" spans="1:29" ht="15.75" thickBot="1" x14ac:dyDescent="0.3">
      <c r="A21" s="91" t="s">
        <v>77</v>
      </c>
      <c r="B21" s="92">
        <v>0.41666666666666669</v>
      </c>
      <c r="C21" s="92"/>
      <c r="D21" s="91"/>
      <c r="E21" s="91" t="s">
        <v>60</v>
      </c>
      <c r="F21" s="91">
        <v>30</v>
      </c>
      <c r="G21" s="93">
        <v>204099</v>
      </c>
      <c r="H21" s="93">
        <v>31.3</v>
      </c>
      <c r="I21" s="93"/>
      <c r="J21" s="101"/>
      <c r="K21" s="105"/>
      <c r="L21" s="105"/>
      <c r="M21" s="105"/>
      <c r="N21" s="105"/>
      <c r="O21" s="101"/>
      <c r="P21" s="101"/>
      <c r="Q21" s="104"/>
      <c r="R21" s="103"/>
      <c r="S21" s="94">
        <f t="shared" si="2"/>
        <v>31.3</v>
      </c>
      <c r="T21" s="95">
        <f t="shared" si="3"/>
        <v>2000</v>
      </c>
      <c r="U21" s="95">
        <f t="shared" ref="U21:U22" si="15">T21*(P21/100)</f>
        <v>0</v>
      </c>
      <c r="V21" s="95">
        <f t="shared" si="0"/>
        <v>0</v>
      </c>
      <c r="W21" s="96">
        <f t="shared" si="1"/>
        <v>1794.2819585934933</v>
      </c>
      <c r="X21" s="96">
        <f>V21/[1]Manure!$I$2</f>
        <v>0</v>
      </c>
      <c r="Y21" s="96">
        <f>W21/[1]Manure!$I$2</f>
        <v>1279.6302739144451</v>
      </c>
      <c r="Z21" s="96"/>
      <c r="AA21" s="96"/>
      <c r="AB21" s="95"/>
      <c r="AC21" s="11"/>
    </row>
    <row r="22" spans="1:29" ht="15.75" thickBot="1" x14ac:dyDescent="0.3">
      <c r="A22" s="91" t="s">
        <v>78</v>
      </c>
      <c r="B22" s="92">
        <v>0.41666666666666669</v>
      </c>
      <c r="C22" s="92"/>
      <c r="D22" s="91"/>
      <c r="E22" s="91" t="s">
        <v>60</v>
      </c>
      <c r="F22" s="91">
        <v>30</v>
      </c>
      <c r="G22" s="93">
        <v>206073</v>
      </c>
      <c r="H22" s="93">
        <v>29.9</v>
      </c>
      <c r="I22" s="93"/>
      <c r="J22" s="101"/>
      <c r="K22" s="105"/>
      <c r="L22" s="105"/>
      <c r="M22" s="105"/>
      <c r="N22" s="105"/>
      <c r="O22" s="101"/>
      <c r="P22" s="101"/>
      <c r="Q22" s="104"/>
      <c r="R22" s="103"/>
      <c r="S22" s="94">
        <f t="shared" si="2"/>
        <v>29.9</v>
      </c>
      <c r="T22" s="95">
        <f t="shared" si="3"/>
        <v>1974</v>
      </c>
      <c r="U22" s="95">
        <f t="shared" si="15"/>
        <v>0</v>
      </c>
      <c r="V22" s="95">
        <f t="shared" si="0"/>
        <v>0</v>
      </c>
      <c r="W22" s="96">
        <f t="shared" si="1"/>
        <v>1779.1416309012877</v>
      </c>
      <c r="X22" s="96">
        <f>V22/[1]Manure!$I$2</f>
        <v>0</v>
      </c>
      <c r="Y22" s="96">
        <f>W22/[1]Manure!$I$2</f>
        <v>1268.8326277701799</v>
      </c>
      <c r="Z22" s="96"/>
      <c r="AA22" s="96"/>
      <c r="AB22" s="95"/>
      <c r="AC22" s="11"/>
    </row>
    <row r="23" spans="1:29" ht="15.75" thickBot="1" x14ac:dyDescent="0.3">
      <c r="A23" s="97">
        <v>45352</v>
      </c>
      <c r="B23" s="92">
        <v>0.41666666666666669</v>
      </c>
      <c r="C23" s="92"/>
      <c r="D23" s="91"/>
      <c r="E23" s="91" t="s">
        <v>60</v>
      </c>
      <c r="F23" s="91">
        <v>30</v>
      </c>
      <c r="G23" s="93">
        <v>207886</v>
      </c>
      <c r="H23" s="93">
        <v>25.6</v>
      </c>
      <c r="I23" s="93"/>
      <c r="J23" s="101"/>
      <c r="K23" s="102"/>
      <c r="L23" s="102"/>
      <c r="M23" s="102"/>
      <c r="N23" s="102"/>
      <c r="O23" s="101"/>
      <c r="P23" s="101"/>
      <c r="Q23" s="104"/>
      <c r="R23" s="103"/>
      <c r="S23" s="94">
        <f t="shared" si="2"/>
        <v>25.6</v>
      </c>
      <c r="T23" s="95">
        <f t="shared" si="3"/>
        <v>1813</v>
      </c>
      <c r="U23" s="95">
        <f t="shared" ref="U23" si="16">T23*(I23/100)</f>
        <v>0</v>
      </c>
      <c r="V23" s="95">
        <f t="shared" si="0"/>
        <v>0</v>
      </c>
      <c r="W23" s="96">
        <f t="shared" si="1"/>
        <v>1657.5653047555256</v>
      </c>
      <c r="X23" s="96">
        <f>V23/[1]Manure!$I$2</f>
        <v>0</v>
      </c>
      <c r="Y23" s="96">
        <f>W23/[1]Manure!$I$2</f>
        <v>1182.1278895419896</v>
      </c>
      <c r="Z23" s="96"/>
      <c r="AA23" s="96"/>
      <c r="AB23" s="95"/>
      <c r="AC23" s="11"/>
    </row>
    <row r="24" spans="1:29" ht="15.75" thickBot="1" x14ac:dyDescent="0.3">
      <c r="A24" s="97">
        <v>45353</v>
      </c>
      <c r="B24" s="92">
        <v>0.41666666666666669</v>
      </c>
      <c r="C24" s="92"/>
      <c r="D24" s="91"/>
      <c r="E24" s="91" t="s">
        <v>60</v>
      </c>
      <c r="F24" s="91">
        <v>30</v>
      </c>
      <c r="G24" s="93">
        <v>209662</v>
      </c>
      <c r="H24" s="93">
        <v>27.8</v>
      </c>
      <c r="I24" s="93"/>
      <c r="J24" s="101"/>
      <c r="K24" s="102"/>
      <c r="L24" s="102"/>
      <c r="M24" s="102"/>
      <c r="N24" s="102"/>
      <c r="O24" s="101"/>
      <c r="P24" s="101"/>
      <c r="Q24" s="104"/>
      <c r="R24" s="103"/>
      <c r="S24" s="94">
        <f t="shared" si="2"/>
        <v>27.8</v>
      </c>
      <c r="T24" s="95">
        <f t="shared" si="3"/>
        <v>1776</v>
      </c>
      <c r="U24" s="95">
        <f t="shared" ref="U24:U25" si="17">T24*(P24/100)</f>
        <v>0</v>
      </c>
      <c r="V24" s="95">
        <f t="shared" si="0"/>
        <v>0</v>
      </c>
      <c r="W24" s="96">
        <f t="shared" si="1"/>
        <v>1611.8617021276596</v>
      </c>
      <c r="X24" s="96">
        <f>V24/[1]Manure!$I$2</f>
        <v>0</v>
      </c>
      <c r="Y24" s="96">
        <f>W24/[1]Manure!$I$2</f>
        <v>1149.5333949758081</v>
      </c>
      <c r="Z24" s="96"/>
      <c r="AA24" s="96"/>
      <c r="AB24" s="95"/>
      <c r="AC24" s="11"/>
    </row>
    <row r="25" spans="1:29" ht="15.75" thickBot="1" x14ac:dyDescent="0.3">
      <c r="A25" s="97">
        <v>45355</v>
      </c>
      <c r="B25" s="92">
        <v>0.41666666666666669</v>
      </c>
      <c r="C25" s="92"/>
      <c r="D25" s="91"/>
      <c r="E25" s="91" t="s">
        <v>60</v>
      </c>
      <c r="F25" s="91">
        <v>30</v>
      </c>
      <c r="G25" s="93">
        <v>212529</v>
      </c>
      <c r="H25" s="93">
        <v>27</v>
      </c>
      <c r="I25" s="93"/>
      <c r="J25" s="103"/>
      <c r="K25" s="106"/>
      <c r="L25" s="106"/>
      <c r="M25" s="106"/>
      <c r="N25" s="106"/>
      <c r="O25" s="103"/>
      <c r="P25" s="109">
        <v>0.59899999999999998</v>
      </c>
      <c r="Q25" s="110">
        <v>0.44500000000000001</v>
      </c>
      <c r="R25" s="103"/>
      <c r="S25" s="94">
        <f t="shared" si="2"/>
        <v>27</v>
      </c>
      <c r="T25" s="95">
        <f t="shared" si="3"/>
        <v>2867</v>
      </c>
      <c r="U25" s="95">
        <f t="shared" si="17"/>
        <v>17.17333</v>
      </c>
      <c r="V25" s="95">
        <f t="shared" si="0"/>
        <v>15.627730300000001</v>
      </c>
      <c r="W25" s="96">
        <f t="shared" si="1"/>
        <v>2608.9700000000003</v>
      </c>
      <c r="X25" s="96">
        <f>V25/[1]Manure!$I$2</f>
        <v>11.145247662260362</v>
      </c>
      <c r="Y25" s="96">
        <f>W25/[1]Manure!$I$2</f>
        <v>1860.6423476227651</v>
      </c>
      <c r="Z25" s="96"/>
      <c r="AA25" s="96"/>
      <c r="AB25" s="95"/>
      <c r="AC25" s="11"/>
    </row>
    <row r="26" spans="1:29" ht="15.75" thickBot="1" x14ac:dyDescent="0.3">
      <c r="A26" s="97">
        <v>45356</v>
      </c>
      <c r="B26" s="92">
        <v>0.41666666666666669</v>
      </c>
      <c r="C26" s="92"/>
      <c r="D26" s="91"/>
      <c r="E26" s="91" t="s">
        <v>60</v>
      </c>
      <c r="F26" s="91">
        <v>30</v>
      </c>
      <c r="G26" s="93">
        <v>213840</v>
      </c>
      <c r="H26" s="93">
        <v>26.4</v>
      </c>
      <c r="I26" s="93"/>
      <c r="J26" s="103"/>
      <c r="K26" s="106"/>
      <c r="L26" s="106"/>
      <c r="M26" s="106"/>
      <c r="N26" s="106"/>
      <c r="O26" s="103"/>
      <c r="P26" s="103"/>
      <c r="Q26" s="104"/>
      <c r="R26" s="103"/>
      <c r="S26" s="94">
        <f>H26</f>
        <v>26.4</v>
      </c>
      <c r="T26" s="95">
        <f t="shared" si="3"/>
        <v>1311</v>
      </c>
      <c r="U26" s="95">
        <f t="shared" ref="U26" si="18">T26*(I26/100)</f>
        <v>0</v>
      </c>
      <c r="V26" s="95">
        <f t="shared" si="0"/>
        <v>0</v>
      </c>
      <c r="W26" s="96">
        <f t="shared" si="1"/>
        <v>1195.4008016032064</v>
      </c>
      <c r="X26" s="96">
        <f>V26/[1]Manure!$I$2</f>
        <v>0</v>
      </c>
      <c r="Y26" s="96">
        <f>W26/[1]Manure!$I$2</f>
        <v>852.52546171290771</v>
      </c>
      <c r="Z26" s="96"/>
      <c r="AA26" s="96"/>
      <c r="AB26" s="95"/>
      <c r="AC26" s="11"/>
    </row>
    <row r="27" spans="1:29" ht="15.75" thickBot="1" x14ac:dyDescent="0.3">
      <c r="A27" s="97">
        <v>45357</v>
      </c>
      <c r="B27" s="92">
        <v>0.41666666666666669</v>
      </c>
      <c r="C27" s="92"/>
      <c r="D27" s="91"/>
      <c r="E27" s="91" t="s">
        <v>60</v>
      </c>
      <c r="F27" s="91">
        <v>30</v>
      </c>
      <c r="G27" s="93">
        <v>215156</v>
      </c>
      <c r="H27" s="93">
        <v>31.6</v>
      </c>
      <c r="I27" s="93"/>
      <c r="J27" s="103"/>
      <c r="K27" s="106"/>
      <c r="L27" s="106"/>
      <c r="M27" s="106"/>
      <c r="N27" s="106"/>
      <c r="O27" s="103"/>
      <c r="P27" s="103"/>
      <c r="Q27" s="104"/>
      <c r="R27" s="103"/>
      <c r="S27" s="94">
        <f t="shared" si="2"/>
        <v>31.6</v>
      </c>
      <c r="T27" s="95">
        <f t="shared" si="3"/>
        <v>1316</v>
      </c>
      <c r="U27" s="95">
        <f t="shared" ref="U27:U28" si="19">T27*(P27/100)</f>
        <v>0</v>
      </c>
      <c r="V27" s="95">
        <f t="shared" si="0"/>
        <v>0</v>
      </c>
      <c r="W27" s="96">
        <f t="shared" si="1"/>
        <v>1179.4747209455022</v>
      </c>
      <c r="X27" s="96">
        <f>V27/[1]Manure!$I$2</f>
        <v>0</v>
      </c>
      <c r="Y27" s="96">
        <f>W27/[1]Manure!$I$2</f>
        <v>841.16743915865061</v>
      </c>
      <c r="Z27" s="96"/>
      <c r="AA27" s="96"/>
      <c r="AB27" s="95"/>
      <c r="AC27" s="11"/>
    </row>
    <row r="28" spans="1:29" ht="15.75" thickBot="1" x14ac:dyDescent="0.3">
      <c r="A28" s="97">
        <v>45358</v>
      </c>
      <c r="B28" s="92">
        <v>0.41666666666666669</v>
      </c>
      <c r="C28" s="92"/>
      <c r="D28" s="91"/>
      <c r="E28" s="91" t="s">
        <v>60</v>
      </c>
      <c r="F28" s="91">
        <v>30</v>
      </c>
      <c r="G28" s="93">
        <v>216474</v>
      </c>
      <c r="H28" s="93">
        <v>25.6</v>
      </c>
      <c r="I28" s="93"/>
      <c r="J28" s="103"/>
      <c r="K28" s="106"/>
      <c r="L28" s="106"/>
      <c r="M28" s="106"/>
      <c r="N28" s="106"/>
      <c r="O28" s="103"/>
      <c r="P28" s="103"/>
      <c r="Q28" s="104"/>
      <c r="R28" s="103"/>
      <c r="S28" s="94">
        <f t="shared" si="2"/>
        <v>25.6</v>
      </c>
      <c r="T28" s="95">
        <f t="shared" si="3"/>
        <v>1318</v>
      </c>
      <c r="U28" s="95">
        <f t="shared" si="19"/>
        <v>0</v>
      </c>
      <c r="V28" s="95">
        <f t="shared" si="0"/>
        <v>0</v>
      </c>
      <c r="W28" s="96">
        <f t="shared" si="1"/>
        <v>1205.0033489618218</v>
      </c>
      <c r="X28" s="96">
        <f>V28/[1]Manure!$I$2</f>
        <v>0</v>
      </c>
      <c r="Y28" s="96">
        <f>W28/[1]Manure!$I$2</f>
        <v>859.37372223736486</v>
      </c>
      <c r="Z28" s="96"/>
      <c r="AA28" s="96"/>
      <c r="AB28" s="95"/>
      <c r="AC28" s="11"/>
    </row>
    <row r="29" spans="1:29" ht="15.75" thickBot="1" x14ac:dyDescent="0.3">
      <c r="A29" s="97"/>
      <c r="B29" s="92">
        <v>0.41666666666666669</v>
      </c>
      <c r="C29" s="93"/>
      <c r="D29" s="91"/>
      <c r="E29" s="91" t="s">
        <v>60</v>
      </c>
      <c r="F29" s="91">
        <v>30</v>
      </c>
      <c r="G29" s="93">
        <v>113601</v>
      </c>
      <c r="H29" s="93"/>
      <c r="I29" s="93"/>
      <c r="J29" s="103"/>
      <c r="K29" s="106"/>
      <c r="L29" s="106"/>
      <c r="M29" s="106"/>
      <c r="N29" s="106"/>
      <c r="O29" s="103"/>
      <c r="P29" s="103"/>
      <c r="Q29" s="104"/>
      <c r="R29" s="103"/>
      <c r="S29" s="94">
        <f t="shared" si="2"/>
        <v>0</v>
      </c>
      <c r="T29" s="95">
        <f t="shared" si="3"/>
        <v>-102873</v>
      </c>
      <c r="U29" s="95">
        <f t="shared" ref="U29:U77" si="20">T29*(I29/100)</f>
        <v>0</v>
      </c>
      <c r="V29" s="95">
        <f t="shared" si="0"/>
        <v>0</v>
      </c>
      <c r="W29" s="96">
        <f t="shared" si="1"/>
        <v>-102873</v>
      </c>
      <c r="X29" s="96">
        <f>V29/[1]Manure!$I$2</f>
        <v>0</v>
      </c>
      <c r="Y29" s="96">
        <f>W29/[1]Manure!$I$2</f>
        <v>-73366.064089275344</v>
      </c>
      <c r="Z29" s="96"/>
      <c r="AA29" s="96"/>
      <c r="AB29" s="95"/>
      <c r="AC29" s="11"/>
    </row>
    <row r="30" spans="1:29" ht="15.75" thickBot="1" x14ac:dyDescent="0.3">
      <c r="A30" s="97">
        <v>45359</v>
      </c>
      <c r="B30" s="92">
        <v>0.41666666666666669</v>
      </c>
      <c r="C30" s="92"/>
      <c r="D30" s="91"/>
      <c r="E30" s="91" t="s">
        <v>60</v>
      </c>
      <c r="F30" s="91">
        <v>30</v>
      </c>
      <c r="G30" s="93">
        <v>114996</v>
      </c>
      <c r="H30" s="93"/>
      <c r="I30" s="93"/>
      <c r="J30" s="103"/>
      <c r="K30" s="106"/>
      <c r="L30" s="106"/>
      <c r="M30" s="106"/>
      <c r="N30" s="106"/>
      <c r="O30" s="103"/>
      <c r="P30" s="103"/>
      <c r="Q30" s="104"/>
      <c r="R30" s="103"/>
      <c r="S30" s="94">
        <f t="shared" si="2"/>
        <v>0</v>
      </c>
      <c r="T30" s="95">
        <f t="shared" si="3"/>
        <v>1395</v>
      </c>
      <c r="U30" s="95">
        <f t="shared" ref="U30:U79" si="21">T30*(P30/100)</f>
        <v>0</v>
      </c>
      <c r="V30" s="95">
        <f t="shared" si="0"/>
        <v>0</v>
      </c>
      <c r="W30" s="96">
        <f t="shared" si="1"/>
        <v>1395</v>
      </c>
      <c r="X30" s="96">
        <f>V30/[1]Manure!$I$2</f>
        <v>0</v>
      </c>
      <c r="Y30" s="96">
        <f>W30/[1]Manure!$I$2</f>
        <v>994.87386782284079</v>
      </c>
      <c r="Z30" s="96"/>
      <c r="AA30" s="96"/>
      <c r="AB30" s="95"/>
      <c r="AC30" s="11"/>
    </row>
    <row r="31" spans="1:29" ht="15.75" thickBot="1" x14ac:dyDescent="0.3">
      <c r="A31" s="97">
        <v>45360</v>
      </c>
      <c r="B31" s="92">
        <v>0.41666666666666669</v>
      </c>
      <c r="C31" s="92"/>
      <c r="D31" s="91"/>
      <c r="E31" s="91" t="s">
        <v>60</v>
      </c>
      <c r="F31" s="91">
        <v>30</v>
      </c>
      <c r="G31" s="93">
        <v>116446</v>
      </c>
      <c r="H31" s="93">
        <v>26</v>
      </c>
      <c r="I31" s="93"/>
      <c r="J31" s="103"/>
      <c r="K31" s="106"/>
      <c r="L31" s="106"/>
      <c r="M31" s="106"/>
      <c r="N31" s="106"/>
      <c r="O31" s="103"/>
      <c r="P31" s="103"/>
      <c r="Q31" s="104"/>
      <c r="R31" s="103"/>
      <c r="S31" s="94">
        <f t="shared" si="2"/>
        <v>26</v>
      </c>
      <c r="T31" s="95">
        <f t="shared" si="3"/>
        <v>1450</v>
      </c>
      <c r="U31" s="95">
        <f t="shared" si="21"/>
        <v>0</v>
      </c>
      <c r="V31" s="95">
        <f t="shared" si="0"/>
        <v>0</v>
      </c>
      <c r="W31" s="96">
        <f t="shared" si="1"/>
        <v>1323.9130434782608</v>
      </c>
      <c r="X31" s="96">
        <f>V31/[1]Manure!$I$2</f>
        <v>0</v>
      </c>
      <c r="Y31" s="96">
        <f>W31/[1]Manure!$I$2</f>
        <v>944.17669550274275</v>
      </c>
      <c r="Z31" s="96"/>
      <c r="AA31" s="96"/>
      <c r="AB31" s="95"/>
      <c r="AC31" s="11"/>
    </row>
    <row r="32" spans="1:29" ht="15.75" thickBot="1" x14ac:dyDescent="0.3">
      <c r="A32" s="97"/>
      <c r="B32" s="92">
        <v>0.41666666666666669</v>
      </c>
      <c r="C32" s="92"/>
      <c r="D32" s="91"/>
      <c r="E32" s="91" t="s">
        <v>60</v>
      </c>
      <c r="F32" s="91">
        <v>30</v>
      </c>
      <c r="G32" s="93">
        <v>109334</v>
      </c>
      <c r="H32" s="93">
        <v>28.4</v>
      </c>
      <c r="I32" s="93"/>
      <c r="J32" s="103"/>
      <c r="K32" s="106"/>
      <c r="L32" s="106"/>
      <c r="M32" s="106"/>
      <c r="N32" s="106"/>
      <c r="O32" s="103"/>
      <c r="P32" s="103"/>
      <c r="Q32" s="104"/>
      <c r="R32" s="103"/>
      <c r="S32" s="94">
        <f t="shared" si="2"/>
        <v>28.4</v>
      </c>
      <c r="T32" s="95">
        <f t="shared" si="3"/>
        <v>-7112</v>
      </c>
      <c r="U32" s="95">
        <f t="shared" ref="U32:U80" si="22">T32*(I32/100)</f>
        <v>0</v>
      </c>
      <c r="V32" s="95">
        <f t="shared" si="0"/>
        <v>0</v>
      </c>
      <c r="W32" s="96">
        <f t="shared" si="1"/>
        <v>-6441.8579960185807</v>
      </c>
      <c r="X32" s="96">
        <f>V32/[1]Manure!$I$2</f>
        <v>0</v>
      </c>
      <c r="Y32" s="96">
        <f>W32/[1]Manure!$I$2</f>
        <v>-4594.1477996161284</v>
      </c>
      <c r="Z32" s="96"/>
      <c r="AA32" s="96"/>
      <c r="AB32" s="95"/>
      <c r="AC32" s="11"/>
    </row>
    <row r="33" spans="1:29" ht="15.75" thickBot="1" x14ac:dyDescent="0.3">
      <c r="A33" s="97">
        <v>45363</v>
      </c>
      <c r="B33" s="92">
        <v>0.41666666666666669</v>
      </c>
      <c r="C33" s="92"/>
      <c r="D33" s="91"/>
      <c r="E33" s="91" t="s">
        <v>60</v>
      </c>
      <c r="F33" s="91">
        <v>30</v>
      </c>
      <c r="G33" s="93">
        <v>120846</v>
      </c>
      <c r="H33" s="93">
        <v>31.1</v>
      </c>
      <c r="I33" s="93"/>
      <c r="J33" s="103"/>
      <c r="K33" s="106"/>
      <c r="L33" s="106"/>
      <c r="M33" s="106"/>
      <c r="N33" s="106"/>
      <c r="O33" s="103"/>
      <c r="P33" s="103"/>
      <c r="Q33" s="104"/>
      <c r="R33" s="103"/>
      <c r="S33" s="94">
        <f t="shared" si="2"/>
        <v>31.1</v>
      </c>
      <c r="T33" s="95">
        <f t="shared" si="3"/>
        <v>11512</v>
      </c>
      <c r="U33" s="95">
        <f t="shared" ref="U33:U82" si="23">T33*(P33/100)</f>
        <v>0</v>
      </c>
      <c r="V33" s="95">
        <f t="shared" si="0"/>
        <v>0</v>
      </c>
      <c r="W33" s="96">
        <f t="shared" si="1"/>
        <v>10334.679381782307</v>
      </c>
      <c r="X33" s="96">
        <f>V33/[1]Manure!$I$2</f>
        <v>0</v>
      </c>
      <c r="Y33" s="96">
        <f>W33/[1]Manure!$I$2</f>
        <v>7370.3960209768666</v>
      </c>
      <c r="Z33" s="96"/>
      <c r="AA33" s="96"/>
      <c r="AB33" s="95"/>
      <c r="AC33" s="11"/>
    </row>
    <row r="34" spans="1:29" ht="15.75" thickBot="1" x14ac:dyDescent="0.3">
      <c r="A34" s="97">
        <v>45364</v>
      </c>
      <c r="B34" s="92">
        <v>0.41666666666666669</v>
      </c>
      <c r="C34" s="92"/>
      <c r="D34" s="91"/>
      <c r="E34" s="91" t="s">
        <v>60</v>
      </c>
      <c r="F34" s="91">
        <v>30</v>
      </c>
      <c r="G34" s="93">
        <v>122405</v>
      </c>
      <c r="H34" s="93">
        <v>31.1</v>
      </c>
      <c r="I34" s="93"/>
      <c r="J34" s="103"/>
      <c r="K34" s="107"/>
      <c r="L34" s="107"/>
      <c r="M34" s="107"/>
      <c r="N34" s="107"/>
      <c r="O34" s="103"/>
      <c r="P34" s="103"/>
      <c r="Q34" s="104"/>
      <c r="R34" s="103"/>
      <c r="S34" s="94">
        <f t="shared" si="2"/>
        <v>31.1</v>
      </c>
      <c r="T34" s="95">
        <f t="shared" si="3"/>
        <v>1559</v>
      </c>
      <c r="U34" s="95">
        <f t="shared" si="23"/>
        <v>0</v>
      </c>
      <c r="V34" s="95">
        <f t="shared" si="0"/>
        <v>0</v>
      </c>
      <c r="W34" s="96">
        <f t="shared" si="1"/>
        <v>1399.5626438671488</v>
      </c>
      <c r="X34" s="96">
        <f>V34/[1]Manure!$I$2</f>
        <v>0</v>
      </c>
      <c r="Y34" s="96">
        <f>W34/[1]Manure!$I$2</f>
        <v>998.12781416807991</v>
      </c>
      <c r="Z34" s="96"/>
      <c r="AA34" s="96"/>
      <c r="AB34" s="95"/>
      <c r="AC34" s="11"/>
    </row>
    <row r="35" spans="1:29" ht="15.75" thickBot="1" x14ac:dyDescent="0.3">
      <c r="A35" s="97">
        <v>45365</v>
      </c>
      <c r="B35" s="92">
        <v>0.41666666666666669</v>
      </c>
      <c r="C35" s="92"/>
      <c r="D35" s="91"/>
      <c r="E35" s="91" t="s">
        <v>60</v>
      </c>
      <c r="F35" s="91">
        <v>30</v>
      </c>
      <c r="G35" s="93">
        <v>124033</v>
      </c>
      <c r="H35" s="93">
        <v>31.1</v>
      </c>
      <c r="I35" s="100"/>
      <c r="J35" s="103"/>
      <c r="K35" s="107"/>
      <c r="L35" s="107"/>
      <c r="M35" s="107"/>
      <c r="N35" s="107"/>
      <c r="O35" s="103"/>
      <c r="P35" s="103"/>
      <c r="Q35" s="104"/>
      <c r="R35" s="103"/>
      <c r="S35" s="94">
        <f t="shared" si="2"/>
        <v>31.1</v>
      </c>
      <c r="T35" s="95">
        <f t="shared" si="3"/>
        <v>1628</v>
      </c>
      <c r="U35" s="95">
        <f t="shared" ref="U35:U83" si="24">T35*(I35/100)</f>
        <v>0</v>
      </c>
      <c r="V35" s="95">
        <f t="shared" si="0"/>
        <v>0</v>
      </c>
      <c r="W35" s="96">
        <f t="shared" si="1"/>
        <v>1461.5060835251561</v>
      </c>
      <c r="X35" s="96">
        <f>V35/[1]Manure!$I$2</f>
        <v>0</v>
      </c>
      <c r="Y35" s="96">
        <f>W35/[1]Manure!$I$2</f>
        <v>1042.3040933070135</v>
      </c>
      <c r="Z35" s="96"/>
      <c r="AA35" s="96"/>
      <c r="AB35" s="95"/>
      <c r="AC35" s="11"/>
    </row>
    <row r="36" spans="1:29" ht="15.75" thickBot="1" x14ac:dyDescent="0.3">
      <c r="A36" s="97">
        <v>45366</v>
      </c>
      <c r="B36" s="92">
        <v>0.41666666666666669</v>
      </c>
      <c r="C36" s="92"/>
      <c r="D36" s="91"/>
      <c r="E36" s="91" t="s">
        <v>60</v>
      </c>
      <c r="F36" s="91">
        <v>30</v>
      </c>
      <c r="G36" s="93">
        <v>125681</v>
      </c>
      <c r="H36" s="93">
        <v>24.7</v>
      </c>
      <c r="I36" s="93"/>
      <c r="J36" s="103"/>
      <c r="K36" s="107"/>
      <c r="L36" s="107"/>
      <c r="M36" s="107"/>
      <c r="N36" s="107"/>
      <c r="O36" s="103"/>
      <c r="P36" s="103"/>
      <c r="Q36" s="104"/>
      <c r="R36" s="103"/>
      <c r="S36" s="94">
        <f t="shared" si="2"/>
        <v>24.7</v>
      </c>
      <c r="T36" s="95">
        <f t="shared" si="3"/>
        <v>1648</v>
      </c>
      <c r="U36" s="95">
        <f t="shared" ref="U36:U85" si="25">T36*(P36/100)</f>
        <v>0</v>
      </c>
      <c r="V36" s="95">
        <f t="shared" si="0"/>
        <v>0</v>
      </c>
      <c r="W36" s="96">
        <f t="shared" si="1"/>
        <v>1511.2663755458516</v>
      </c>
      <c r="X36" s="96">
        <f>V36/[1]Manure!$I$2</f>
        <v>0</v>
      </c>
      <c r="Y36" s="96">
        <f>W36/[1]Manure!$I$2</f>
        <v>1077.7917020429443</v>
      </c>
      <c r="Z36" s="96"/>
      <c r="AA36" s="96"/>
      <c r="AB36" s="95"/>
      <c r="AC36" s="11"/>
    </row>
    <row r="37" spans="1:29" ht="15.75" thickBot="1" x14ac:dyDescent="0.3">
      <c r="A37" s="97">
        <v>45367</v>
      </c>
      <c r="B37" s="92">
        <v>0.41666666666666669</v>
      </c>
      <c r="C37" s="92"/>
      <c r="D37" s="91"/>
      <c r="E37" s="91" t="s">
        <v>60</v>
      </c>
      <c r="F37" s="91">
        <v>30</v>
      </c>
      <c r="G37" s="93">
        <v>127397</v>
      </c>
      <c r="H37" s="100">
        <v>31.6</v>
      </c>
      <c r="I37" s="93"/>
      <c r="J37" s="103"/>
      <c r="K37" s="107"/>
      <c r="L37" s="107"/>
      <c r="M37" s="107"/>
      <c r="N37" s="107"/>
      <c r="O37" s="103"/>
      <c r="P37" s="103"/>
      <c r="Q37" s="104"/>
      <c r="R37" s="103"/>
      <c r="S37" s="94">
        <f t="shared" si="2"/>
        <v>31.6</v>
      </c>
      <c r="T37" s="95">
        <f t="shared" si="3"/>
        <v>1716</v>
      </c>
      <c r="U37" s="95">
        <f t="shared" si="25"/>
        <v>0</v>
      </c>
      <c r="V37" s="95">
        <f t="shared" si="0"/>
        <v>0</v>
      </c>
      <c r="W37" s="96">
        <f t="shared" si="1"/>
        <v>1537.9776756401839</v>
      </c>
      <c r="X37" s="96">
        <f>V37/[1]Manure!$I$2</f>
        <v>0</v>
      </c>
      <c r="Y37" s="96">
        <f>W37/[1]Manure!$I$2</f>
        <v>1096.8414328238941</v>
      </c>
      <c r="Z37" s="96"/>
      <c r="AA37" s="96"/>
      <c r="AB37" s="95"/>
      <c r="AC37" s="11"/>
    </row>
    <row r="38" spans="1:29" ht="15.75" thickBot="1" x14ac:dyDescent="0.3">
      <c r="A38" s="97">
        <v>45369</v>
      </c>
      <c r="B38" s="92">
        <v>0.41666666666666669</v>
      </c>
      <c r="C38" s="92"/>
      <c r="D38" s="91"/>
      <c r="E38" s="91" t="s">
        <v>60</v>
      </c>
      <c r="F38" s="91">
        <v>30</v>
      </c>
      <c r="G38" s="93">
        <v>131007</v>
      </c>
      <c r="H38" s="93">
        <v>33.700000000000003</v>
      </c>
      <c r="I38" s="93"/>
      <c r="J38" s="103"/>
      <c r="K38" s="107"/>
      <c r="L38" s="107"/>
      <c r="M38" s="107"/>
      <c r="N38" s="107"/>
      <c r="O38" s="103"/>
      <c r="P38" s="103"/>
      <c r="Q38" s="104"/>
      <c r="R38" s="103"/>
      <c r="S38" s="94">
        <f t="shared" si="2"/>
        <v>33.700000000000003</v>
      </c>
      <c r="T38" s="95">
        <f t="shared" si="3"/>
        <v>3610</v>
      </c>
      <c r="U38" s="95">
        <f t="shared" ref="U38:U86" si="26">T38*(I38/100)</f>
        <v>0</v>
      </c>
      <c r="V38" s="95">
        <f t="shared" si="0"/>
        <v>0</v>
      </c>
      <c r="W38" s="96">
        <f t="shared" si="1"/>
        <v>3213.3355070101079</v>
      </c>
      <c r="X38" s="96">
        <f>V38/[1]Manure!$I$2</f>
        <v>0</v>
      </c>
      <c r="Y38" s="96">
        <f>W38/[1]Manure!$I$2</f>
        <v>2291.6584404814444</v>
      </c>
      <c r="Z38" s="96"/>
      <c r="AA38" s="96"/>
      <c r="AB38" s="95"/>
      <c r="AC38" s="11"/>
    </row>
    <row r="39" spans="1:29" ht="15.75" thickBot="1" x14ac:dyDescent="0.3">
      <c r="A39" s="97">
        <v>45370</v>
      </c>
      <c r="B39" s="92">
        <v>0.41666666666666669</v>
      </c>
      <c r="C39" s="92"/>
      <c r="D39" s="91"/>
      <c r="E39" s="91" t="s">
        <v>60</v>
      </c>
      <c r="F39" s="91">
        <v>30</v>
      </c>
      <c r="G39" s="93">
        <v>131868</v>
      </c>
      <c r="H39" s="93">
        <v>28.1</v>
      </c>
      <c r="I39" s="93"/>
      <c r="J39" s="103"/>
      <c r="K39" s="107"/>
      <c r="L39" s="107"/>
      <c r="M39" s="107"/>
      <c r="N39" s="107"/>
      <c r="O39" s="103"/>
      <c r="P39" s="103"/>
      <c r="Q39" s="104"/>
      <c r="R39" s="103"/>
      <c r="S39" s="94">
        <f t="shared" si="2"/>
        <v>28.1</v>
      </c>
      <c r="T39" s="95">
        <f t="shared" si="3"/>
        <v>861</v>
      </c>
      <c r="U39" s="95">
        <f t="shared" ref="U39:U88" si="27">T39*(P39/100)</f>
        <v>0</v>
      </c>
      <c r="V39" s="95">
        <f t="shared" si="0"/>
        <v>0</v>
      </c>
      <c r="W39" s="96">
        <f t="shared" si="1"/>
        <v>780.64762537362992</v>
      </c>
      <c r="X39" s="96">
        <f>V39/[1]Manure!$I$2</f>
        <v>0</v>
      </c>
      <c r="Y39" s="96">
        <f>W39/[1]Manure!$I$2</f>
        <v>556.73542828830057</v>
      </c>
      <c r="Z39" s="96"/>
      <c r="AA39" s="96"/>
      <c r="AB39" s="95"/>
      <c r="AC39" s="11"/>
    </row>
    <row r="40" spans="1:29" ht="15.75" thickBot="1" x14ac:dyDescent="0.3">
      <c r="A40" s="97">
        <v>45371</v>
      </c>
      <c r="B40" s="92">
        <v>0.41666666666666669</v>
      </c>
      <c r="C40" s="92"/>
      <c r="D40" s="91"/>
      <c r="E40" s="91" t="s">
        <v>60</v>
      </c>
      <c r="F40" s="91">
        <v>30</v>
      </c>
      <c r="G40" s="93">
        <v>134722</v>
      </c>
      <c r="H40" s="93">
        <v>27.8</v>
      </c>
      <c r="I40" s="93"/>
      <c r="J40" s="103"/>
      <c r="K40" s="107"/>
      <c r="L40" s="107"/>
      <c r="M40" s="107"/>
      <c r="N40" s="107"/>
      <c r="O40" s="103"/>
      <c r="P40" s="103"/>
      <c r="Q40" s="104"/>
      <c r="R40" s="103"/>
      <c r="S40" s="94">
        <f t="shared" si="2"/>
        <v>27.8</v>
      </c>
      <c r="T40" s="95">
        <f t="shared" si="3"/>
        <v>2854</v>
      </c>
      <c r="U40" s="95">
        <f t="shared" si="27"/>
        <v>0</v>
      </c>
      <c r="V40" s="95">
        <f t="shared" si="0"/>
        <v>0</v>
      </c>
      <c r="W40" s="96">
        <f t="shared" si="1"/>
        <v>2590.2327127659573</v>
      </c>
      <c r="X40" s="96">
        <f>V40/[1]Manure!$I$2</f>
        <v>0</v>
      </c>
      <c r="Y40" s="96">
        <f>W40/[1]Manure!$I$2</f>
        <v>1847.2794534127006</v>
      </c>
      <c r="Z40" s="96"/>
      <c r="AA40" s="96"/>
      <c r="AB40" s="95"/>
      <c r="AC40" s="11"/>
    </row>
    <row r="41" spans="1:29" ht="15.75" thickBot="1" x14ac:dyDescent="0.3">
      <c r="A41" s="97">
        <v>45372</v>
      </c>
      <c r="B41" s="92">
        <v>0.41666666666666669</v>
      </c>
      <c r="C41" s="92"/>
      <c r="D41" s="91"/>
      <c r="E41" s="91" t="s">
        <v>60</v>
      </c>
      <c r="F41" s="91">
        <v>30</v>
      </c>
      <c r="G41" s="93">
        <v>136440</v>
      </c>
      <c r="H41" s="93">
        <v>28.1</v>
      </c>
      <c r="I41" s="93"/>
      <c r="J41" s="103"/>
      <c r="K41" s="107"/>
      <c r="L41" s="107"/>
      <c r="M41" s="107"/>
      <c r="N41" s="107"/>
      <c r="O41" s="103"/>
      <c r="P41" s="103"/>
      <c r="Q41" s="104"/>
      <c r="R41" s="103"/>
      <c r="S41" s="94">
        <f t="shared" si="2"/>
        <v>28.1</v>
      </c>
      <c r="T41" s="95">
        <f t="shared" si="3"/>
        <v>1718</v>
      </c>
      <c r="U41" s="95">
        <f t="shared" ref="U41:U89" si="28">T41*(I41/100)</f>
        <v>0</v>
      </c>
      <c r="V41" s="95">
        <f t="shared" si="0"/>
        <v>0</v>
      </c>
      <c r="W41" s="96">
        <f t="shared" si="1"/>
        <v>1557.6685486549318</v>
      </c>
      <c r="X41" s="96">
        <f>V41/[1]Manure!$I$2</f>
        <v>0</v>
      </c>
      <c r="Y41" s="96">
        <f>W41/[1]Manure!$I$2</f>
        <v>1110.884396979443</v>
      </c>
      <c r="Z41" s="96"/>
      <c r="AA41" s="96"/>
      <c r="AB41" s="95"/>
      <c r="AC41" s="11"/>
    </row>
    <row r="42" spans="1:29" ht="15.75" thickBot="1" x14ac:dyDescent="0.3">
      <c r="A42" s="97">
        <v>45373</v>
      </c>
      <c r="B42" s="92">
        <v>0.41666666666666669</v>
      </c>
      <c r="C42" s="92"/>
      <c r="D42" s="91"/>
      <c r="E42" s="91" t="s">
        <v>60</v>
      </c>
      <c r="F42" s="91">
        <v>30</v>
      </c>
      <c r="G42" s="93">
        <v>137792</v>
      </c>
      <c r="H42" s="93">
        <v>28</v>
      </c>
      <c r="I42" s="93"/>
      <c r="J42" s="103"/>
      <c r="K42" s="107"/>
      <c r="L42" s="107"/>
      <c r="M42" s="107"/>
      <c r="N42" s="107"/>
      <c r="O42" s="103"/>
      <c r="P42" s="103"/>
      <c r="Q42" s="104"/>
      <c r="R42" s="103"/>
      <c r="S42" s="94">
        <f t="shared" si="2"/>
        <v>28</v>
      </c>
      <c r="T42" s="95">
        <f t="shared" si="3"/>
        <v>1352</v>
      </c>
      <c r="U42" s="95">
        <f t="shared" ref="U42:U91" si="29">T42*(P42/100)</f>
        <v>0</v>
      </c>
      <c r="V42" s="95">
        <f t="shared" si="0"/>
        <v>0</v>
      </c>
      <c r="W42" s="96">
        <f t="shared" si="1"/>
        <v>1226.2325581395348</v>
      </c>
      <c r="X42" s="96">
        <f>V42/[1]Manure!$I$2</f>
        <v>0</v>
      </c>
      <c r="Y42" s="96">
        <f>W42/[1]Manure!$I$2</f>
        <v>874.51378348858464</v>
      </c>
      <c r="Z42" s="96"/>
      <c r="AA42" s="96"/>
      <c r="AB42" s="95"/>
      <c r="AC42" s="11"/>
    </row>
    <row r="43" spans="1:29" ht="15.75" thickBot="1" x14ac:dyDescent="0.3">
      <c r="A43" s="97">
        <v>45374</v>
      </c>
      <c r="B43" s="92">
        <v>0.41666666666666669</v>
      </c>
      <c r="C43" s="92"/>
      <c r="D43" s="91"/>
      <c r="E43" s="91" t="s">
        <v>60</v>
      </c>
      <c r="F43" s="91">
        <v>30</v>
      </c>
      <c r="G43" s="93">
        <v>139043</v>
      </c>
      <c r="H43" s="93">
        <v>26.6</v>
      </c>
      <c r="I43" s="93"/>
      <c r="J43" s="103"/>
      <c r="K43" s="107"/>
      <c r="L43" s="107"/>
      <c r="M43" s="107"/>
      <c r="N43" s="107"/>
      <c r="O43" s="103"/>
      <c r="P43" s="103"/>
      <c r="Q43" s="104"/>
      <c r="R43" s="103"/>
      <c r="S43" s="94">
        <f t="shared" si="2"/>
        <v>26.6</v>
      </c>
      <c r="T43" s="95">
        <f t="shared" si="3"/>
        <v>1251</v>
      </c>
      <c r="U43" s="95">
        <f t="shared" si="29"/>
        <v>0</v>
      </c>
      <c r="V43" s="95">
        <f t="shared" si="0"/>
        <v>0</v>
      </c>
      <c r="W43" s="96">
        <f t="shared" si="1"/>
        <v>1139.929906542056</v>
      </c>
      <c r="X43" s="96">
        <f>V43/[1]Manure!$I$2</f>
        <v>0</v>
      </c>
      <c r="Y43" s="96">
        <f>W43/[1]Manure!$I$2</f>
        <v>812.96521517449798</v>
      </c>
      <c r="Z43" s="96"/>
      <c r="AA43" s="96"/>
      <c r="AB43" s="95"/>
      <c r="AC43" s="11"/>
    </row>
    <row r="44" spans="1:29" ht="15.75" thickBot="1" x14ac:dyDescent="0.3">
      <c r="A44" s="97">
        <v>45376</v>
      </c>
      <c r="B44" s="92">
        <v>0.41666666666666669</v>
      </c>
      <c r="C44" s="92"/>
      <c r="D44" s="91"/>
      <c r="E44" s="91" t="s">
        <v>60</v>
      </c>
      <c r="F44" s="91">
        <v>30</v>
      </c>
      <c r="G44" s="93">
        <v>141451</v>
      </c>
      <c r="H44" s="93">
        <v>29.8</v>
      </c>
      <c r="I44" s="93"/>
      <c r="J44" s="103"/>
      <c r="K44" s="107"/>
      <c r="L44" s="107"/>
      <c r="M44" s="107"/>
      <c r="N44" s="107"/>
      <c r="O44" s="103"/>
      <c r="P44" s="103"/>
      <c r="Q44" s="104"/>
      <c r="R44" s="103"/>
      <c r="S44" s="94">
        <f t="shared" si="2"/>
        <v>29.8</v>
      </c>
      <c r="T44" s="95">
        <f t="shared" si="3"/>
        <v>2408</v>
      </c>
      <c r="U44" s="95">
        <f t="shared" ref="U44:U92" si="30">T44*(I44/100)</f>
        <v>0</v>
      </c>
      <c r="V44" s="95">
        <f t="shared" si="0"/>
        <v>0</v>
      </c>
      <c r="W44" s="96">
        <f t="shared" si="1"/>
        <v>2171.017173051519</v>
      </c>
      <c r="X44" s="96">
        <f>V44/[1]Manure!$I$2</f>
        <v>0</v>
      </c>
      <c r="Y44" s="96">
        <f>W44/[1]Manure!$I$2</f>
        <v>1548.3069907265765</v>
      </c>
      <c r="Z44" s="96"/>
      <c r="AA44" s="96"/>
      <c r="AB44" s="95"/>
      <c r="AC44" s="11"/>
    </row>
    <row r="45" spans="1:29" ht="15.75" thickBot="1" x14ac:dyDescent="0.3">
      <c r="A45" s="97">
        <v>45377</v>
      </c>
      <c r="B45" s="92">
        <v>0.41666666666666669</v>
      </c>
      <c r="C45" s="92"/>
      <c r="D45" s="91"/>
      <c r="E45" s="91" t="s">
        <v>60</v>
      </c>
      <c r="F45" s="91">
        <v>30</v>
      </c>
      <c r="G45" s="93">
        <v>142681</v>
      </c>
      <c r="H45" s="93">
        <v>25.7</v>
      </c>
      <c r="I45" s="93"/>
      <c r="J45" s="103"/>
      <c r="K45" s="107"/>
      <c r="L45" s="107"/>
      <c r="M45" s="107"/>
      <c r="N45" s="107"/>
      <c r="O45" s="103"/>
      <c r="P45" s="103"/>
      <c r="Q45" s="104"/>
      <c r="R45" s="103"/>
      <c r="S45" s="94">
        <f t="shared" si="2"/>
        <v>25.7</v>
      </c>
      <c r="T45" s="95">
        <f t="shared" si="3"/>
        <v>1230</v>
      </c>
      <c r="U45" s="95">
        <f t="shared" ref="U45:U94" si="31">T45*(P45/100)</f>
        <v>0</v>
      </c>
      <c r="V45" s="95">
        <f t="shared" si="0"/>
        <v>0</v>
      </c>
      <c r="W45" s="96">
        <f t="shared" si="1"/>
        <v>1124.1714094409106</v>
      </c>
      <c r="X45" s="96">
        <f>V45/[1]Manure!$I$2</f>
        <v>0</v>
      </c>
      <c r="Y45" s="96">
        <f>W45/[1]Manure!$I$2</f>
        <v>801.72670839163663</v>
      </c>
      <c r="Z45" s="96"/>
      <c r="AA45" s="96"/>
      <c r="AB45" s="95"/>
      <c r="AC45" s="11"/>
    </row>
    <row r="46" spans="1:29" ht="15.75" thickBot="1" x14ac:dyDescent="0.3">
      <c r="A46" s="97">
        <v>45378</v>
      </c>
      <c r="B46" s="92">
        <v>0.41666666666666669</v>
      </c>
      <c r="C46" s="92"/>
      <c r="D46" s="91"/>
      <c r="E46" s="91" t="s">
        <v>60</v>
      </c>
      <c r="F46" s="91">
        <v>30</v>
      </c>
      <c r="G46" s="93">
        <v>143926</v>
      </c>
      <c r="H46" s="111">
        <v>29.3</v>
      </c>
      <c r="I46" s="93"/>
      <c r="J46" s="103"/>
      <c r="K46" s="107"/>
      <c r="L46" s="107"/>
      <c r="M46" s="107"/>
      <c r="N46" s="107"/>
      <c r="O46" s="103"/>
      <c r="P46" s="103"/>
      <c r="Q46" s="104"/>
      <c r="R46" s="103"/>
      <c r="S46" s="94">
        <f t="shared" si="2"/>
        <v>29.3</v>
      </c>
      <c r="T46" s="95">
        <f t="shared" si="3"/>
        <v>1245</v>
      </c>
      <c r="U46" s="95">
        <f t="shared" si="31"/>
        <v>0</v>
      </c>
      <c r="V46" s="95">
        <f t="shared" si="0"/>
        <v>0</v>
      </c>
      <c r="W46" s="96">
        <f t="shared" si="1"/>
        <v>1124.3301356268607</v>
      </c>
      <c r="X46" s="96">
        <f>V46/[1]Manure!$I$2</f>
        <v>0</v>
      </c>
      <c r="Y46" s="96">
        <f>W46/[1]Manure!$I$2</f>
        <v>801.83990734112842</v>
      </c>
      <c r="Z46" s="96"/>
      <c r="AA46" s="96"/>
      <c r="AB46" s="95"/>
      <c r="AC46" s="11"/>
    </row>
    <row r="47" spans="1:29" ht="15.75" thickBot="1" x14ac:dyDescent="0.3">
      <c r="A47" s="97">
        <v>45379</v>
      </c>
      <c r="B47" s="92">
        <v>0.41666666666666669</v>
      </c>
      <c r="C47" s="92"/>
      <c r="D47" s="91"/>
      <c r="E47" s="91" t="s">
        <v>60</v>
      </c>
      <c r="F47" s="91">
        <v>30</v>
      </c>
      <c r="G47" s="93">
        <v>145139</v>
      </c>
      <c r="H47" s="93">
        <v>25.5</v>
      </c>
      <c r="I47" s="93"/>
      <c r="J47" s="103"/>
      <c r="K47" s="107"/>
      <c r="L47" s="107"/>
      <c r="M47" s="107"/>
      <c r="N47" s="107"/>
      <c r="O47" s="103"/>
      <c r="P47" s="103"/>
      <c r="Q47" s="104"/>
      <c r="R47" s="103"/>
      <c r="S47" s="94">
        <f t="shared" si="2"/>
        <v>25.5</v>
      </c>
      <c r="T47" s="95">
        <f t="shared" si="3"/>
        <v>1213</v>
      </c>
      <c r="U47" s="95">
        <f t="shared" ref="U47:U95" si="32">T47*(I47/100)</f>
        <v>0</v>
      </c>
      <c r="V47" s="95">
        <f t="shared" si="0"/>
        <v>0</v>
      </c>
      <c r="W47" s="96">
        <f t="shared" si="1"/>
        <v>1109.3768844221106</v>
      </c>
      <c r="X47" s="96">
        <f>V47/[1]Manure!$I$2</f>
        <v>0</v>
      </c>
      <c r="Y47" s="96">
        <f>W47/[1]Manure!$I$2</f>
        <v>791.17567876579051</v>
      </c>
      <c r="Z47" s="96"/>
      <c r="AA47" s="96"/>
      <c r="AB47" s="95"/>
      <c r="AC47" s="11"/>
    </row>
    <row r="48" spans="1:29" ht="15.75" thickBot="1" x14ac:dyDescent="0.3">
      <c r="A48" s="97">
        <v>45380</v>
      </c>
      <c r="B48" s="92">
        <v>0.41666666666666669</v>
      </c>
      <c r="C48" s="92"/>
      <c r="D48" s="91"/>
      <c r="E48" s="91" t="s">
        <v>60</v>
      </c>
      <c r="F48" s="91">
        <v>30</v>
      </c>
      <c r="G48" s="93">
        <v>146337</v>
      </c>
      <c r="H48" s="93">
        <v>28.1</v>
      </c>
      <c r="I48" s="93"/>
      <c r="J48" s="103"/>
      <c r="K48" s="107"/>
      <c r="L48" s="107"/>
      <c r="M48" s="107"/>
      <c r="N48" s="107"/>
      <c r="O48" s="103"/>
      <c r="P48" s="103"/>
      <c r="Q48" s="104"/>
      <c r="R48" s="103"/>
      <c r="S48" s="94">
        <f t="shared" si="2"/>
        <v>28.1</v>
      </c>
      <c r="T48" s="95">
        <f t="shared" si="3"/>
        <v>1198</v>
      </c>
      <c r="U48" s="95">
        <f t="shared" ref="U48:U97" si="33">T48*(P48/100)</f>
        <v>0</v>
      </c>
      <c r="V48" s="95">
        <f t="shared" si="0"/>
        <v>0</v>
      </c>
      <c r="W48" s="96">
        <f t="shared" si="1"/>
        <v>1086.1972766522749</v>
      </c>
      <c r="X48" s="96">
        <f>V48/[1]Manure!$I$2</f>
        <v>0</v>
      </c>
      <c r="Y48" s="96">
        <f>W48/[1]Manure!$I$2</f>
        <v>774.64464934887815</v>
      </c>
      <c r="Z48" s="96"/>
      <c r="AA48" s="96"/>
      <c r="AB48" s="95"/>
      <c r="AC48" s="11"/>
    </row>
    <row r="49" spans="1:29" ht="15.75" thickBot="1" x14ac:dyDescent="0.3">
      <c r="A49" s="97">
        <v>45381</v>
      </c>
      <c r="B49" s="92">
        <v>0.41666666666666669</v>
      </c>
      <c r="C49" s="92"/>
      <c r="D49" s="91"/>
      <c r="E49" s="91" t="s">
        <v>60</v>
      </c>
      <c r="F49" s="91">
        <v>30</v>
      </c>
      <c r="G49" s="93">
        <v>147629</v>
      </c>
      <c r="H49" s="93">
        <v>25.5</v>
      </c>
      <c r="I49" s="93"/>
      <c r="J49" s="103"/>
      <c r="K49" s="107"/>
      <c r="L49" s="107"/>
      <c r="M49" s="107"/>
      <c r="N49" s="107"/>
      <c r="O49" s="103"/>
      <c r="P49" s="103"/>
      <c r="Q49" s="104"/>
      <c r="R49" s="103"/>
      <c r="S49" s="94">
        <f t="shared" si="2"/>
        <v>25.5</v>
      </c>
      <c r="T49" s="95">
        <f t="shared" si="3"/>
        <v>1292</v>
      </c>
      <c r="U49" s="95">
        <f t="shared" si="33"/>
        <v>0</v>
      </c>
      <c r="V49" s="95">
        <f t="shared" si="0"/>
        <v>0</v>
      </c>
      <c r="W49" s="96">
        <f t="shared" si="1"/>
        <v>1181.6281407035176</v>
      </c>
      <c r="X49" s="96">
        <f>V49/[1]Manure!$I$2</f>
        <v>0</v>
      </c>
      <c r="Y49" s="96">
        <f>W49/[1]Manure!$I$2</f>
        <v>842.7031961792261</v>
      </c>
      <c r="Z49" s="96"/>
      <c r="AA49" s="96"/>
      <c r="AB49" s="95"/>
      <c r="AC49" s="11"/>
    </row>
    <row r="50" spans="1:29" ht="15.75" thickBot="1" x14ac:dyDescent="0.3">
      <c r="A50" s="97">
        <v>45383</v>
      </c>
      <c r="B50" s="92">
        <v>0.41666666666666669</v>
      </c>
      <c r="C50" s="92"/>
      <c r="D50" s="91"/>
      <c r="E50" s="91" t="s">
        <v>60</v>
      </c>
      <c r="F50" s="91">
        <v>30</v>
      </c>
      <c r="G50" s="93">
        <v>150119</v>
      </c>
      <c r="H50" s="93">
        <v>21.4</v>
      </c>
      <c r="I50" s="93"/>
      <c r="J50" s="103"/>
      <c r="K50" s="107"/>
      <c r="L50" s="107"/>
      <c r="M50" s="107"/>
      <c r="N50" s="107"/>
      <c r="O50" s="103"/>
      <c r="P50" s="103"/>
      <c r="Q50" s="104"/>
      <c r="R50" s="103"/>
      <c r="S50" s="94">
        <f t="shared" si="2"/>
        <v>21.4</v>
      </c>
      <c r="T50" s="95">
        <f t="shared" si="3"/>
        <v>2490</v>
      </c>
      <c r="U50" s="95">
        <f t="shared" ref="U50" si="34">T50*(I50/100)</f>
        <v>0</v>
      </c>
      <c r="V50" s="95">
        <f t="shared" si="0"/>
        <v>0</v>
      </c>
      <c r="W50" s="96">
        <f t="shared" si="1"/>
        <v>2309.001358695652</v>
      </c>
      <c r="X50" s="96">
        <f>V50/[1]Manure!$I$2</f>
        <v>0</v>
      </c>
      <c r="Y50" s="96">
        <f>W50/[1]Manure!$I$2</f>
        <v>1646.7133423180917</v>
      </c>
      <c r="Z50" s="96"/>
      <c r="AA50" s="96"/>
      <c r="AB50" s="95"/>
      <c r="AC50" s="11"/>
    </row>
    <row r="51" spans="1:29" ht="15.75" thickBot="1" x14ac:dyDescent="0.3">
      <c r="A51" s="97">
        <v>45384</v>
      </c>
      <c r="B51" s="92">
        <v>0.41666666666666669</v>
      </c>
      <c r="C51" s="92"/>
      <c r="D51" s="91"/>
      <c r="E51" s="91" t="s">
        <v>60</v>
      </c>
      <c r="F51" s="91">
        <v>30</v>
      </c>
      <c r="G51" s="93">
        <v>151408</v>
      </c>
      <c r="H51" s="93">
        <v>26.2</v>
      </c>
      <c r="I51" s="93"/>
      <c r="J51" s="103"/>
      <c r="K51" s="107"/>
      <c r="L51" s="107"/>
      <c r="M51" s="107"/>
      <c r="N51" s="107"/>
      <c r="O51" s="103"/>
      <c r="P51" s="103"/>
      <c r="Q51" s="104"/>
      <c r="R51" s="103"/>
      <c r="S51" s="94">
        <f t="shared" si="2"/>
        <v>26.2</v>
      </c>
      <c r="T51" s="95">
        <f t="shared" si="3"/>
        <v>1289</v>
      </c>
      <c r="U51" s="95">
        <f t="shared" ref="U51:U52" si="35">T51*(P51/100)</f>
        <v>0</v>
      </c>
      <c r="V51" s="95">
        <f t="shared" si="0"/>
        <v>0</v>
      </c>
      <c r="W51" s="96">
        <f t="shared" si="1"/>
        <v>1176.1263368983957</v>
      </c>
      <c r="X51" s="96">
        <f>V51/[1]Manure!$I$2</f>
        <v>0</v>
      </c>
      <c r="Y51" s="96">
        <f>W51/[1]Manure!$I$2</f>
        <v>838.77946798452797</v>
      </c>
      <c r="Z51" s="96"/>
      <c r="AA51" s="96"/>
      <c r="AB51" s="95"/>
      <c r="AC51" s="11"/>
    </row>
    <row r="52" spans="1:29" ht="15.75" thickBot="1" x14ac:dyDescent="0.3">
      <c r="A52" s="97">
        <v>45385</v>
      </c>
      <c r="B52" s="92">
        <v>0.41666666666666669</v>
      </c>
      <c r="C52" s="92"/>
      <c r="D52" s="91"/>
      <c r="E52" s="91" t="s">
        <v>60</v>
      </c>
      <c r="F52" s="91">
        <v>30</v>
      </c>
      <c r="G52" s="93">
        <v>12699</v>
      </c>
      <c r="H52" s="93">
        <v>27.2</v>
      </c>
      <c r="I52" s="93"/>
      <c r="J52" s="103"/>
      <c r="K52" s="107"/>
      <c r="L52" s="107"/>
      <c r="M52" s="107"/>
      <c r="N52" s="107"/>
      <c r="O52" s="103"/>
      <c r="P52" s="103"/>
      <c r="Q52" s="104"/>
      <c r="R52" s="103"/>
      <c r="S52" s="94">
        <f t="shared" si="2"/>
        <v>27.2</v>
      </c>
      <c r="T52" s="95">
        <f t="shared" si="3"/>
        <v>-138709</v>
      </c>
      <c r="U52" s="95">
        <f t="shared" si="35"/>
        <v>0</v>
      </c>
      <c r="V52" s="95">
        <f t="shared" si="0"/>
        <v>0</v>
      </c>
      <c r="W52" s="96">
        <f t="shared" si="1"/>
        <v>-126141.09593604265</v>
      </c>
      <c r="X52" s="96">
        <f>V52/[1]Manure!$I$2</f>
        <v>0</v>
      </c>
      <c r="Y52" s="96">
        <f>W52/[1]Manure!$I$2</f>
        <v>-89960.200720647146</v>
      </c>
      <c r="Z52" s="96"/>
      <c r="AA52" s="96"/>
      <c r="AB52" s="95"/>
      <c r="AC52" s="11"/>
    </row>
    <row r="53" spans="1:29" ht="15.75" thickBot="1" x14ac:dyDescent="0.3">
      <c r="A53" s="97">
        <v>45386</v>
      </c>
      <c r="B53" s="92">
        <v>0.41666666666666669</v>
      </c>
      <c r="C53" s="92"/>
      <c r="D53" s="91"/>
      <c r="E53" s="91" t="s">
        <v>60</v>
      </c>
      <c r="F53" s="91">
        <v>30</v>
      </c>
      <c r="G53" s="93">
        <v>154010</v>
      </c>
      <c r="H53" s="93">
        <v>21.4</v>
      </c>
      <c r="I53" s="93"/>
      <c r="J53" s="103"/>
      <c r="K53" s="107"/>
      <c r="L53" s="107"/>
      <c r="M53" s="107"/>
      <c r="N53" s="107"/>
      <c r="O53" s="103"/>
      <c r="P53" s="103"/>
      <c r="Q53" s="104"/>
      <c r="R53" s="103"/>
      <c r="S53" s="94">
        <f t="shared" si="2"/>
        <v>21.4</v>
      </c>
      <c r="T53" s="95">
        <f t="shared" si="3"/>
        <v>141311</v>
      </c>
      <c r="U53" s="95">
        <f t="shared" si="20"/>
        <v>0</v>
      </c>
      <c r="V53" s="95">
        <f t="shared" si="0"/>
        <v>0</v>
      </c>
      <c r="W53" s="96">
        <f t="shared" si="1"/>
        <v>131039.07269021739</v>
      </c>
      <c r="X53" s="96">
        <f>V53/[1]Manure!$I$2</f>
        <v>0</v>
      </c>
      <c r="Y53" s="96">
        <f>W53/[1]Manure!$I$2</f>
        <v>93453.296833860193</v>
      </c>
      <c r="Z53" s="96"/>
      <c r="AA53" s="96"/>
      <c r="AB53" s="95"/>
      <c r="AC53" s="11"/>
    </row>
    <row r="54" spans="1:29" ht="15.75" thickBot="1" x14ac:dyDescent="0.3">
      <c r="A54" s="97">
        <v>45387</v>
      </c>
      <c r="B54" s="92">
        <v>0.41666666666666669</v>
      </c>
      <c r="C54" s="92"/>
      <c r="D54" s="91"/>
      <c r="E54" s="91" t="s">
        <v>60</v>
      </c>
      <c r="F54" s="91">
        <v>30</v>
      </c>
      <c r="G54" s="93">
        <v>155321</v>
      </c>
      <c r="H54" s="93">
        <v>21</v>
      </c>
      <c r="I54" s="93"/>
      <c r="J54" s="103"/>
      <c r="K54" s="107"/>
      <c r="L54" s="107"/>
      <c r="M54" s="107"/>
      <c r="N54" s="107"/>
      <c r="O54" s="103"/>
      <c r="P54" s="103"/>
      <c r="Q54" s="104"/>
      <c r="R54" s="103"/>
      <c r="S54" s="94">
        <f t="shared" si="2"/>
        <v>21</v>
      </c>
      <c r="T54" s="95">
        <f t="shared" si="3"/>
        <v>1311</v>
      </c>
      <c r="U54" s="95">
        <f t="shared" si="21"/>
        <v>0</v>
      </c>
      <c r="V54" s="95">
        <f t="shared" si="0"/>
        <v>0</v>
      </c>
      <c r="W54" s="96">
        <f t="shared" si="1"/>
        <v>1217.3571428571429</v>
      </c>
      <c r="X54" s="96">
        <f>V54/[1]Manure!$I$2</f>
        <v>0</v>
      </c>
      <c r="Y54" s="96">
        <f>W54/[1]Manure!$I$2</f>
        <v>868.18409264232855</v>
      </c>
      <c r="Z54" s="96"/>
      <c r="AA54" s="96"/>
      <c r="AB54" s="95"/>
      <c r="AC54" s="11"/>
    </row>
    <row r="55" spans="1:29" ht="15.75" thickBot="1" x14ac:dyDescent="0.3">
      <c r="A55" s="97">
        <v>45388</v>
      </c>
      <c r="B55" s="92">
        <v>0.41666666666666669</v>
      </c>
      <c r="C55" s="92"/>
      <c r="D55" s="91"/>
      <c r="E55" s="91" t="s">
        <v>60</v>
      </c>
      <c r="F55" s="91">
        <v>30</v>
      </c>
      <c r="G55" s="93">
        <v>156687</v>
      </c>
      <c r="H55" s="93">
        <v>20.6</v>
      </c>
      <c r="I55" s="93"/>
      <c r="J55" s="103"/>
      <c r="K55" s="107"/>
      <c r="L55" s="107"/>
      <c r="M55" s="107"/>
      <c r="N55" s="107"/>
      <c r="O55" s="103"/>
      <c r="P55" s="103"/>
      <c r="Q55" s="104"/>
      <c r="R55" s="103"/>
      <c r="S55" s="94">
        <f t="shared" si="2"/>
        <v>20.6</v>
      </c>
      <c r="T55" s="95">
        <f t="shared" si="3"/>
        <v>1366</v>
      </c>
      <c r="U55" s="95">
        <f t="shared" si="21"/>
        <v>0</v>
      </c>
      <c r="V55" s="95">
        <f t="shared" si="0"/>
        <v>0</v>
      </c>
      <c r="W55" s="96">
        <f t="shared" si="1"/>
        <v>1270.1566757493185</v>
      </c>
      <c r="X55" s="96">
        <f>V55/[1]Manure!$I$2</f>
        <v>0</v>
      </c>
      <c r="Y55" s="96">
        <f>W55/[1]Manure!$I$2</f>
        <v>905.83920053313716</v>
      </c>
      <c r="Z55" s="96"/>
      <c r="AA55" s="96"/>
      <c r="AB55" s="95"/>
      <c r="AC55" s="11"/>
    </row>
    <row r="56" spans="1:29" ht="15.75" thickBot="1" x14ac:dyDescent="0.3">
      <c r="A56" s="97">
        <v>45390</v>
      </c>
      <c r="B56" s="92">
        <v>0.41666666666666669</v>
      </c>
      <c r="C56" s="92"/>
      <c r="D56" s="91"/>
      <c r="E56" s="91" t="s">
        <v>60</v>
      </c>
      <c r="F56" s="91">
        <v>30</v>
      </c>
      <c r="G56" s="93">
        <v>159352</v>
      </c>
      <c r="H56" s="93">
        <v>24</v>
      </c>
      <c r="I56" s="93"/>
      <c r="J56" s="103"/>
      <c r="K56" s="107"/>
      <c r="L56" s="107"/>
      <c r="M56" s="107"/>
      <c r="N56" s="107"/>
      <c r="O56" s="103"/>
      <c r="P56" s="103"/>
      <c r="Q56" s="104"/>
      <c r="R56" s="103"/>
      <c r="S56" s="94">
        <f t="shared" si="2"/>
        <v>24</v>
      </c>
      <c r="T56" s="95">
        <f t="shared" si="3"/>
        <v>2665</v>
      </c>
      <c r="U56" s="95">
        <f t="shared" si="22"/>
        <v>0</v>
      </c>
      <c r="V56" s="95">
        <f t="shared" si="0"/>
        <v>0</v>
      </c>
      <c r="W56" s="96">
        <f t="shared" si="1"/>
        <v>2449.6464646464647</v>
      </c>
      <c r="X56" s="96">
        <f>V56/[1]Manure!$I$2</f>
        <v>0</v>
      </c>
      <c r="Y56" s="96">
        <f>W56/[1]Manure!$I$2</f>
        <v>1747.0173857214165</v>
      </c>
      <c r="Z56" s="96"/>
      <c r="AA56" s="96"/>
      <c r="AB56" s="95"/>
      <c r="AC56" s="11"/>
    </row>
    <row r="57" spans="1:29" ht="15.75" thickBot="1" x14ac:dyDescent="0.3">
      <c r="A57" s="97">
        <v>45391</v>
      </c>
      <c r="B57" s="92">
        <v>0.41666666666666669</v>
      </c>
      <c r="C57" s="92"/>
      <c r="D57" s="91"/>
      <c r="E57" s="91" t="s">
        <v>60</v>
      </c>
      <c r="F57" s="91">
        <v>30</v>
      </c>
      <c r="G57" s="93">
        <v>160699</v>
      </c>
      <c r="H57" s="93">
        <v>20.5</v>
      </c>
      <c r="I57" s="93"/>
      <c r="J57" s="103"/>
      <c r="K57" s="107"/>
      <c r="L57" s="107"/>
      <c r="M57" s="107"/>
      <c r="N57" s="107"/>
      <c r="O57" s="103"/>
      <c r="P57" s="103"/>
      <c r="Q57" s="104"/>
      <c r="R57" s="103"/>
      <c r="S57" s="94">
        <f t="shared" si="2"/>
        <v>20.5</v>
      </c>
      <c r="T57" s="95">
        <f t="shared" si="3"/>
        <v>1347</v>
      </c>
      <c r="U57" s="95">
        <f t="shared" si="23"/>
        <v>0</v>
      </c>
      <c r="V57" s="95">
        <f t="shared" si="0"/>
        <v>0</v>
      </c>
      <c r="W57" s="96">
        <f t="shared" si="1"/>
        <v>1252.9165247018739</v>
      </c>
      <c r="X57" s="96">
        <f>V57/[1]Manure!$I$2</f>
        <v>0</v>
      </c>
      <c r="Y57" s="96">
        <f>W57/[1]Manure!$I$2</f>
        <v>893.54402078086389</v>
      </c>
      <c r="Z57" s="96"/>
      <c r="AA57" s="96"/>
      <c r="AB57" s="95"/>
      <c r="AC57" s="11"/>
    </row>
    <row r="58" spans="1:29" ht="15.75" thickBot="1" x14ac:dyDescent="0.3">
      <c r="A58" s="97">
        <v>45392</v>
      </c>
      <c r="B58" s="92">
        <v>0.41666666666666669</v>
      </c>
      <c r="C58" s="92"/>
      <c r="D58" s="91"/>
      <c r="E58" s="91" t="s">
        <v>60</v>
      </c>
      <c r="F58" s="91">
        <v>30</v>
      </c>
      <c r="G58" s="93">
        <v>162026</v>
      </c>
      <c r="H58" s="111">
        <v>26.2</v>
      </c>
      <c r="I58" s="93"/>
      <c r="J58" s="103"/>
      <c r="K58" s="107"/>
      <c r="L58" s="107"/>
      <c r="M58" s="107"/>
      <c r="N58" s="107"/>
      <c r="O58" s="103"/>
      <c r="P58" s="103"/>
      <c r="Q58" s="104"/>
      <c r="R58" s="103"/>
      <c r="S58" s="94">
        <f t="shared" si="2"/>
        <v>26.2</v>
      </c>
      <c r="T58" s="95">
        <f t="shared" si="3"/>
        <v>1327</v>
      </c>
      <c r="U58" s="95">
        <f t="shared" si="23"/>
        <v>0</v>
      </c>
      <c r="V58" s="95">
        <f t="shared" si="0"/>
        <v>0</v>
      </c>
      <c r="W58" s="96">
        <f t="shared" si="1"/>
        <v>1210.7987967914439</v>
      </c>
      <c r="X58" s="96">
        <f>V58/[1]Manure!$I$2</f>
        <v>0</v>
      </c>
      <c r="Y58" s="96">
        <f>W58/[1]Manure!$I$2</f>
        <v>863.50686890261341</v>
      </c>
      <c r="Z58" s="96"/>
      <c r="AA58" s="96"/>
      <c r="AB58" s="95"/>
      <c r="AC58" s="11"/>
    </row>
    <row r="59" spans="1:29" ht="15.75" thickBot="1" x14ac:dyDescent="0.3">
      <c r="A59" s="97">
        <v>45392</v>
      </c>
      <c r="B59" s="92">
        <v>0.41666666666666669</v>
      </c>
      <c r="C59" s="92"/>
      <c r="D59" s="91"/>
      <c r="E59" s="91" t="s">
        <v>60</v>
      </c>
      <c r="F59" s="91">
        <v>30</v>
      </c>
      <c r="G59" s="93">
        <v>163309</v>
      </c>
      <c r="H59" s="93"/>
      <c r="I59" s="93"/>
      <c r="J59" s="103"/>
      <c r="K59" s="107"/>
      <c r="L59" s="107"/>
      <c r="M59" s="107"/>
      <c r="N59" s="107"/>
      <c r="O59" s="103"/>
      <c r="P59" s="103"/>
      <c r="Q59" s="104"/>
      <c r="R59" s="103"/>
      <c r="S59" s="94">
        <f t="shared" si="2"/>
        <v>0</v>
      </c>
      <c r="T59" s="95">
        <f t="shared" si="3"/>
        <v>1283</v>
      </c>
      <c r="U59" s="95">
        <f t="shared" si="24"/>
        <v>0</v>
      </c>
      <c r="V59" s="95">
        <f t="shared" si="0"/>
        <v>0</v>
      </c>
      <c r="W59" s="96">
        <f t="shared" si="1"/>
        <v>1283</v>
      </c>
      <c r="X59" s="96">
        <f>V59/[1]Manure!$I$2</f>
        <v>0</v>
      </c>
      <c r="Y59" s="96">
        <f>W59/[1]Manure!$I$2</f>
        <v>914.99868990444782</v>
      </c>
      <c r="Z59" s="96"/>
      <c r="AA59" s="96"/>
      <c r="AB59" s="95"/>
      <c r="AC59" s="11"/>
    </row>
    <row r="60" spans="1:29" ht="15.75" thickBot="1" x14ac:dyDescent="0.3">
      <c r="A60" s="97">
        <v>45394</v>
      </c>
      <c r="B60" s="92">
        <v>0.41666666666666669</v>
      </c>
      <c r="C60" s="92"/>
      <c r="D60" s="91"/>
      <c r="E60" s="91" t="s">
        <v>60</v>
      </c>
      <c r="F60" s="91">
        <v>30</v>
      </c>
      <c r="G60" s="93">
        <v>164636</v>
      </c>
      <c r="H60" s="93">
        <v>26.5</v>
      </c>
      <c r="I60" s="93"/>
      <c r="J60" s="103"/>
      <c r="K60" s="107"/>
      <c r="L60" s="107"/>
      <c r="M60" s="107"/>
      <c r="N60" s="107"/>
      <c r="O60" s="103"/>
      <c r="P60" s="103"/>
      <c r="Q60" s="104"/>
      <c r="R60" s="103"/>
      <c r="S60" s="94">
        <f t="shared" si="2"/>
        <v>26.5</v>
      </c>
      <c r="T60" s="95">
        <f t="shared" si="3"/>
        <v>1327</v>
      </c>
      <c r="U60" s="95">
        <f t="shared" si="25"/>
        <v>0</v>
      </c>
      <c r="V60" s="95">
        <f t="shared" si="0"/>
        <v>0</v>
      </c>
      <c r="W60" s="96">
        <f t="shared" si="1"/>
        <v>1209.5859766277129</v>
      </c>
      <c r="X60" s="96">
        <f>V60/[1]Manure!$I$2</f>
        <v>0</v>
      </c>
      <c r="Y60" s="96">
        <f>W60/[1]Manure!$I$2</f>
        <v>862.64192045296124</v>
      </c>
      <c r="Z60" s="96"/>
      <c r="AA60" s="96"/>
      <c r="AB60" s="95"/>
      <c r="AC60" s="11"/>
    </row>
    <row r="61" spans="1:29" ht="15.75" thickBot="1" x14ac:dyDescent="0.3">
      <c r="A61" s="97">
        <v>45395</v>
      </c>
      <c r="B61" s="92">
        <v>0.41666666666666669</v>
      </c>
      <c r="C61" s="92"/>
      <c r="D61" s="91"/>
      <c r="E61" s="91" t="s">
        <v>60</v>
      </c>
      <c r="F61" s="91">
        <v>30</v>
      </c>
      <c r="G61" s="93">
        <v>165141</v>
      </c>
      <c r="H61" s="93">
        <v>20.9</v>
      </c>
      <c r="I61" s="93"/>
      <c r="J61" s="103"/>
      <c r="K61" s="107"/>
      <c r="L61" s="107"/>
      <c r="M61" s="107"/>
      <c r="N61" s="107"/>
      <c r="O61" s="103"/>
      <c r="P61" s="103"/>
      <c r="Q61" s="104"/>
      <c r="R61" s="103"/>
      <c r="S61" s="94">
        <f t="shared" si="2"/>
        <v>20.9</v>
      </c>
      <c r="T61" s="95">
        <f t="shared" si="3"/>
        <v>505</v>
      </c>
      <c r="U61" s="95">
        <f t="shared" si="25"/>
        <v>0</v>
      </c>
      <c r="V61" s="95">
        <f t="shared" si="0"/>
        <v>0</v>
      </c>
      <c r="W61" s="96">
        <f t="shared" si="1"/>
        <v>469.08812521265742</v>
      </c>
      <c r="X61" s="96">
        <f>V61/[1]Manure!$I$2</f>
        <v>0</v>
      </c>
      <c r="Y61" s="96">
        <f>W61/[1]Manure!$I$2</f>
        <v>334.54015589970004</v>
      </c>
      <c r="Z61" s="96"/>
      <c r="AA61" s="96"/>
      <c r="AB61" s="95"/>
      <c r="AC61" s="11"/>
    </row>
    <row r="62" spans="1:29" ht="15.75" thickBot="1" x14ac:dyDescent="0.3">
      <c r="A62" s="97">
        <v>45397</v>
      </c>
      <c r="B62" s="92">
        <v>0.41666666666666669</v>
      </c>
      <c r="C62" s="92"/>
      <c r="D62" s="91"/>
      <c r="E62" s="91" t="s">
        <v>60</v>
      </c>
      <c r="F62" s="91">
        <v>30</v>
      </c>
      <c r="G62" s="93">
        <v>168356</v>
      </c>
      <c r="H62" s="93">
        <v>25.7</v>
      </c>
      <c r="I62" s="93"/>
      <c r="J62" s="103"/>
      <c r="K62" s="107"/>
      <c r="L62" s="107"/>
      <c r="M62" s="107"/>
      <c r="N62" s="107"/>
      <c r="O62" s="103"/>
      <c r="P62" s="103"/>
      <c r="Q62" s="104"/>
      <c r="R62" s="103"/>
      <c r="S62" s="94">
        <f t="shared" si="2"/>
        <v>25.7</v>
      </c>
      <c r="T62" s="95">
        <f t="shared" si="3"/>
        <v>3215</v>
      </c>
      <c r="U62" s="95">
        <f t="shared" si="26"/>
        <v>0</v>
      </c>
      <c r="V62" s="95">
        <f t="shared" ref="V62:V125" si="36">U62*(273/(273+S62))</f>
        <v>0</v>
      </c>
      <c r="W62" s="96">
        <f t="shared" si="1"/>
        <v>2938.3829929695348</v>
      </c>
      <c r="X62" s="96">
        <f>V62/[1]Manure!$I$2</f>
        <v>0</v>
      </c>
      <c r="Y62" s="96">
        <f>W62/[1]Manure!$I$2</f>
        <v>2095.5702174626927</v>
      </c>
      <c r="Z62" s="96"/>
      <c r="AA62" s="96"/>
      <c r="AB62" s="95"/>
      <c r="AC62" s="11"/>
    </row>
    <row r="63" spans="1:29" ht="15.75" thickBot="1" x14ac:dyDescent="0.3">
      <c r="A63" s="97">
        <v>45398</v>
      </c>
      <c r="B63" s="92">
        <v>0.41666666666666669</v>
      </c>
      <c r="C63" s="92"/>
      <c r="D63" s="91"/>
      <c r="E63" s="91" t="s">
        <v>60</v>
      </c>
      <c r="F63" s="91">
        <v>30</v>
      </c>
      <c r="G63" s="93">
        <v>169512</v>
      </c>
      <c r="H63" s="93">
        <v>26.3</v>
      </c>
      <c r="I63" s="93"/>
      <c r="J63" s="103"/>
      <c r="K63" s="107"/>
      <c r="L63" s="107"/>
      <c r="M63" s="107"/>
      <c r="N63" s="107"/>
      <c r="O63" s="103"/>
      <c r="P63" s="103"/>
      <c r="Q63" s="104"/>
      <c r="R63" s="103"/>
      <c r="S63" s="94">
        <f t="shared" si="2"/>
        <v>26.3</v>
      </c>
      <c r="T63" s="95">
        <f t="shared" si="3"/>
        <v>1156</v>
      </c>
      <c r="U63" s="95">
        <f t="shared" si="27"/>
        <v>0</v>
      </c>
      <c r="V63" s="95">
        <f t="shared" si="36"/>
        <v>0</v>
      </c>
      <c r="W63" s="96">
        <f t="shared" si="1"/>
        <v>1054.4203140661543</v>
      </c>
      <c r="X63" s="96">
        <f>V63/[1]Manure!$I$2</f>
        <v>0</v>
      </c>
      <c r="Y63" s="96">
        <f>W63/[1]Manure!$I$2</f>
        <v>751.9822338107308</v>
      </c>
      <c r="Z63" s="96"/>
      <c r="AA63" s="96"/>
      <c r="AB63" s="95"/>
      <c r="AC63" s="11"/>
    </row>
    <row r="64" spans="1:29" ht="15.75" thickBot="1" x14ac:dyDescent="0.3">
      <c r="A64" s="97">
        <v>45399</v>
      </c>
      <c r="B64" s="92">
        <v>0.41666666666666669</v>
      </c>
      <c r="C64" s="92"/>
      <c r="D64" s="91"/>
      <c r="E64" s="91" t="s">
        <v>60</v>
      </c>
      <c r="F64" s="91">
        <v>30</v>
      </c>
      <c r="G64" s="93">
        <v>170814</v>
      </c>
      <c r="H64" s="93">
        <v>21.4</v>
      </c>
      <c r="I64" s="93"/>
      <c r="J64" s="103"/>
      <c r="K64" s="107"/>
      <c r="L64" s="107"/>
      <c r="M64" s="107"/>
      <c r="N64" s="107"/>
      <c r="O64" s="103"/>
      <c r="P64" s="103"/>
      <c r="Q64" s="104"/>
      <c r="R64" s="103"/>
      <c r="S64" s="94">
        <f t="shared" si="2"/>
        <v>21.4</v>
      </c>
      <c r="T64" s="95">
        <f t="shared" si="3"/>
        <v>1302</v>
      </c>
      <c r="U64" s="95">
        <f t="shared" si="27"/>
        <v>0</v>
      </c>
      <c r="V64" s="95">
        <f t="shared" si="36"/>
        <v>0</v>
      </c>
      <c r="W64" s="96">
        <f t="shared" si="1"/>
        <v>1207.3573369565217</v>
      </c>
      <c r="X64" s="96">
        <f>V64/[1]Manure!$I$2</f>
        <v>0</v>
      </c>
      <c r="Y64" s="96">
        <f>W64/[1]Manure!$I$2</f>
        <v>861.05251875427928</v>
      </c>
      <c r="Z64" s="96"/>
      <c r="AA64" s="96"/>
      <c r="AB64" s="95"/>
      <c r="AC64" s="11"/>
    </row>
    <row r="65" spans="1:29" ht="15.75" thickBot="1" x14ac:dyDescent="0.3">
      <c r="A65" s="97">
        <v>45400</v>
      </c>
      <c r="B65" s="92">
        <v>0.41666666666666669</v>
      </c>
      <c r="C65" s="92"/>
      <c r="D65" s="91"/>
      <c r="E65" s="91" t="s">
        <v>60</v>
      </c>
      <c r="F65" s="91">
        <v>30</v>
      </c>
      <c r="G65" s="93">
        <v>171814</v>
      </c>
      <c r="H65" s="93">
        <v>25.2</v>
      </c>
      <c r="I65" s="93"/>
      <c r="J65" s="103"/>
      <c r="K65" s="107"/>
      <c r="L65" s="107"/>
      <c r="M65" s="107"/>
      <c r="N65" s="107"/>
      <c r="O65" s="103"/>
      <c r="P65" s="103"/>
      <c r="Q65" s="104"/>
      <c r="R65" s="103"/>
      <c r="S65" s="94">
        <f t="shared" si="2"/>
        <v>25.2</v>
      </c>
      <c r="T65" s="95">
        <f t="shared" si="3"/>
        <v>1000</v>
      </c>
      <c r="U65" s="95">
        <f t="shared" si="28"/>
        <v>0</v>
      </c>
      <c r="V65" s="95">
        <f t="shared" si="36"/>
        <v>0</v>
      </c>
      <c r="W65" s="96">
        <f t="shared" si="1"/>
        <v>915.49295774647885</v>
      </c>
      <c r="X65" s="96">
        <f>V65/[1]Manure!$I$2</f>
        <v>0</v>
      </c>
      <c r="Y65" s="96">
        <f>W65/[1]Manure!$I$2</f>
        <v>652.90324002710531</v>
      </c>
      <c r="Z65" s="96"/>
      <c r="AA65" s="96"/>
      <c r="AB65" s="95"/>
      <c r="AC65" s="11"/>
    </row>
    <row r="66" spans="1:29" ht="15.75" thickBot="1" x14ac:dyDescent="0.3">
      <c r="A66" s="97">
        <v>45401</v>
      </c>
      <c r="B66" s="92">
        <v>0.41666666666666669</v>
      </c>
      <c r="C66" s="92"/>
      <c r="D66" s="91"/>
      <c r="E66" s="91" t="s">
        <v>60</v>
      </c>
      <c r="F66" s="91">
        <v>30</v>
      </c>
      <c r="G66" s="93">
        <v>172936</v>
      </c>
      <c r="H66" s="93">
        <v>23.8</v>
      </c>
      <c r="I66" s="93"/>
      <c r="J66" s="103"/>
      <c r="K66" s="107"/>
      <c r="L66" s="107"/>
      <c r="M66" s="107"/>
      <c r="N66" s="107"/>
      <c r="O66" s="103"/>
      <c r="P66" s="103"/>
      <c r="Q66" s="104"/>
      <c r="R66" s="103"/>
      <c r="S66" s="94">
        <f t="shared" si="2"/>
        <v>23.8</v>
      </c>
      <c r="T66" s="95">
        <f t="shared" si="3"/>
        <v>1122</v>
      </c>
      <c r="U66" s="95">
        <f t="shared" si="29"/>
        <v>0</v>
      </c>
      <c r="V66" s="95">
        <f t="shared" si="36"/>
        <v>0</v>
      </c>
      <c r="W66" s="96">
        <f t="shared" si="1"/>
        <v>1032.0283018867924</v>
      </c>
      <c r="X66" s="96">
        <f>V66/[1]Manure!$I$2</f>
        <v>0</v>
      </c>
      <c r="Y66" s="96">
        <f>W66/[1]Manure!$I$2</f>
        <v>736.01289491093303</v>
      </c>
      <c r="Z66" s="96"/>
      <c r="AA66" s="96"/>
      <c r="AB66" s="95"/>
      <c r="AC66" s="11"/>
    </row>
    <row r="67" spans="1:29" ht="15.75" thickBot="1" x14ac:dyDescent="0.3">
      <c r="A67" s="97">
        <v>45402</v>
      </c>
      <c r="B67" s="92">
        <v>0.41666666666666669</v>
      </c>
      <c r="C67" s="92"/>
      <c r="D67" s="91"/>
      <c r="E67" s="91" t="s">
        <v>60</v>
      </c>
      <c r="F67" s="91">
        <v>30</v>
      </c>
      <c r="G67" s="93">
        <v>174034</v>
      </c>
      <c r="H67" s="93">
        <v>21.8</v>
      </c>
      <c r="I67" s="93"/>
      <c r="J67" s="103"/>
      <c r="K67" s="107"/>
      <c r="L67" s="107"/>
      <c r="M67" s="107"/>
      <c r="N67" s="107"/>
      <c r="O67" s="103"/>
      <c r="P67" s="103"/>
      <c r="Q67" s="104"/>
      <c r="R67" s="103"/>
      <c r="S67" s="94">
        <f t="shared" si="2"/>
        <v>21.8</v>
      </c>
      <c r="T67" s="95">
        <f t="shared" si="3"/>
        <v>1098</v>
      </c>
      <c r="U67" s="95">
        <f t="shared" si="29"/>
        <v>0</v>
      </c>
      <c r="V67" s="95">
        <f t="shared" si="36"/>
        <v>0</v>
      </c>
      <c r="W67" s="96">
        <f t="shared" si="1"/>
        <v>1016.8046132971506</v>
      </c>
      <c r="X67" s="96">
        <f>V67/[1]Manure!$I$2</f>
        <v>0</v>
      </c>
      <c r="Y67" s="96">
        <f>W67/[1]Manure!$I$2</f>
        <v>725.15579817279149</v>
      </c>
      <c r="Z67" s="96"/>
      <c r="AA67" s="96"/>
      <c r="AB67" s="95"/>
      <c r="AC67" s="11"/>
    </row>
    <row r="68" spans="1:29" ht="15.75" thickBot="1" x14ac:dyDescent="0.3">
      <c r="A68" s="97">
        <v>45404</v>
      </c>
      <c r="B68" s="92">
        <v>0.41666666666666669</v>
      </c>
      <c r="C68" s="92"/>
      <c r="D68" s="91"/>
      <c r="E68" s="91" t="s">
        <v>60</v>
      </c>
      <c r="F68" s="91">
        <v>30</v>
      </c>
      <c r="G68" s="93">
        <v>176079</v>
      </c>
      <c r="H68" s="93">
        <v>27.7</v>
      </c>
      <c r="I68" s="93"/>
      <c r="J68" s="103"/>
      <c r="K68" s="107"/>
      <c r="L68" s="107"/>
      <c r="M68" s="107"/>
      <c r="N68" s="107"/>
      <c r="O68" s="103"/>
      <c r="P68" s="103"/>
      <c r="Q68" s="104"/>
      <c r="R68" s="103"/>
      <c r="S68" s="94">
        <f t="shared" si="2"/>
        <v>27.7</v>
      </c>
      <c r="T68" s="95">
        <f t="shared" si="3"/>
        <v>2045</v>
      </c>
      <c r="U68" s="95">
        <f t="shared" si="30"/>
        <v>0</v>
      </c>
      <c r="V68" s="95">
        <f t="shared" si="36"/>
        <v>0</v>
      </c>
      <c r="W68" s="96">
        <f t="shared" si="1"/>
        <v>1856.6178915862988</v>
      </c>
      <c r="X68" s="96">
        <f>V68/[1]Manure!$I$2</f>
        <v>0</v>
      </c>
      <c r="Y68" s="96">
        <f>W68/[1]Manure!$I$2</f>
        <v>1324.0864680082786</v>
      </c>
      <c r="Z68" s="96"/>
      <c r="AA68" s="96"/>
      <c r="AB68" s="95"/>
      <c r="AC68" s="11"/>
    </row>
    <row r="69" spans="1:29" ht="15.75" thickBot="1" x14ac:dyDescent="0.3">
      <c r="A69" s="97">
        <v>45405</v>
      </c>
      <c r="B69" s="92">
        <v>0.41666666666666669</v>
      </c>
      <c r="C69" s="92"/>
      <c r="D69" s="91"/>
      <c r="E69" s="91" t="s">
        <v>60</v>
      </c>
      <c r="F69" s="91">
        <v>30</v>
      </c>
      <c r="G69" s="93">
        <v>177065</v>
      </c>
      <c r="H69" s="93">
        <v>22.2</v>
      </c>
      <c r="I69" s="93"/>
      <c r="J69" s="103"/>
      <c r="K69" s="107"/>
      <c r="L69" s="107"/>
      <c r="M69" s="107"/>
      <c r="N69" s="107"/>
      <c r="O69" s="103"/>
      <c r="P69" s="103"/>
      <c r="Q69" s="104"/>
      <c r="R69" s="103"/>
      <c r="S69" s="94">
        <f t="shared" si="2"/>
        <v>22.2</v>
      </c>
      <c r="T69" s="95">
        <f t="shared" si="3"/>
        <v>986</v>
      </c>
      <c r="U69" s="95">
        <f t="shared" si="31"/>
        <v>0</v>
      </c>
      <c r="V69" s="95">
        <f t="shared" si="36"/>
        <v>0</v>
      </c>
      <c r="W69" s="96">
        <f t="shared" si="1"/>
        <v>911.84959349593498</v>
      </c>
      <c r="X69" s="96">
        <f>V69/[1]Manure!$I$2</f>
        <v>0</v>
      </c>
      <c r="Y69" s="96">
        <f>W69/[1]Manure!$I$2</f>
        <v>650.30489745805437</v>
      </c>
      <c r="Z69" s="96"/>
      <c r="AA69" s="96"/>
      <c r="AB69" s="95"/>
      <c r="AC69" s="11"/>
    </row>
    <row r="70" spans="1:29" ht="15.75" thickBot="1" x14ac:dyDescent="0.3">
      <c r="A70" s="97">
        <v>45406</v>
      </c>
      <c r="B70" s="92">
        <v>0.41666666666666669</v>
      </c>
      <c r="C70" s="92"/>
      <c r="D70" s="91"/>
      <c r="E70" s="91" t="s">
        <v>60</v>
      </c>
      <c r="F70" s="91">
        <v>30</v>
      </c>
      <c r="G70" s="93">
        <v>178055</v>
      </c>
      <c r="H70" s="93">
        <v>22.6</v>
      </c>
      <c r="I70" s="93"/>
      <c r="J70" s="103"/>
      <c r="K70" s="107"/>
      <c r="L70" s="107"/>
      <c r="M70" s="107"/>
      <c r="N70" s="107"/>
      <c r="O70" s="103"/>
      <c r="P70" s="103"/>
      <c r="Q70" s="104"/>
      <c r="R70" s="103"/>
      <c r="S70" s="94">
        <f t="shared" si="2"/>
        <v>22.6</v>
      </c>
      <c r="T70" s="95">
        <f t="shared" si="3"/>
        <v>990</v>
      </c>
      <c r="U70" s="95">
        <f t="shared" si="31"/>
        <v>0</v>
      </c>
      <c r="V70" s="95">
        <f t="shared" si="36"/>
        <v>0</v>
      </c>
      <c r="W70" s="96">
        <f t="shared" si="1"/>
        <v>914.30987821380245</v>
      </c>
      <c r="X70" s="96">
        <f>V70/[1]Manure!$I$2</f>
        <v>0</v>
      </c>
      <c r="Y70" s="96">
        <f>W70/[1]Manure!$I$2</f>
        <v>652.05950173992551</v>
      </c>
      <c r="Z70" s="96"/>
      <c r="AA70" s="96"/>
      <c r="AB70" s="95"/>
      <c r="AC70" s="11"/>
    </row>
    <row r="71" spans="1:29" ht="15.75" thickBot="1" x14ac:dyDescent="0.3">
      <c r="A71" s="97">
        <v>45407</v>
      </c>
      <c r="B71" s="92">
        <v>0.41666666666666669</v>
      </c>
      <c r="C71" s="92"/>
      <c r="D71" s="91"/>
      <c r="E71" s="91" t="s">
        <v>60</v>
      </c>
      <c r="F71" s="91">
        <v>30</v>
      </c>
      <c r="G71" s="93">
        <v>179047</v>
      </c>
      <c r="H71" s="93">
        <v>24.8</v>
      </c>
      <c r="I71" s="93"/>
      <c r="J71" s="103"/>
      <c r="K71" s="107"/>
      <c r="L71" s="107"/>
      <c r="M71" s="107"/>
      <c r="N71" s="107"/>
      <c r="O71" s="103"/>
      <c r="P71" s="103"/>
      <c r="Q71" s="104"/>
      <c r="R71" s="103"/>
      <c r="S71" s="94">
        <f t="shared" si="2"/>
        <v>24.8</v>
      </c>
      <c r="T71" s="95">
        <f t="shared" si="3"/>
        <v>992</v>
      </c>
      <c r="U71" s="95">
        <f t="shared" si="32"/>
        <v>0</v>
      </c>
      <c r="V71" s="95">
        <f t="shared" si="36"/>
        <v>0</v>
      </c>
      <c r="W71" s="96">
        <f t="shared" si="1"/>
        <v>909.38885157824041</v>
      </c>
      <c r="X71" s="96">
        <f>V71/[1]Manure!$I$2</f>
        <v>0</v>
      </c>
      <c r="Y71" s="96">
        <f>W71/[1]Manure!$I$2</f>
        <v>648.54996711441959</v>
      </c>
      <c r="Z71" s="96"/>
      <c r="AA71" s="96"/>
      <c r="AB71" s="95"/>
      <c r="AC71" s="11"/>
    </row>
    <row r="72" spans="1:29" ht="15.75" thickBot="1" x14ac:dyDescent="0.3">
      <c r="A72" s="97">
        <v>45408</v>
      </c>
      <c r="B72" s="92">
        <v>0.41666666666666669</v>
      </c>
      <c r="C72" s="92"/>
      <c r="D72" s="91"/>
      <c r="E72" s="91" t="s">
        <v>60</v>
      </c>
      <c r="F72" s="91">
        <v>30</v>
      </c>
      <c r="G72" s="93">
        <v>180009</v>
      </c>
      <c r="H72" s="93">
        <v>21.9</v>
      </c>
      <c r="I72" s="93"/>
      <c r="J72" s="103"/>
      <c r="K72" s="107"/>
      <c r="L72" s="107"/>
      <c r="M72" s="107"/>
      <c r="N72" s="107"/>
      <c r="O72" s="103"/>
      <c r="P72" s="103"/>
      <c r="Q72" s="104"/>
      <c r="R72" s="103"/>
      <c r="S72" s="94">
        <f t="shared" si="2"/>
        <v>21.9</v>
      </c>
      <c r="T72" s="95">
        <f t="shared" si="3"/>
        <v>962</v>
      </c>
      <c r="U72" s="95">
        <f t="shared" si="33"/>
        <v>0</v>
      </c>
      <c r="V72" s="95">
        <f t="shared" si="36"/>
        <v>0</v>
      </c>
      <c r="W72" s="96">
        <f t="shared" si="1"/>
        <v>890.55951169888101</v>
      </c>
      <c r="X72" s="96">
        <f>V72/[1]Manure!$I$2</f>
        <v>0</v>
      </c>
      <c r="Y72" s="96">
        <f>W72/[1]Manure!$I$2</f>
        <v>635.12142360593987</v>
      </c>
      <c r="Z72" s="96"/>
      <c r="AA72" s="96"/>
      <c r="AB72" s="95"/>
      <c r="AC72" s="11"/>
    </row>
    <row r="73" spans="1:29" ht="15.75" thickBot="1" x14ac:dyDescent="0.3">
      <c r="A73" s="97">
        <v>45409</v>
      </c>
      <c r="B73" s="92">
        <v>0.41666666666666669</v>
      </c>
      <c r="C73" s="92"/>
      <c r="D73" s="91"/>
      <c r="E73" s="91" t="s">
        <v>60</v>
      </c>
      <c r="F73" s="91">
        <v>30</v>
      </c>
      <c r="G73" s="93">
        <v>180968</v>
      </c>
      <c r="H73" s="93">
        <v>27.2</v>
      </c>
      <c r="I73" s="93"/>
      <c r="J73" s="103"/>
      <c r="K73" s="107"/>
      <c r="L73" s="107"/>
      <c r="M73" s="107"/>
      <c r="N73" s="107"/>
      <c r="O73" s="103"/>
      <c r="P73" s="103"/>
      <c r="Q73" s="104"/>
      <c r="R73" s="103"/>
      <c r="S73" s="94">
        <f t="shared" si="2"/>
        <v>27.2</v>
      </c>
      <c r="T73" s="95">
        <f t="shared" si="3"/>
        <v>959</v>
      </c>
      <c r="U73" s="95">
        <f t="shared" si="33"/>
        <v>0</v>
      </c>
      <c r="V73" s="95">
        <f t="shared" si="36"/>
        <v>0</v>
      </c>
      <c r="W73" s="96">
        <f t="shared" si="1"/>
        <v>872.10859427048638</v>
      </c>
      <c r="X73" s="96">
        <f>V73/[1]Manure!$I$2</f>
        <v>0</v>
      </c>
      <c r="Y73" s="96">
        <f>W73/[1]Manure!$I$2</f>
        <v>621.96276010280951</v>
      </c>
      <c r="Z73" s="96"/>
      <c r="AA73" s="96"/>
      <c r="AB73" s="95"/>
      <c r="AC73" s="11"/>
    </row>
    <row r="74" spans="1:29" ht="15.75" thickBot="1" x14ac:dyDescent="0.3">
      <c r="A74" s="97">
        <v>45411</v>
      </c>
      <c r="B74" s="92">
        <v>0.41666666666666669</v>
      </c>
      <c r="C74" s="92"/>
      <c r="D74" s="91"/>
      <c r="E74" s="91" t="s">
        <v>60</v>
      </c>
      <c r="F74" s="91">
        <v>30</v>
      </c>
      <c r="G74" s="93">
        <v>182901</v>
      </c>
      <c r="H74" s="93">
        <v>26.9</v>
      </c>
      <c r="I74" s="93"/>
      <c r="J74" s="103"/>
      <c r="K74" s="107"/>
      <c r="L74" s="107"/>
      <c r="M74" s="107"/>
      <c r="N74" s="107"/>
      <c r="O74" s="103"/>
      <c r="P74" s="103"/>
      <c r="Q74" s="104"/>
      <c r="R74" s="103"/>
      <c r="S74" s="94">
        <f t="shared" si="2"/>
        <v>26.9</v>
      </c>
      <c r="T74" s="95">
        <f t="shared" si="3"/>
        <v>1933</v>
      </c>
      <c r="U74" s="95">
        <f t="shared" ref="U74" si="37">T74*(I74/100)</f>
        <v>0</v>
      </c>
      <c r="V74" s="95">
        <f t="shared" si="36"/>
        <v>0</v>
      </c>
      <c r="W74" s="96">
        <f t="shared" si="1"/>
        <v>1759.6165388462821</v>
      </c>
      <c r="X74" s="96">
        <f>V74/[1]Manure!$I$2</f>
        <v>0</v>
      </c>
      <c r="Y74" s="96">
        <f>W74/[1]Manure!$I$2</f>
        <v>1254.9078938258356</v>
      </c>
      <c r="Z74" s="96"/>
      <c r="AA74" s="96"/>
      <c r="AB74" s="95"/>
      <c r="AC74" s="11"/>
    </row>
    <row r="75" spans="1:29" ht="15.75" thickBot="1" x14ac:dyDescent="0.3">
      <c r="A75" s="97">
        <v>45412</v>
      </c>
      <c r="B75" s="92">
        <v>0.41666666666666669</v>
      </c>
      <c r="C75" s="92"/>
      <c r="D75" s="91"/>
      <c r="E75" s="91" t="s">
        <v>60</v>
      </c>
      <c r="F75" s="91">
        <v>30</v>
      </c>
      <c r="G75" s="93">
        <v>183825</v>
      </c>
      <c r="H75" s="93">
        <v>25.8</v>
      </c>
      <c r="I75" s="93"/>
      <c r="J75" s="103"/>
      <c r="K75" s="107"/>
      <c r="L75" s="107"/>
      <c r="M75" s="107"/>
      <c r="N75" s="107"/>
      <c r="O75" s="103"/>
      <c r="P75" s="103"/>
      <c r="Q75" s="104"/>
      <c r="R75" s="103"/>
      <c r="S75" s="94">
        <f t="shared" si="2"/>
        <v>25.8</v>
      </c>
      <c r="T75" s="95">
        <f t="shared" si="3"/>
        <v>924</v>
      </c>
      <c r="U75" s="95">
        <f t="shared" ref="U75:U76" si="38">T75*(P75/100)</f>
        <v>0</v>
      </c>
      <c r="V75" s="95">
        <f t="shared" si="36"/>
        <v>0</v>
      </c>
      <c r="W75" s="96">
        <f t="shared" si="1"/>
        <v>844.2168674698795</v>
      </c>
      <c r="X75" s="96">
        <f>V75/[1]Manure!$I$2</f>
        <v>0</v>
      </c>
      <c r="Y75" s="96">
        <f>W75/[1]Manure!$I$2</f>
        <v>602.07118295415171</v>
      </c>
      <c r="Z75" s="96"/>
      <c r="AA75" s="96"/>
      <c r="AB75" s="95"/>
      <c r="AC75" s="11"/>
    </row>
    <row r="76" spans="1:29" ht="15.75" thickBot="1" x14ac:dyDescent="0.3">
      <c r="A76" s="97">
        <v>45413</v>
      </c>
      <c r="B76" s="92">
        <v>0.41666666666666669</v>
      </c>
      <c r="C76" s="92"/>
      <c r="D76" s="91"/>
      <c r="E76" s="91" t="s">
        <v>60</v>
      </c>
      <c r="F76" s="91">
        <v>30</v>
      </c>
      <c r="G76" s="93">
        <v>184835</v>
      </c>
      <c r="H76" s="93">
        <v>21.3</v>
      </c>
      <c r="I76" s="93"/>
      <c r="J76" s="103"/>
      <c r="K76" s="107"/>
      <c r="L76" s="107"/>
      <c r="M76" s="107"/>
      <c r="N76" s="107"/>
      <c r="O76" s="103"/>
      <c r="P76" s="103"/>
      <c r="Q76" s="104"/>
      <c r="R76" s="103"/>
      <c r="S76" s="94">
        <f t="shared" si="2"/>
        <v>21.3</v>
      </c>
      <c r="T76" s="95">
        <f t="shared" si="3"/>
        <v>1010</v>
      </c>
      <c r="U76" s="95">
        <f t="shared" si="38"/>
        <v>0</v>
      </c>
      <c r="V76" s="95">
        <f t="shared" si="36"/>
        <v>0</v>
      </c>
      <c r="W76" s="96">
        <f t="shared" si="1"/>
        <v>936.90112130479099</v>
      </c>
      <c r="X76" s="96">
        <f>V76/[1]Manure!$I$2</f>
        <v>0</v>
      </c>
      <c r="Y76" s="96">
        <f>W76/[1]Manure!$I$2</f>
        <v>668.17092639430393</v>
      </c>
      <c r="Z76" s="96"/>
      <c r="AA76" s="96"/>
      <c r="AB76" s="95"/>
      <c r="AC76" s="11"/>
    </row>
    <row r="77" spans="1:29" ht="15.75" thickBot="1" x14ac:dyDescent="0.3">
      <c r="A77" s="97">
        <v>45414</v>
      </c>
      <c r="B77" s="92">
        <v>0.41666666666666669</v>
      </c>
      <c r="C77" s="93"/>
      <c r="D77" s="91"/>
      <c r="E77" s="91" t="s">
        <v>60</v>
      </c>
      <c r="F77" s="91">
        <v>30</v>
      </c>
      <c r="G77" s="93">
        <v>185774</v>
      </c>
      <c r="H77" s="93">
        <v>25</v>
      </c>
      <c r="I77" s="93"/>
      <c r="J77" s="103"/>
      <c r="K77" s="107"/>
      <c r="L77" s="107"/>
      <c r="M77" s="107"/>
      <c r="N77" s="107"/>
      <c r="O77" s="103"/>
      <c r="P77" s="103"/>
      <c r="Q77" s="104"/>
      <c r="R77" s="103"/>
      <c r="S77" s="94">
        <f t="shared" si="2"/>
        <v>25</v>
      </c>
      <c r="T77" s="95">
        <f t="shared" si="3"/>
        <v>939</v>
      </c>
      <c r="U77" s="95">
        <f t="shared" si="20"/>
        <v>0</v>
      </c>
      <c r="V77" s="95">
        <f t="shared" si="36"/>
        <v>0</v>
      </c>
      <c r="W77" s="96">
        <f t="shared" si="1"/>
        <v>860.224832214765</v>
      </c>
      <c r="X77" s="96">
        <f>V77/[1]Manure!$I$2</f>
        <v>0</v>
      </c>
      <c r="Y77" s="96">
        <f>W77/[1]Manure!$I$2</f>
        <v>613.48760288369715</v>
      </c>
      <c r="Z77" s="96"/>
      <c r="AA77" s="96"/>
      <c r="AB77" s="95"/>
      <c r="AC77" s="11"/>
    </row>
    <row r="78" spans="1:29" ht="15.75" thickBot="1" x14ac:dyDescent="0.3">
      <c r="A78" s="97">
        <v>45415</v>
      </c>
      <c r="B78" s="92">
        <v>0.41666666666666669</v>
      </c>
      <c r="C78" s="92"/>
      <c r="D78" s="91"/>
      <c r="E78" s="91" t="s">
        <v>60</v>
      </c>
      <c r="F78" s="91">
        <v>30</v>
      </c>
      <c r="G78" s="93">
        <v>186716</v>
      </c>
      <c r="H78" s="93">
        <v>24.2</v>
      </c>
      <c r="I78" s="93"/>
      <c r="J78" s="103"/>
      <c r="K78" s="107"/>
      <c r="L78" s="107"/>
      <c r="M78" s="107"/>
      <c r="N78" s="107"/>
      <c r="O78" s="103"/>
      <c r="P78" s="103"/>
      <c r="Q78" s="104"/>
      <c r="R78" s="103"/>
      <c r="S78" s="94">
        <f t="shared" si="2"/>
        <v>24.2</v>
      </c>
      <c r="T78" s="95">
        <f t="shared" si="3"/>
        <v>942</v>
      </c>
      <c r="U78" s="95">
        <f t="shared" si="21"/>
        <v>0</v>
      </c>
      <c r="V78" s="95">
        <f t="shared" si="36"/>
        <v>0</v>
      </c>
      <c r="W78" s="96">
        <f t="shared" si="1"/>
        <v>865.29609690444147</v>
      </c>
      <c r="X78" s="96">
        <f>V78/[1]Manure!$I$2</f>
        <v>0</v>
      </c>
      <c r="Y78" s="96">
        <f>W78/[1]Manure!$I$2</f>
        <v>617.10428296726116</v>
      </c>
      <c r="Z78" s="96"/>
      <c r="AA78" s="96"/>
      <c r="AB78" s="98"/>
      <c r="AC78" s="11"/>
    </row>
    <row r="79" spans="1:29" ht="15.75" thickBot="1" x14ac:dyDescent="0.3">
      <c r="A79" s="97">
        <v>45416</v>
      </c>
      <c r="B79" s="92">
        <v>0.41666666666666669</v>
      </c>
      <c r="C79" s="92"/>
      <c r="D79" s="91"/>
      <c r="E79" s="91" t="s">
        <v>60</v>
      </c>
      <c r="F79" s="91">
        <v>30</v>
      </c>
      <c r="G79" s="93">
        <v>187686</v>
      </c>
      <c r="H79" s="93">
        <v>22</v>
      </c>
      <c r="I79" s="93"/>
      <c r="J79" s="103"/>
      <c r="K79" s="107"/>
      <c r="L79" s="107"/>
      <c r="M79" s="107"/>
      <c r="N79" s="107"/>
      <c r="O79" s="103"/>
      <c r="P79" s="103"/>
      <c r="Q79" s="104"/>
      <c r="R79" s="103"/>
      <c r="S79" s="94">
        <f t="shared" si="2"/>
        <v>22</v>
      </c>
      <c r="T79" s="95">
        <f t="shared" si="3"/>
        <v>970</v>
      </c>
      <c r="U79" s="95">
        <f t="shared" si="21"/>
        <v>0</v>
      </c>
      <c r="V79" s="95">
        <f t="shared" si="36"/>
        <v>0</v>
      </c>
      <c r="W79" s="96">
        <f t="shared" si="1"/>
        <v>897.66101694915255</v>
      </c>
      <c r="X79" s="96">
        <f>V79/[1]Manure!$I$2</f>
        <v>0</v>
      </c>
      <c r="Y79" s="96">
        <f>W79/[1]Manure!$I$2</f>
        <v>640.18601285017064</v>
      </c>
      <c r="Z79" s="96"/>
      <c r="AA79" s="96"/>
      <c r="AB79" s="95"/>
      <c r="AC79" s="11"/>
    </row>
    <row r="80" spans="1:29" ht="15.75" thickBot="1" x14ac:dyDescent="0.3">
      <c r="A80" s="97">
        <v>45418</v>
      </c>
      <c r="B80" s="92">
        <v>0.41666666666666669</v>
      </c>
      <c r="C80" s="92"/>
      <c r="D80" s="91"/>
      <c r="E80" s="91" t="s">
        <v>60</v>
      </c>
      <c r="F80" s="91">
        <v>30</v>
      </c>
      <c r="G80" s="93">
        <v>189499</v>
      </c>
      <c r="H80" s="93">
        <v>19.7</v>
      </c>
      <c r="I80" s="93"/>
      <c r="J80" s="103"/>
      <c r="K80" s="107"/>
      <c r="L80" s="107"/>
      <c r="M80" s="107"/>
      <c r="N80" s="107"/>
      <c r="O80" s="103"/>
      <c r="P80" s="103"/>
      <c r="Q80" s="104"/>
      <c r="R80" s="103"/>
      <c r="S80" s="94">
        <f t="shared" si="2"/>
        <v>19.7</v>
      </c>
      <c r="T80" s="95">
        <f t="shared" si="3"/>
        <v>1813</v>
      </c>
      <c r="U80" s="95">
        <f t="shared" si="22"/>
        <v>0</v>
      </c>
      <c r="V80" s="95">
        <f t="shared" si="36"/>
        <v>0</v>
      </c>
      <c r="W80" s="96">
        <f t="shared" si="1"/>
        <v>1690.9771096686029</v>
      </c>
      <c r="X80" s="96">
        <f>V80/[1]Manure!$I$2</f>
        <v>0</v>
      </c>
      <c r="Y80" s="96">
        <f>W80/[1]Manure!$I$2</f>
        <v>1205.9562275956207</v>
      </c>
      <c r="Z80" s="96"/>
      <c r="AA80" s="96"/>
      <c r="AB80" s="95"/>
      <c r="AC80" s="11"/>
    </row>
    <row r="81" spans="1:29" ht="15.75" thickBot="1" x14ac:dyDescent="0.3">
      <c r="A81" s="97">
        <v>45419</v>
      </c>
      <c r="B81" s="92">
        <v>0.41666666666666669</v>
      </c>
      <c r="C81" s="92"/>
      <c r="D81" s="91"/>
      <c r="E81" s="91" t="s">
        <v>60</v>
      </c>
      <c r="F81" s="91">
        <v>30</v>
      </c>
      <c r="G81" s="93">
        <v>190439</v>
      </c>
      <c r="H81" s="93">
        <v>19.3</v>
      </c>
      <c r="I81" s="93"/>
      <c r="J81" s="103"/>
      <c r="K81" s="107"/>
      <c r="L81" s="107"/>
      <c r="M81" s="107"/>
      <c r="N81" s="107"/>
      <c r="O81" s="103"/>
      <c r="P81" s="103"/>
      <c r="Q81" s="104"/>
      <c r="R81" s="103"/>
      <c r="S81" s="94">
        <f t="shared" si="2"/>
        <v>19.3</v>
      </c>
      <c r="T81" s="95">
        <f t="shared" si="3"/>
        <v>940</v>
      </c>
      <c r="U81" s="95">
        <f t="shared" si="23"/>
        <v>0</v>
      </c>
      <c r="V81" s="95">
        <f t="shared" si="36"/>
        <v>0</v>
      </c>
      <c r="W81" s="96">
        <f t="shared" si="1"/>
        <v>877.93362983236398</v>
      </c>
      <c r="X81" s="96">
        <f>V81/[1]Manure!$I$2</f>
        <v>0</v>
      </c>
      <c r="Y81" s="96">
        <f>W81/[1]Manure!$I$2</f>
        <v>626.11700788750545</v>
      </c>
      <c r="Z81" s="96"/>
      <c r="AA81" s="96"/>
      <c r="AB81" s="95"/>
      <c r="AC81" s="11"/>
    </row>
    <row r="82" spans="1:29" ht="15.75" thickBot="1" x14ac:dyDescent="0.3">
      <c r="A82" s="97">
        <v>45420</v>
      </c>
      <c r="B82" s="92">
        <v>0.41666666666666669</v>
      </c>
      <c r="C82" s="92"/>
      <c r="D82" s="91"/>
      <c r="E82" s="91" t="s">
        <v>60</v>
      </c>
      <c r="F82" s="91">
        <v>30</v>
      </c>
      <c r="G82" s="93">
        <v>191421</v>
      </c>
      <c r="H82" s="93">
        <v>21.6</v>
      </c>
      <c r="I82" s="93"/>
      <c r="J82" s="103"/>
      <c r="K82" s="107"/>
      <c r="L82" s="107"/>
      <c r="M82" s="107"/>
      <c r="N82" s="107"/>
      <c r="O82" s="103"/>
      <c r="P82" s="103"/>
      <c r="Q82" s="104"/>
      <c r="R82" s="103"/>
      <c r="S82" s="94">
        <f t="shared" si="2"/>
        <v>21.6</v>
      </c>
      <c r="T82" s="95">
        <f t="shared" si="3"/>
        <v>982</v>
      </c>
      <c r="U82" s="95">
        <f t="shared" si="23"/>
        <v>0</v>
      </c>
      <c r="V82" s="95">
        <f t="shared" si="36"/>
        <v>0</v>
      </c>
      <c r="W82" s="96">
        <f t="shared" si="1"/>
        <v>910</v>
      </c>
      <c r="X82" s="96">
        <f>V82/[1]Manure!$I$2</f>
        <v>0</v>
      </c>
      <c r="Y82" s="96">
        <f>W82/[1]Manure!$I$2</f>
        <v>648.98582058694274</v>
      </c>
      <c r="Z82" s="96"/>
      <c r="AA82" s="96"/>
      <c r="AB82" s="95"/>
      <c r="AC82" s="11"/>
    </row>
    <row r="83" spans="1:29" ht="15.75" thickBot="1" x14ac:dyDescent="0.3">
      <c r="A83" s="97">
        <v>45421</v>
      </c>
      <c r="B83" s="92">
        <v>0.41666666666666669</v>
      </c>
      <c r="C83" s="92"/>
      <c r="D83" s="91"/>
      <c r="E83" s="91" t="s">
        <v>60</v>
      </c>
      <c r="F83" s="91">
        <v>20</v>
      </c>
      <c r="G83" s="93">
        <v>192381</v>
      </c>
      <c r="H83" s="93">
        <v>22</v>
      </c>
      <c r="I83" s="93"/>
      <c r="J83" s="103"/>
      <c r="K83" s="107"/>
      <c r="L83" s="107"/>
      <c r="M83" s="107"/>
      <c r="N83" s="107"/>
      <c r="O83" s="103"/>
      <c r="P83" s="103"/>
      <c r="Q83" s="104"/>
      <c r="R83" s="103"/>
      <c r="S83" s="94">
        <f t="shared" si="2"/>
        <v>22</v>
      </c>
      <c r="T83" s="95">
        <f t="shared" si="3"/>
        <v>960</v>
      </c>
      <c r="U83" s="95">
        <f t="shared" si="24"/>
        <v>0</v>
      </c>
      <c r="V83" s="95">
        <f t="shared" si="36"/>
        <v>0</v>
      </c>
      <c r="W83" s="96">
        <f t="shared" si="1"/>
        <v>888.40677966101691</v>
      </c>
      <c r="X83" s="96">
        <f>V83/[1]Manure!$I$2</f>
        <v>0</v>
      </c>
      <c r="Y83" s="96">
        <f>W83/[1]Manure!$I$2</f>
        <v>633.58615704759154</v>
      </c>
      <c r="Z83" s="96"/>
      <c r="AA83" s="96"/>
      <c r="AB83" s="95"/>
      <c r="AC83" s="11"/>
    </row>
    <row r="84" spans="1:29" ht="15.75" thickBot="1" x14ac:dyDescent="0.3">
      <c r="A84" s="97">
        <v>45422</v>
      </c>
      <c r="B84" s="92">
        <v>0.41666666666666669</v>
      </c>
      <c r="C84" s="92"/>
      <c r="D84" s="91"/>
      <c r="E84" s="91" t="s">
        <v>60</v>
      </c>
      <c r="F84" s="91">
        <v>20</v>
      </c>
      <c r="G84" s="93">
        <v>193321</v>
      </c>
      <c r="H84" s="93">
        <v>20.2</v>
      </c>
      <c r="I84" s="93"/>
      <c r="J84" s="103"/>
      <c r="K84" s="107"/>
      <c r="L84" s="107"/>
      <c r="M84" s="107"/>
      <c r="N84" s="107"/>
      <c r="O84" s="103"/>
      <c r="P84" s="103"/>
      <c r="Q84" s="104"/>
      <c r="R84" s="103"/>
      <c r="S84" s="94">
        <f t="shared" si="2"/>
        <v>20.2</v>
      </c>
      <c r="T84" s="95">
        <f t="shared" si="3"/>
        <v>940</v>
      </c>
      <c r="U84" s="95">
        <f t="shared" si="25"/>
        <v>0</v>
      </c>
      <c r="V84" s="95">
        <f t="shared" si="36"/>
        <v>0</v>
      </c>
      <c r="W84" s="96">
        <f t="shared" si="1"/>
        <v>875.23874488403828</v>
      </c>
      <c r="X84" s="96">
        <f>V84/[1]Manure!$I$2</f>
        <v>0</v>
      </c>
      <c r="Y84" s="96">
        <f>W84/[1]Manure!$I$2</f>
        <v>624.19509347038831</v>
      </c>
      <c r="Z84" s="96"/>
      <c r="AA84" s="96"/>
      <c r="AB84" s="95"/>
      <c r="AC84" s="11"/>
    </row>
    <row r="85" spans="1:29" ht="15.75" thickBot="1" x14ac:dyDescent="0.3">
      <c r="A85" s="97">
        <v>45423</v>
      </c>
      <c r="B85" s="92">
        <v>0.41666666666666669</v>
      </c>
      <c r="C85" s="92"/>
      <c r="D85" s="91"/>
      <c r="E85" s="91" t="s">
        <v>60</v>
      </c>
      <c r="F85" s="91">
        <v>20</v>
      </c>
      <c r="G85" s="93">
        <v>194303</v>
      </c>
      <c r="H85" s="93">
        <v>25.9</v>
      </c>
      <c r="I85" s="93"/>
      <c r="J85" s="103"/>
      <c r="K85" s="107"/>
      <c r="L85" s="107"/>
      <c r="M85" s="107"/>
      <c r="N85" s="107"/>
      <c r="O85" s="103"/>
      <c r="P85" s="103"/>
      <c r="Q85" s="104"/>
      <c r="R85" s="103"/>
      <c r="S85" s="94">
        <f t="shared" si="2"/>
        <v>25.9</v>
      </c>
      <c r="T85" s="95">
        <f t="shared" si="3"/>
        <v>982</v>
      </c>
      <c r="U85" s="95">
        <f t="shared" si="25"/>
        <v>0</v>
      </c>
      <c r="V85" s="95">
        <f t="shared" si="36"/>
        <v>0</v>
      </c>
      <c r="W85" s="96">
        <f t="shared" si="1"/>
        <v>896.90866510538638</v>
      </c>
      <c r="X85" s="96">
        <f>V85/[1]Manure!$I$2</f>
        <v>0</v>
      </c>
      <c r="Y85" s="96">
        <f>W85/[1]Manure!$I$2</f>
        <v>639.64945715929514</v>
      </c>
      <c r="Z85" s="96"/>
      <c r="AA85" s="96"/>
      <c r="AB85" s="95"/>
      <c r="AC85" s="11"/>
    </row>
    <row r="86" spans="1:29" ht="15.75" thickBot="1" x14ac:dyDescent="0.3">
      <c r="A86" s="97">
        <v>45425</v>
      </c>
      <c r="B86" s="92">
        <v>0.41666666666666669</v>
      </c>
      <c r="C86" s="92"/>
      <c r="D86" s="91"/>
      <c r="E86" s="91" t="s">
        <v>60</v>
      </c>
      <c r="F86" s="91">
        <v>20</v>
      </c>
      <c r="G86" s="93">
        <v>196304</v>
      </c>
      <c r="H86" s="93">
        <v>25</v>
      </c>
      <c r="I86" s="93"/>
      <c r="J86" s="103"/>
      <c r="K86" s="107"/>
      <c r="L86" s="107"/>
      <c r="M86" s="107"/>
      <c r="N86" s="107"/>
      <c r="O86" s="103"/>
      <c r="P86" s="103"/>
      <c r="Q86" s="104"/>
      <c r="R86" s="103"/>
      <c r="S86" s="94">
        <f t="shared" si="2"/>
        <v>25</v>
      </c>
      <c r="T86" s="95">
        <f t="shared" si="3"/>
        <v>2001</v>
      </c>
      <c r="U86" s="95">
        <f t="shared" si="26"/>
        <v>0</v>
      </c>
      <c r="V86" s="95">
        <f t="shared" si="36"/>
        <v>0</v>
      </c>
      <c r="W86" s="96">
        <f t="shared" si="1"/>
        <v>1833.1308724832213</v>
      </c>
      <c r="X86" s="96">
        <f>V86/[1]Manure!$I$2</f>
        <v>0</v>
      </c>
      <c r="Y86" s="96">
        <f>W86/[1]Manure!$I$2</f>
        <v>1307.3362016722876</v>
      </c>
      <c r="Z86" s="96"/>
      <c r="AA86" s="96"/>
      <c r="AB86" s="95"/>
      <c r="AC86" s="11"/>
    </row>
    <row r="87" spans="1:29" ht="15.75" thickBot="1" x14ac:dyDescent="0.3">
      <c r="A87" s="97">
        <v>45426</v>
      </c>
      <c r="B87" s="92">
        <v>0.41666666666666669</v>
      </c>
      <c r="C87" s="92"/>
      <c r="D87" s="91"/>
      <c r="E87" s="91" t="s">
        <v>60</v>
      </c>
      <c r="F87" s="91">
        <v>20</v>
      </c>
      <c r="G87" s="93">
        <v>197294</v>
      </c>
      <c r="H87" s="93">
        <v>24.8</v>
      </c>
      <c r="I87" s="93"/>
      <c r="J87" s="103"/>
      <c r="K87" s="107"/>
      <c r="L87" s="107"/>
      <c r="M87" s="107"/>
      <c r="N87" s="107"/>
      <c r="O87" s="103"/>
      <c r="P87" s="103"/>
      <c r="Q87" s="103"/>
      <c r="R87" s="103"/>
      <c r="S87" s="94">
        <f t="shared" si="2"/>
        <v>24.8</v>
      </c>
      <c r="T87" s="95">
        <f t="shared" si="3"/>
        <v>990</v>
      </c>
      <c r="U87" s="95">
        <f t="shared" si="27"/>
        <v>0</v>
      </c>
      <c r="V87" s="95">
        <f t="shared" si="36"/>
        <v>0</v>
      </c>
      <c r="W87" s="96">
        <f t="shared" si="1"/>
        <v>907.55540631296174</v>
      </c>
      <c r="X87" s="96">
        <f>V87/[1]Manure!$I$2</f>
        <v>0</v>
      </c>
      <c r="Y87" s="96">
        <f>W87/[1]Manure!$I$2</f>
        <v>647.24240669685025</v>
      </c>
      <c r="Z87" s="96"/>
      <c r="AA87" s="96"/>
      <c r="AB87" s="95"/>
      <c r="AC87" s="11"/>
    </row>
    <row r="88" spans="1:29" ht="15.75" thickBot="1" x14ac:dyDescent="0.3">
      <c r="A88" s="97">
        <v>45446</v>
      </c>
      <c r="B88" s="92">
        <v>0.41666666666666669</v>
      </c>
      <c r="C88" s="92"/>
      <c r="D88" s="91"/>
      <c r="E88" s="91" t="s">
        <v>60</v>
      </c>
      <c r="F88" s="91">
        <v>20</v>
      </c>
      <c r="G88" s="93">
        <v>197382</v>
      </c>
      <c r="H88" s="93">
        <v>21.6</v>
      </c>
      <c r="I88" s="93"/>
      <c r="J88" s="103"/>
      <c r="K88" s="107"/>
      <c r="L88" s="107"/>
      <c r="M88" s="107"/>
      <c r="N88" s="107"/>
      <c r="O88" s="103"/>
      <c r="P88" s="103"/>
      <c r="Q88" s="103"/>
      <c r="R88" s="103"/>
      <c r="S88" s="94">
        <f t="shared" si="2"/>
        <v>21.6</v>
      </c>
      <c r="T88" s="95">
        <f t="shared" si="3"/>
        <v>88</v>
      </c>
      <c r="U88" s="95">
        <f t="shared" si="27"/>
        <v>0</v>
      </c>
      <c r="V88" s="95">
        <f t="shared" si="36"/>
        <v>0</v>
      </c>
      <c r="W88" s="96">
        <f t="shared" si="1"/>
        <v>81.547861507128303</v>
      </c>
      <c r="X88" s="96">
        <f>V88/[1]Manure!$I$2</f>
        <v>0</v>
      </c>
      <c r="Y88" s="96">
        <f>W88/[1]Manure!$I$2</f>
        <v>58.15758881023519</v>
      </c>
      <c r="Z88" s="96"/>
      <c r="AA88" s="96"/>
      <c r="AB88" s="95"/>
      <c r="AC88" s="11"/>
    </row>
    <row r="89" spans="1:29" ht="15.75" thickBot="1" x14ac:dyDescent="0.3">
      <c r="A89" s="97">
        <v>45447</v>
      </c>
      <c r="B89" s="92">
        <v>0.41666666666666669</v>
      </c>
      <c r="C89" s="92"/>
      <c r="D89" s="91"/>
      <c r="E89" s="91" t="s">
        <v>60</v>
      </c>
      <c r="F89" s="91">
        <v>20</v>
      </c>
      <c r="G89" s="93">
        <v>198289</v>
      </c>
      <c r="H89" s="93">
        <v>26.5</v>
      </c>
      <c r="I89" s="93"/>
      <c r="J89" s="103"/>
      <c r="K89" s="107"/>
      <c r="L89" s="107"/>
      <c r="M89" s="107"/>
      <c r="N89" s="107"/>
      <c r="O89" s="103"/>
      <c r="P89" s="103"/>
      <c r="Q89" s="103"/>
      <c r="R89" s="103"/>
      <c r="S89" s="94">
        <f t="shared" si="2"/>
        <v>26.5</v>
      </c>
      <c r="T89" s="95">
        <f t="shared" si="3"/>
        <v>907</v>
      </c>
      <c r="U89" s="95">
        <f t="shared" si="28"/>
        <v>0</v>
      </c>
      <c r="V89" s="95">
        <f t="shared" si="36"/>
        <v>0</v>
      </c>
      <c r="W89" s="96">
        <f t="shared" si="1"/>
        <v>826.74791318864777</v>
      </c>
      <c r="X89" s="96">
        <f>V89/[1]Manure!$I$2</f>
        <v>0</v>
      </c>
      <c r="Y89" s="96">
        <f>W89/[1]Manure!$I$2</f>
        <v>589.61282731788685</v>
      </c>
      <c r="Z89" s="96"/>
      <c r="AA89" s="96"/>
      <c r="AB89" s="95"/>
      <c r="AC89" s="11"/>
    </row>
    <row r="90" spans="1:29" ht="15.75" thickBot="1" x14ac:dyDescent="0.3">
      <c r="A90" s="97">
        <v>45448</v>
      </c>
      <c r="B90" s="92">
        <v>0.41666666666666669</v>
      </c>
      <c r="C90" s="92"/>
      <c r="D90" s="91"/>
      <c r="E90" s="91" t="s">
        <v>60</v>
      </c>
      <c r="F90" s="91">
        <v>20</v>
      </c>
      <c r="G90" s="93">
        <v>199229</v>
      </c>
      <c r="H90" s="93">
        <v>22.2</v>
      </c>
      <c r="I90" s="93"/>
      <c r="J90" s="103"/>
      <c r="K90" s="107"/>
      <c r="L90" s="107"/>
      <c r="M90" s="107"/>
      <c r="N90" s="107"/>
      <c r="O90" s="103"/>
      <c r="P90" s="103"/>
      <c r="Q90" s="103"/>
      <c r="R90" s="103"/>
      <c r="S90" s="94">
        <f t="shared" si="2"/>
        <v>22.2</v>
      </c>
      <c r="T90" s="95">
        <f t="shared" si="3"/>
        <v>940</v>
      </c>
      <c r="U90" s="95">
        <f t="shared" si="29"/>
        <v>0</v>
      </c>
      <c r="V90" s="95">
        <f t="shared" si="36"/>
        <v>0</v>
      </c>
      <c r="W90" s="96">
        <f t="shared" si="1"/>
        <v>869.30894308943095</v>
      </c>
      <c r="X90" s="96">
        <f>V90/[1]Manure!$I$2</f>
        <v>0</v>
      </c>
      <c r="Y90" s="96">
        <f>W90/[1]Manure!$I$2</f>
        <v>619.96612942248601</v>
      </c>
      <c r="Z90" s="96"/>
      <c r="AA90" s="96"/>
      <c r="AB90" s="95"/>
      <c r="AC90" s="11"/>
    </row>
    <row r="91" spans="1:29" ht="15.75" thickBot="1" x14ac:dyDescent="0.3">
      <c r="A91" s="97">
        <v>45449</v>
      </c>
      <c r="B91" s="92">
        <v>0.41666666666666669</v>
      </c>
      <c r="C91" s="92"/>
      <c r="D91" s="91"/>
      <c r="E91" s="91" t="s">
        <v>60</v>
      </c>
      <c r="F91" s="91">
        <v>20</v>
      </c>
      <c r="G91" s="93">
        <v>200144</v>
      </c>
      <c r="H91" s="93">
        <v>19.5</v>
      </c>
      <c r="I91" s="93"/>
      <c r="J91" s="103"/>
      <c r="K91" s="107"/>
      <c r="L91" s="107"/>
      <c r="M91" s="107"/>
      <c r="N91" s="107"/>
      <c r="O91" s="103"/>
      <c r="P91" s="103"/>
      <c r="Q91" s="103"/>
      <c r="R91" s="103"/>
      <c r="S91" s="94">
        <f t="shared" si="2"/>
        <v>19.5</v>
      </c>
      <c r="T91" s="95">
        <f t="shared" si="3"/>
        <v>915</v>
      </c>
      <c r="U91" s="95">
        <f t="shared" si="29"/>
        <v>0</v>
      </c>
      <c r="V91" s="95">
        <f t="shared" si="36"/>
        <v>0</v>
      </c>
      <c r="W91" s="96">
        <f t="shared" si="1"/>
        <v>854</v>
      </c>
      <c r="X91" s="96">
        <f>V91/[1]Manure!$I$2</f>
        <v>0</v>
      </c>
      <c r="Y91" s="96">
        <f>W91/[1]Manure!$I$2</f>
        <v>609.0482316277463</v>
      </c>
      <c r="Z91" s="96"/>
      <c r="AA91" s="96"/>
      <c r="AB91" s="95"/>
      <c r="AC91" s="11"/>
    </row>
    <row r="92" spans="1:29" ht="15.75" thickBot="1" x14ac:dyDescent="0.3">
      <c r="A92" s="97">
        <v>45450</v>
      </c>
      <c r="B92" s="92">
        <v>0.41666666666666669</v>
      </c>
      <c r="C92" s="92"/>
      <c r="D92" s="91"/>
      <c r="E92" s="91" t="s">
        <v>60</v>
      </c>
      <c r="F92" s="91">
        <v>20</v>
      </c>
      <c r="G92" s="93">
        <v>201035</v>
      </c>
      <c r="H92" s="93">
        <v>23</v>
      </c>
      <c r="I92" s="93"/>
      <c r="J92" s="103"/>
      <c r="K92" s="107"/>
      <c r="L92" s="107"/>
      <c r="M92" s="107"/>
      <c r="N92" s="107"/>
      <c r="O92" s="103"/>
      <c r="P92" s="103"/>
      <c r="Q92" s="103"/>
      <c r="R92" s="103"/>
      <c r="S92" s="94">
        <f t="shared" si="2"/>
        <v>23</v>
      </c>
      <c r="T92" s="95">
        <f t="shared" si="3"/>
        <v>891</v>
      </c>
      <c r="U92" s="95">
        <f t="shared" si="30"/>
        <v>0</v>
      </c>
      <c r="V92" s="95">
        <f t="shared" si="36"/>
        <v>0</v>
      </c>
      <c r="W92" s="96">
        <f t="shared" si="1"/>
        <v>821.76689189189187</v>
      </c>
      <c r="X92" s="96">
        <f>V92/[1]Manure!$I$2</f>
        <v>0</v>
      </c>
      <c r="Y92" s="96">
        <f>W92/[1]Manure!$I$2</f>
        <v>586.060506225979</v>
      </c>
      <c r="Z92" s="96"/>
      <c r="AA92" s="96"/>
      <c r="AB92" s="95"/>
      <c r="AC92" s="11"/>
    </row>
    <row r="93" spans="1:29" ht="15.75" thickBot="1" x14ac:dyDescent="0.3">
      <c r="A93" s="97">
        <v>45451</v>
      </c>
      <c r="B93" s="92">
        <v>0.41666666666666669</v>
      </c>
      <c r="C93" s="92"/>
      <c r="D93" s="91"/>
      <c r="E93" s="91" t="s">
        <v>60</v>
      </c>
      <c r="F93" s="91">
        <v>20</v>
      </c>
      <c r="G93" s="93">
        <v>201950</v>
      </c>
      <c r="H93" s="93">
        <v>20.3</v>
      </c>
      <c r="I93" s="93"/>
      <c r="J93" s="103"/>
      <c r="K93" s="107"/>
      <c r="L93" s="107"/>
      <c r="M93" s="107"/>
      <c r="N93" s="107"/>
      <c r="O93" s="103"/>
      <c r="P93" s="103"/>
      <c r="Q93" s="103"/>
      <c r="R93" s="103"/>
      <c r="S93" s="94">
        <f t="shared" si="2"/>
        <v>20.3</v>
      </c>
      <c r="T93" s="95">
        <f t="shared" si="3"/>
        <v>915</v>
      </c>
      <c r="U93" s="95">
        <f t="shared" si="31"/>
        <v>0</v>
      </c>
      <c r="V93" s="95">
        <f t="shared" si="36"/>
        <v>0</v>
      </c>
      <c r="W93" s="96">
        <f t="shared" si="1"/>
        <v>851.67064439140813</v>
      </c>
      <c r="X93" s="96">
        <f>V93/[1]Manure!$I$2</f>
        <v>0</v>
      </c>
      <c r="Y93" s="96">
        <f>W93/[1]Manure!$I$2</f>
        <v>607.38700221996521</v>
      </c>
      <c r="Z93" s="96"/>
      <c r="AA93" s="96"/>
      <c r="AB93" s="95"/>
      <c r="AC93" s="11"/>
    </row>
    <row r="94" spans="1:29" ht="15.75" thickBot="1" x14ac:dyDescent="0.3">
      <c r="A94" s="97">
        <v>45453</v>
      </c>
      <c r="B94" s="92">
        <v>0.41666666666666669</v>
      </c>
      <c r="C94" s="92"/>
      <c r="D94" s="91"/>
      <c r="E94" s="91" t="s">
        <v>60</v>
      </c>
      <c r="F94" s="91">
        <v>20</v>
      </c>
      <c r="G94" s="93">
        <v>203635</v>
      </c>
      <c r="H94" s="93">
        <v>22.2</v>
      </c>
      <c r="I94" s="93"/>
      <c r="J94" s="103"/>
      <c r="K94" s="107"/>
      <c r="L94" s="107"/>
      <c r="M94" s="107"/>
      <c r="N94" s="107"/>
      <c r="O94" s="103"/>
      <c r="P94" s="103"/>
      <c r="Q94" s="103"/>
      <c r="R94" s="103"/>
      <c r="S94" s="94">
        <f t="shared" si="2"/>
        <v>22.2</v>
      </c>
      <c r="T94" s="95">
        <f t="shared" si="3"/>
        <v>1685</v>
      </c>
      <c r="U94" s="95">
        <f t="shared" si="31"/>
        <v>0</v>
      </c>
      <c r="V94" s="95">
        <f t="shared" si="36"/>
        <v>0</v>
      </c>
      <c r="W94" s="96">
        <f t="shared" si="1"/>
        <v>1558.2825203252032</v>
      </c>
      <c r="X94" s="96">
        <f>V94/[1]Manure!$I$2</f>
        <v>0</v>
      </c>
      <c r="Y94" s="96">
        <f>W94/[1]Manure!$I$2</f>
        <v>1111.3222639115838</v>
      </c>
      <c r="Z94" s="96"/>
      <c r="AA94" s="96"/>
      <c r="AB94" s="95"/>
      <c r="AC94" s="11"/>
    </row>
    <row r="95" spans="1:29" ht="15.75" thickBot="1" x14ac:dyDescent="0.3">
      <c r="A95" s="97">
        <v>45454</v>
      </c>
      <c r="B95" s="92">
        <v>0.41666666666666669</v>
      </c>
      <c r="C95" s="92"/>
      <c r="D95" s="91"/>
      <c r="E95" s="91" t="s">
        <v>60</v>
      </c>
      <c r="F95" s="91">
        <v>20</v>
      </c>
      <c r="G95" s="93">
        <v>204494</v>
      </c>
      <c r="H95" s="93">
        <v>22.5</v>
      </c>
      <c r="I95" s="93"/>
      <c r="J95" s="103"/>
      <c r="K95" s="107"/>
      <c r="L95" s="107"/>
      <c r="M95" s="107"/>
      <c r="N95" s="107"/>
      <c r="O95" s="103"/>
      <c r="P95" s="103"/>
      <c r="Q95" s="103"/>
      <c r="R95" s="103"/>
      <c r="S95" s="94">
        <f t="shared" si="2"/>
        <v>22.5</v>
      </c>
      <c r="T95" s="95">
        <f t="shared" si="3"/>
        <v>859</v>
      </c>
      <c r="U95" s="95">
        <f t="shared" si="32"/>
        <v>0</v>
      </c>
      <c r="V95" s="95">
        <f t="shared" si="36"/>
        <v>0</v>
      </c>
      <c r="W95" s="96">
        <f t="shared" si="1"/>
        <v>793.59390862944167</v>
      </c>
      <c r="X95" s="96">
        <f>V95/[1]Manure!$I$2</f>
        <v>0</v>
      </c>
      <c r="Y95" s="96">
        <f>W95/[1]Manure!$I$2</f>
        <v>565.96834506008508</v>
      </c>
      <c r="Z95" s="96"/>
      <c r="AA95" s="96"/>
      <c r="AB95" s="95"/>
      <c r="AC95" s="11"/>
    </row>
    <row r="96" spans="1:29" ht="15.75" thickBot="1" x14ac:dyDescent="0.3">
      <c r="A96" s="97">
        <v>45455</v>
      </c>
      <c r="B96" s="92">
        <v>0.41666666666666669</v>
      </c>
      <c r="C96" s="92"/>
      <c r="D96" s="91"/>
      <c r="E96" s="91" t="s">
        <v>60</v>
      </c>
      <c r="F96" s="91">
        <v>20</v>
      </c>
      <c r="G96" s="93">
        <v>205352</v>
      </c>
      <c r="H96" s="93">
        <v>22.9</v>
      </c>
      <c r="I96" s="93"/>
      <c r="J96" s="103"/>
      <c r="K96" s="107"/>
      <c r="L96" s="107"/>
      <c r="M96" s="107"/>
      <c r="N96" s="107"/>
      <c r="O96" s="103"/>
      <c r="P96" s="103"/>
      <c r="Q96" s="103"/>
      <c r="R96" s="103"/>
      <c r="S96" s="94">
        <f t="shared" si="2"/>
        <v>22.9</v>
      </c>
      <c r="T96" s="95">
        <f t="shared" si="3"/>
        <v>858</v>
      </c>
      <c r="U96" s="95">
        <f t="shared" si="33"/>
        <v>0</v>
      </c>
      <c r="V96" s="95">
        <f t="shared" si="36"/>
        <v>0</v>
      </c>
      <c r="W96" s="96">
        <f t="shared" si="1"/>
        <v>791.59851301115248</v>
      </c>
      <c r="X96" s="96">
        <f>V96/[1]Manure!$I$2</f>
        <v>0</v>
      </c>
      <c r="Y96" s="96">
        <f>W96/[1]Manure!$I$2</f>
        <v>564.54528630983123</v>
      </c>
      <c r="Z96" s="96"/>
      <c r="AA96" s="96"/>
      <c r="AB96" s="95"/>
      <c r="AC96" s="11"/>
    </row>
    <row r="97" spans="1:29" ht="15.75" thickBot="1" x14ac:dyDescent="0.3">
      <c r="A97" s="97">
        <v>45456</v>
      </c>
      <c r="B97" s="92">
        <v>0.41666666666666669</v>
      </c>
      <c r="C97" s="92"/>
      <c r="D97" s="91"/>
      <c r="E97" s="91" t="s">
        <v>60</v>
      </c>
      <c r="F97" s="91">
        <v>20</v>
      </c>
      <c r="G97" s="93">
        <v>206221</v>
      </c>
      <c r="H97" s="93">
        <v>22.4</v>
      </c>
      <c r="I97" s="93"/>
      <c r="J97" s="103"/>
      <c r="K97" s="107"/>
      <c r="L97" s="107"/>
      <c r="M97" s="107"/>
      <c r="N97" s="107"/>
      <c r="O97" s="103"/>
      <c r="P97" s="103"/>
      <c r="Q97" s="103"/>
      <c r="R97" s="103"/>
      <c r="S97" s="94">
        <f t="shared" si="2"/>
        <v>22.4</v>
      </c>
      <c r="T97" s="95">
        <f t="shared" si="3"/>
        <v>869</v>
      </c>
      <c r="U97" s="95">
        <f t="shared" si="33"/>
        <v>0</v>
      </c>
      <c r="V97" s="95">
        <f t="shared" si="36"/>
        <v>0</v>
      </c>
      <c r="W97" s="96">
        <f t="shared" si="1"/>
        <v>803.10426540284368</v>
      </c>
      <c r="X97" s="96">
        <f>V97/[1]Manure!$I$2</f>
        <v>0</v>
      </c>
      <c r="Y97" s="96">
        <f>W97/[1]Manure!$I$2</f>
        <v>572.75085791136087</v>
      </c>
      <c r="Z97" s="96"/>
      <c r="AA97" s="96"/>
      <c r="AB97" s="95"/>
      <c r="AC97" s="11"/>
    </row>
    <row r="98" spans="1:29" ht="15.75" thickBot="1" x14ac:dyDescent="0.3">
      <c r="A98" s="97">
        <v>45457</v>
      </c>
      <c r="B98" s="92">
        <v>0.41666666666666669</v>
      </c>
      <c r="C98" s="92"/>
      <c r="D98" s="91"/>
      <c r="E98" s="91" t="s">
        <v>60</v>
      </c>
      <c r="F98" s="91">
        <v>20</v>
      </c>
      <c r="G98" s="93">
        <v>207107</v>
      </c>
      <c r="H98" s="93">
        <v>27.8</v>
      </c>
      <c r="I98" s="93"/>
      <c r="J98" s="103"/>
      <c r="K98" s="107"/>
      <c r="L98" s="107"/>
      <c r="M98" s="107"/>
      <c r="N98" s="107"/>
      <c r="O98" s="103"/>
      <c r="P98" s="103"/>
      <c r="Q98" s="103"/>
      <c r="R98" s="103"/>
      <c r="S98" s="94">
        <f t="shared" si="2"/>
        <v>27.8</v>
      </c>
      <c r="T98" s="95">
        <f t="shared" si="3"/>
        <v>886</v>
      </c>
      <c r="U98" s="95">
        <f t="shared" ref="U98" si="39">T98*(I98/100)</f>
        <v>0</v>
      </c>
      <c r="V98" s="95">
        <f t="shared" si="36"/>
        <v>0</v>
      </c>
      <c r="W98" s="96">
        <f t="shared" si="1"/>
        <v>804.11569148936167</v>
      </c>
      <c r="X98" s="96">
        <f>V98/[1]Manure!$I$2</f>
        <v>0</v>
      </c>
      <c r="Y98" s="96">
        <f>W98/[1]Manure!$I$2</f>
        <v>573.47217789896729</v>
      </c>
      <c r="Z98" s="96"/>
      <c r="AA98" s="96"/>
      <c r="AB98" s="95"/>
      <c r="AC98" s="11"/>
    </row>
    <row r="99" spans="1:29" ht="15.75" thickBot="1" x14ac:dyDescent="0.3">
      <c r="A99" s="97">
        <v>45458</v>
      </c>
      <c r="B99" s="92">
        <v>0.41666666666666669</v>
      </c>
      <c r="C99" s="92"/>
      <c r="D99" s="91"/>
      <c r="E99" s="91" t="s">
        <v>60</v>
      </c>
      <c r="F99" s="91">
        <v>20</v>
      </c>
      <c r="G99" s="93">
        <v>207952</v>
      </c>
      <c r="H99" s="93">
        <v>24.4</v>
      </c>
      <c r="I99" s="93"/>
      <c r="J99" s="103"/>
      <c r="K99" s="107"/>
      <c r="L99" s="107"/>
      <c r="M99" s="107"/>
      <c r="N99" s="107"/>
      <c r="O99" s="103"/>
      <c r="P99" s="103"/>
      <c r="Q99" s="103"/>
      <c r="R99" s="103"/>
      <c r="S99" s="94">
        <f t="shared" si="2"/>
        <v>24.4</v>
      </c>
      <c r="T99" s="95">
        <f t="shared" si="3"/>
        <v>845</v>
      </c>
      <c r="U99" s="95">
        <f t="shared" ref="U99:U100" si="40">T99*(P99/100)</f>
        <v>0</v>
      </c>
      <c r="V99" s="95">
        <f t="shared" si="36"/>
        <v>0</v>
      </c>
      <c r="W99" s="96">
        <f t="shared" si="1"/>
        <v>775.67249495628789</v>
      </c>
      <c r="X99" s="96">
        <f>V99/[1]Manure!$I$2</f>
        <v>0</v>
      </c>
      <c r="Y99" s="96">
        <f>W99/[1]Manure!$I$2</f>
        <v>553.18730840211833</v>
      </c>
      <c r="Z99" s="96"/>
      <c r="AA99" s="96"/>
      <c r="AB99" s="95"/>
      <c r="AC99" s="11"/>
    </row>
    <row r="100" spans="1:29" ht="15.75" thickBot="1" x14ac:dyDescent="0.3">
      <c r="A100" s="97">
        <v>45460</v>
      </c>
      <c r="B100" s="92">
        <v>0.41666666666666669</v>
      </c>
      <c r="C100" s="92"/>
      <c r="D100" s="91"/>
      <c r="E100" s="91" t="s">
        <v>60</v>
      </c>
      <c r="F100" s="91">
        <v>20</v>
      </c>
      <c r="G100" s="93">
        <v>209561</v>
      </c>
      <c r="H100" s="93">
        <v>22.5</v>
      </c>
      <c r="I100" s="93"/>
      <c r="J100" s="103"/>
      <c r="K100" s="107"/>
      <c r="L100" s="107"/>
      <c r="M100" s="107"/>
      <c r="N100" s="107"/>
      <c r="O100" s="103"/>
      <c r="P100" s="103"/>
      <c r="Q100" s="103"/>
      <c r="R100" s="103"/>
      <c r="S100" s="94">
        <f t="shared" si="2"/>
        <v>22.5</v>
      </c>
      <c r="T100" s="95">
        <f t="shared" si="3"/>
        <v>1609</v>
      </c>
      <c r="U100" s="95">
        <f t="shared" si="40"/>
        <v>0</v>
      </c>
      <c r="V100" s="95">
        <f t="shared" si="36"/>
        <v>0</v>
      </c>
      <c r="W100" s="96">
        <f t="shared" si="1"/>
        <v>1486.4873096446699</v>
      </c>
      <c r="X100" s="96">
        <f>V100/[1]Manure!$I$2</f>
        <v>0</v>
      </c>
      <c r="Y100" s="96">
        <f>W100/[1]Manure!$I$2</f>
        <v>1060.1199851009044</v>
      </c>
      <c r="Z100" s="96"/>
      <c r="AA100" s="96"/>
      <c r="AB100" s="95"/>
      <c r="AC100" s="11"/>
    </row>
    <row r="101" spans="1:29" ht="15.75" thickBot="1" x14ac:dyDescent="0.3">
      <c r="A101" s="97">
        <v>45461</v>
      </c>
      <c r="B101" s="92">
        <v>0.41666666666666669</v>
      </c>
      <c r="C101" s="92"/>
      <c r="D101" s="91"/>
      <c r="E101" s="91" t="s">
        <v>60</v>
      </c>
      <c r="F101" s="91">
        <v>20</v>
      </c>
      <c r="G101" s="93">
        <v>210380</v>
      </c>
      <c r="H101" s="93">
        <v>23.5</v>
      </c>
      <c r="I101" s="93"/>
      <c r="J101" s="103"/>
      <c r="K101" s="107"/>
      <c r="L101" s="107"/>
      <c r="M101" s="107"/>
      <c r="N101" s="107"/>
      <c r="O101" s="103"/>
      <c r="P101" s="103"/>
      <c r="Q101" s="103"/>
      <c r="R101" s="103"/>
      <c r="S101" s="94">
        <f t="shared" si="2"/>
        <v>23.5</v>
      </c>
      <c r="T101" s="95">
        <f t="shared" si="3"/>
        <v>819</v>
      </c>
      <c r="U101" s="95">
        <f t="shared" ref="U101:U149" si="41">T101*(I101/100)</f>
        <v>0</v>
      </c>
      <c r="V101" s="95">
        <f t="shared" si="36"/>
        <v>0</v>
      </c>
      <c r="W101" s="96">
        <f t="shared" si="1"/>
        <v>754.08768971332199</v>
      </c>
      <c r="X101" s="96">
        <f>V101/[1]Manure!$I$2</f>
        <v>0</v>
      </c>
      <c r="Y101" s="96">
        <f>W101/[1]Manure!$I$2</f>
        <v>537.79364626715619</v>
      </c>
      <c r="Z101" s="96"/>
      <c r="AA101" s="96"/>
      <c r="AB101" s="95"/>
      <c r="AC101" s="11"/>
    </row>
    <row r="102" spans="1:29" ht="15.75" thickBot="1" x14ac:dyDescent="0.3">
      <c r="A102" s="97">
        <v>45462</v>
      </c>
      <c r="B102" s="92">
        <v>0.41666666666666669</v>
      </c>
      <c r="C102" s="92"/>
      <c r="D102" s="91"/>
      <c r="E102" s="91" t="s">
        <v>60</v>
      </c>
      <c r="F102" s="91">
        <v>20</v>
      </c>
      <c r="G102" s="93">
        <v>211206</v>
      </c>
      <c r="H102" s="93">
        <v>21</v>
      </c>
      <c r="I102" s="93"/>
      <c r="J102" s="103"/>
      <c r="K102" s="107"/>
      <c r="L102" s="107"/>
      <c r="M102" s="107"/>
      <c r="N102" s="107"/>
      <c r="O102" s="103"/>
      <c r="P102" s="103"/>
      <c r="Q102" s="103"/>
      <c r="R102" s="103"/>
      <c r="S102" s="94">
        <f t="shared" si="2"/>
        <v>21</v>
      </c>
      <c r="T102" s="95">
        <f t="shared" si="3"/>
        <v>826</v>
      </c>
      <c r="U102" s="95">
        <f t="shared" ref="U102:U151" si="42">T102*(P102/100)</f>
        <v>0</v>
      </c>
      <c r="V102" s="95">
        <f t="shared" si="36"/>
        <v>0</v>
      </c>
      <c r="W102" s="96">
        <f t="shared" si="1"/>
        <v>767</v>
      </c>
      <c r="X102" s="96">
        <f>V102/[1]Manure!$I$2</f>
        <v>0</v>
      </c>
      <c r="Y102" s="96">
        <f>W102/[1]Manure!$I$2</f>
        <v>547.00233449470886</v>
      </c>
      <c r="Z102" s="96"/>
      <c r="AA102" s="96"/>
      <c r="AB102" s="95"/>
      <c r="AC102" s="11"/>
    </row>
    <row r="103" spans="1:29" ht="15.75" thickBot="1" x14ac:dyDescent="0.3">
      <c r="A103" s="97">
        <v>45463</v>
      </c>
      <c r="B103" s="92">
        <v>0.41666666666666669</v>
      </c>
      <c r="C103" s="92"/>
      <c r="D103" s="91"/>
      <c r="E103" s="91" t="s">
        <v>60</v>
      </c>
      <c r="F103" s="91">
        <v>20</v>
      </c>
      <c r="G103" s="93">
        <v>212055</v>
      </c>
      <c r="H103" s="93">
        <v>18.399999999999999</v>
      </c>
      <c r="I103" s="93"/>
      <c r="J103" s="103"/>
      <c r="K103" s="107"/>
      <c r="L103" s="107"/>
      <c r="M103" s="107"/>
      <c r="N103" s="107"/>
      <c r="O103" s="103"/>
      <c r="P103" s="103"/>
      <c r="Q103" s="103"/>
      <c r="R103" s="103"/>
      <c r="S103" s="94">
        <f t="shared" si="2"/>
        <v>18.399999999999999</v>
      </c>
      <c r="T103" s="95">
        <f t="shared" si="3"/>
        <v>849</v>
      </c>
      <c r="U103" s="95">
        <f t="shared" si="42"/>
        <v>0</v>
      </c>
      <c r="V103" s="95">
        <f t="shared" si="36"/>
        <v>0</v>
      </c>
      <c r="W103" s="96">
        <f t="shared" si="1"/>
        <v>795.39121482498297</v>
      </c>
      <c r="X103" s="96">
        <f>V103/[1]Manure!$I$2</f>
        <v>0</v>
      </c>
      <c r="Y103" s="96">
        <f>W103/[1]Manure!$I$2</f>
        <v>567.25013213278771</v>
      </c>
      <c r="Z103" s="96"/>
      <c r="AA103" s="96"/>
      <c r="AB103" s="95"/>
      <c r="AC103" s="11"/>
    </row>
    <row r="104" spans="1:29" ht="15.75" thickBot="1" x14ac:dyDescent="0.3">
      <c r="A104" s="97">
        <v>45464</v>
      </c>
      <c r="B104" s="92">
        <v>0.41666666666666669</v>
      </c>
      <c r="C104" s="92"/>
      <c r="D104" s="91"/>
      <c r="E104" s="91" t="s">
        <v>60</v>
      </c>
      <c r="F104" s="91">
        <v>20</v>
      </c>
      <c r="G104" s="93">
        <v>212872</v>
      </c>
      <c r="H104" s="93">
        <v>20.5</v>
      </c>
      <c r="I104" s="93"/>
      <c r="J104" s="103"/>
      <c r="K104" s="107"/>
      <c r="L104" s="107"/>
      <c r="M104" s="107"/>
      <c r="N104" s="107"/>
      <c r="O104" s="103"/>
      <c r="P104" s="103"/>
      <c r="Q104" s="103"/>
      <c r="R104" s="103"/>
      <c r="S104" s="94">
        <f t="shared" si="2"/>
        <v>20.5</v>
      </c>
      <c r="T104" s="95">
        <f t="shared" si="3"/>
        <v>817</v>
      </c>
      <c r="U104" s="95">
        <f t="shared" ref="U104:U152" si="43">T104*(I104/100)</f>
        <v>0</v>
      </c>
      <c r="V104" s="95">
        <f t="shared" si="36"/>
        <v>0</v>
      </c>
      <c r="W104" s="96">
        <f t="shared" si="1"/>
        <v>759.93526405451439</v>
      </c>
      <c r="X104" s="96">
        <f>V104/[1]Manure!$I$2</f>
        <v>0</v>
      </c>
      <c r="Y104" s="96">
        <f>W104/[1]Manure!$I$2</f>
        <v>541.96396806085056</v>
      </c>
      <c r="Z104" s="96"/>
      <c r="AA104" s="96"/>
      <c r="AB104" s="95"/>
      <c r="AC104" s="11"/>
    </row>
    <row r="105" spans="1:29" ht="15.75" thickBot="1" x14ac:dyDescent="0.3">
      <c r="A105" s="97">
        <v>45465</v>
      </c>
      <c r="B105" s="92">
        <v>0.41666666666666669</v>
      </c>
      <c r="C105" s="93"/>
      <c r="D105" s="91"/>
      <c r="E105" s="91" t="s">
        <v>60</v>
      </c>
      <c r="F105" s="91">
        <v>20</v>
      </c>
      <c r="G105" s="93">
        <v>213682</v>
      </c>
      <c r="H105" s="93">
        <v>19.399999999999999</v>
      </c>
      <c r="I105" s="93"/>
      <c r="J105" s="103"/>
      <c r="K105" s="107"/>
      <c r="L105" s="107"/>
      <c r="M105" s="107"/>
      <c r="N105" s="107"/>
      <c r="O105" s="103"/>
      <c r="P105" s="103"/>
      <c r="Q105" s="103"/>
      <c r="R105" s="103"/>
      <c r="S105" s="94">
        <f t="shared" si="2"/>
        <v>19.399999999999999</v>
      </c>
      <c r="T105" s="95">
        <f t="shared" si="3"/>
        <v>810</v>
      </c>
      <c r="U105" s="95">
        <f t="shared" ref="U105:U154" si="44">T105*(P105/100)</f>
        <v>0</v>
      </c>
      <c r="V105" s="95">
        <f t="shared" si="36"/>
        <v>0</v>
      </c>
      <c r="W105" s="96">
        <f t="shared" si="1"/>
        <v>756.25854993160067</v>
      </c>
      <c r="X105" s="96">
        <f>V105/[1]Manure!$I$2</f>
        <v>0</v>
      </c>
      <c r="Y105" s="96">
        <f>W105/[1]Manure!$I$2</f>
        <v>539.34184132225414</v>
      </c>
      <c r="Z105" s="96"/>
      <c r="AA105" s="96"/>
      <c r="AB105" s="95"/>
      <c r="AC105" s="11"/>
    </row>
    <row r="106" spans="1:29" ht="15.75" thickBot="1" x14ac:dyDescent="0.3">
      <c r="A106" s="97">
        <v>45467</v>
      </c>
      <c r="B106" s="92">
        <v>0.41666666666666669</v>
      </c>
      <c r="C106" s="92"/>
      <c r="D106" s="91"/>
      <c r="E106" s="91" t="s">
        <v>60</v>
      </c>
      <c r="F106" s="91">
        <v>20</v>
      </c>
      <c r="G106" s="93">
        <v>215297</v>
      </c>
      <c r="H106" s="93">
        <v>18.399999999999999</v>
      </c>
      <c r="I106" s="93"/>
      <c r="J106" s="103"/>
      <c r="K106" s="107"/>
      <c r="L106" s="107"/>
      <c r="M106" s="107"/>
      <c r="N106" s="107"/>
      <c r="O106" s="103"/>
      <c r="P106" s="103"/>
      <c r="Q106" s="103"/>
      <c r="R106" s="103"/>
      <c r="S106" s="94">
        <f t="shared" si="2"/>
        <v>18.399999999999999</v>
      </c>
      <c r="T106" s="95">
        <f t="shared" si="3"/>
        <v>1615</v>
      </c>
      <c r="U106" s="95">
        <f t="shared" si="44"/>
        <v>0</v>
      </c>
      <c r="V106" s="95">
        <f t="shared" si="36"/>
        <v>0</v>
      </c>
      <c r="W106" s="96">
        <f t="shared" si="1"/>
        <v>1513.0233356211395</v>
      </c>
      <c r="X106" s="96">
        <f>V106/[1]Manure!$I$2</f>
        <v>0</v>
      </c>
      <c r="Y106" s="96">
        <f>W106/[1]Manure!$I$2</f>
        <v>1079.044715423383</v>
      </c>
      <c r="Z106" s="96"/>
      <c r="AA106" s="96"/>
      <c r="AB106" s="95"/>
      <c r="AC106" s="11"/>
    </row>
    <row r="107" spans="1:29" ht="15.75" thickBot="1" x14ac:dyDescent="0.3">
      <c r="A107" s="97">
        <v>45468</v>
      </c>
      <c r="B107" s="92">
        <v>0.41666666666666669</v>
      </c>
      <c r="C107" s="92"/>
      <c r="D107" s="91"/>
      <c r="E107" s="91" t="s">
        <v>60</v>
      </c>
      <c r="F107" s="91">
        <v>20</v>
      </c>
      <c r="G107" s="93">
        <v>216076</v>
      </c>
      <c r="H107" s="93">
        <v>22</v>
      </c>
      <c r="I107" s="93"/>
      <c r="J107" s="103"/>
      <c r="K107" s="107"/>
      <c r="L107" s="107"/>
      <c r="M107" s="107"/>
      <c r="N107" s="107"/>
      <c r="O107" s="103"/>
      <c r="P107" s="103"/>
      <c r="Q107" s="103"/>
      <c r="R107" s="103"/>
      <c r="S107" s="94">
        <f t="shared" si="2"/>
        <v>22</v>
      </c>
      <c r="T107" s="95">
        <f t="shared" si="3"/>
        <v>779</v>
      </c>
      <c r="U107" s="95">
        <f t="shared" ref="U107:U155" si="45">T107*(I107/100)</f>
        <v>0</v>
      </c>
      <c r="V107" s="95">
        <f t="shared" si="36"/>
        <v>0</v>
      </c>
      <c r="W107" s="96">
        <f t="shared" si="1"/>
        <v>720.90508474576268</v>
      </c>
      <c r="X107" s="96">
        <f>V107/[1]Manure!$I$2</f>
        <v>0</v>
      </c>
      <c r="Y107" s="96">
        <f>W107/[1]Manure!$I$2</f>
        <v>514.12876702091023</v>
      </c>
      <c r="Z107" s="96"/>
      <c r="AA107" s="96"/>
      <c r="AB107" s="95"/>
      <c r="AC107" s="11"/>
    </row>
    <row r="108" spans="1:29" ht="15.75" thickBot="1" x14ac:dyDescent="0.3">
      <c r="A108" s="97">
        <v>45469</v>
      </c>
      <c r="B108" s="92">
        <v>0.41666666666666669</v>
      </c>
      <c r="C108" s="92"/>
      <c r="D108" s="91"/>
      <c r="E108" s="91" t="s">
        <v>60</v>
      </c>
      <c r="F108" s="91">
        <v>20</v>
      </c>
      <c r="G108" s="93">
        <v>216854</v>
      </c>
      <c r="H108" s="93">
        <v>22.7</v>
      </c>
      <c r="I108" s="93"/>
      <c r="J108" s="103"/>
      <c r="K108" s="107"/>
      <c r="L108" s="107"/>
      <c r="M108" s="107"/>
      <c r="N108" s="107"/>
      <c r="O108" s="103"/>
      <c r="P108" s="103"/>
      <c r="Q108" s="103"/>
      <c r="R108" s="103"/>
      <c r="S108" s="94">
        <f t="shared" si="2"/>
        <v>22.7</v>
      </c>
      <c r="T108" s="95">
        <f t="shared" si="3"/>
        <v>778</v>
      </c>
      <c r="U108" s="95">
        <f t="shared" ref="U108:U157" si="46">T108*(P108/100)</f>
        <v>0</v>
      </c>
      <c r="V108" s="95">
        <f t="shared" si="36"/>
        <v>0</v>
      </c>
      <c r="W108" s="96">
        <f t="shared" si="1"/>
        <v>718.27527899898553</v>
      </c>
      <c r="X108" s="96">
        <f>V108/[1]Manure!$I$2</f>
        <v>0</v>
      </c>
      <c r="Y108" s="96">
        <f>W108/[1]Manure!$I$2</f>
        <v>512.25326521810098</v>
      </c>
      <c r="Z108" s="96"/>
      <c r="AA108" s="96"/>
      <c r="AB108" s="95"/>
      <c r="AC108" s="11"/>
    </row>
    <row r="109" spans="1:29" ht="15.75" thickBot="1" x14ac:dyDescent="0.3">
      <c r="A109" s="97">
        <v>45470</v>
      </c>
      <c r="B109" s="92">
        <v>0.41666666666666669</v>
      </c>
      <c r="C109" s="92"/>
      <c r="D109" s="91"/>
      <c r="E109" s="91" t="s">
        <v>60</v>
      </c>
      <c r="F109" s="91">
        <v>20</v>
      </c>
      <c r="G109" s="93">
        <v>217681</v>
      </c>
      <c r="H109" s="93">
        <v>16.7</v>
      </c>
      <c r="I109" s="93"/>
      <c r="J109" s="103"/>
      <c r="K109" s="107"/>
      <c r="L109" s="107"/>
      <c r="M109" s="107"/>
      <c r="N109" s="107"/>
      <c r="O109" s="103"/>
      <c r="P109" s="103"/>
      <c r="Q109" s="103"/>
      <c r="R109" s="103"/>
      <c r="S109" s="94">
        <f t="shared" si="2"/>
        <v>16.7</v>
      </c>
      <c r="T109" s="95">
        <f t="shared" si="3"/>
        <v>827</v>
      </c>
      <c r="U109" s="95">
        <f t="shared" si="46"/>
        <v>0</v>
      </c>
      <c r="V109" s="95">
        <f t="shared" si="36"/>
        <v>0</v>
      </c>
      <c r="W109" s="96">
        <f t="shared" si="1"/>
        <v>779.32688988608902</v>
      </c>
      <c r="X109" s="96">
        <f>V109/[1]Manure!$I$2</f>
        <v>0</v>
      </c>
      <c r="Y109" s="96">
        <f>W109/[1]Manure!$I$2</f>
        <v>555.79351773427845</v>
      </c>
      <c r="Z109" s="96"/>
      <c r="AA109" s="96"/>
      <c r="AB109" s="95"/>
      <c r="AC109" s="11"/>
    </row>
    <row r="110" spans="1:29" ht="15.75" thickBot="1" x14ac:dyDescent="0.3">
      <c r="A110" s="97">
        <v>45471</v>
      </c>
      <c r="B110" s="92">
        <v>0.41666666666666669</v>
      </c>
      <c r="C110" s="92"/>
      <c r="D110" s="91"/>
      <c r="E110" s="91" t="s">
        <v>60</v>
      </c>
      <c r="F110" s="91">
        <v>20</v>
      </c>
      <c r="G110" s="93">
        <v>218454</v>
      </c>
      <c r="H110" s="93">
        <v>23.1</v>
      </c>
      <c r="I110" s="93"/>
      <c r="J110" s="103"/>
      <c r="K110" s="107"/>
      <c r="L110" s="107"/>
      <c r="M110" s="107"/>
      <c r="N110" s="107"/>
      <c r="O110" s="103"/>
      <c r="P110" s="103"/>
      <c r="Q110" s="103"/>
      <c r="R110" s="103"/>
      <c r="S110" s="94">
        <f t="shared" si="2"/>
        <v>23.1</v>
      </c>
      <c r="T110" s="95">
        <f t="shared" si="3"/>
        <v>773</v>
      </c>
      <c r="U110" s="95">
        <f t="shared" ref="U110:U158" si="47">T110*(I110/100)</f>
        <v>0</v>
      </c>
      <c r="V110" s="95">
        <f t="shared" si="36"/>
        <v>0</v>
      </c>
      <c r="W110" s="96">
        <f t="shared" si="1"/>
        <v>712.69503546099281</v>
      </c>
      <c r="X110" s="96">
        <f>V110/[1]Manure!$I$2</f>
        <v>0</v>
      </c>
      <c r="Y110" s="96">
        <f>W110/[1]Manure!$I$2</f>
        <v>508.2735960625194</v>
      </c>
      <c r="Z110" s="96"/>
      <c r="AA110" s="96"/>
      <c r="AB110" s="98"/>
      <c r="AC110" s="11"/>
    </row>
    <row r="111" spans="1:29" ht="15.75" thickBot="1" x14ac:dyDescent="0.3">
      <c r="A111" s="97">
        <v>45472</v>
      </c>
      <c r="B111" s="92">
        <v>0.41666666666666669</v>
      </c>
      <c r="C111" s="92"/>
      <c r="D111" s="91"/>
      <c r="E111" s="91" t="s">
        <v>60</v>
      </c>
      <c r="F111" s="91">
        <v>20</v>
      </c>
      <c r="G111" s="93">
        <v>219236</v>
      </c>
      <c r="H111" s="93">
        <v>19.399999999999999</v>
      </c>
      <c r="I111" s="93"/>
      <c r="J111" s="103"/>
      <c r="K111" s="107"/>
      <c r="L111" s="107"/>
      <c r="M111" s="107"/>
      <c r="N111" s="107"/>
      <c r="O111" s="103"/>
      <c r="P111" s="103"/>
      <c r="Q111" s="103"/>
      <c r="R111" s="103"/>
      <c r="S111" s="94">
        <f t="shared" si="2"/>
        <v>19.399999999999999</v>
      </c>
      <c r="T111" s="95">
        <f t="shared" si="3"/>
        <v>782</v>
      </c>
      <c r="U111" s="95">
        <f t="shared" ref="U111:U160" si="48">T111*(P111/100)</f>
        <v>0</v>
      </c>
      <c r="V111" s="95">
        <f t="shared" si="36"/>
        <v>0</v>
      </c>
      <c r="W111" s="96">
        <f t="shared" si="1"/>
        <v>730.11627906976753</v>
      </c>
      <c r="X111" s="96">
        <f>V111/[1]Manure!$I$2</f>
        <v>0</v>
      </c>
      <c r="Y111" s="96">
        <f>W111/[1]Manure!$I$2</f>
        <v>520.69792581975639</v>
      </c>
      <c r="Z111" s="96"/>
      <c r="AA111" s="96"/>
      <c r="AB111" s="95"/>
      <c r="AC111" s="11"/>
    </row>
    <row r="112" spans="1:29" ht="15.75" thickBot="1" x14ac:dyDescent="0.3">
      <c r="A112" s="97">
        <v>45474</v>
      </c>
      <c r="B112" s="92">
        <v>0.41666666666666669</v>
      </c>
      <c r="C112" s="93"/>
      <c r="D112" s="91"/>
      <c r="E112" s="91" t="s">
        <v>60</v>
      </c>
      <c r="F112" s="91">
        <v>20</v>
      </c>
      <c r="G112" s="93">
        <v>220780</v>
      </c>
      <c r="H112" s="93">
        <v>20.2</v>
      </c>
      <c r="I112" s="93"/>
      <c r="J112" s="103"/>
      <c r="K112" s="107"/>
      <c r="L112" s="107"/>
      <c r="M112" s="107"/>
      <c r="N112" s="107"/>
      <c r="O112" s="103"/>
      <c r="P112" s="103"/>
      <c r="Q112" s="103"/>
      <c r="R112" s="103"/>
      <c r="S112" s="94">
        <f t="shared" si="2"/>
        <v>20.2</v>
      </c>
      <c r="T112" s="95">
        <f t="shared" si="3"/>
        <v>1544</v>
      </c>
      <c r="U112" s="95">
        <f t="shared" si="48"/>
        <v>0</v>
      </c>
      <c r="V112" s="95">
        <f t="shared" si="36"/>
        <v>0</v>
      </c>
      <c r="W112" s="96">
        <f t="shared" si="1"/>
        <v>1437.6261937244203</v>
      </c>
      <c r="X112" s="96">
        <f>V112/[1]Manure!$I$2</f>
        <v>0</v>
      </c>
      <c r="Y112" s="96">
        <f>W112/[1]Manure!$I$2</f>
        <v>1025.2736428917869</v>
      </c>
      <c r="Z112" s="96"/>
      <c r="AA112" s="96"/>
      <c r="AB112" s="95"/>
      <c r="AC112" s="11"/>
    </row>
    <row r="113" spans="1:29" ht="15.75" thickBot="1" x14ac:dyDescent="0.3">
      <c r="A113" s="97">
        <v>45475</v>
      </c>
      <c r="B113" s="92">
        <v>0.41666666666666669</v>
      </c>
      <c r="C113" s="93"/>
      <c r="D113" s="91"/>
      <c r="E113" s="91" t="s">
        <v>60</v>
      </c>
      <c r="F113" s="91">
        <v>20</v>
      </c>
      <c r="G113" s="93">
        <v>221555</v>
      </c>
      <c r="H113" s="93">
        <v>22.9</v>
      </c>
      <c r="I113" s="93"/>
      <c r="J113" s="103"/>
      <c r="K113" s="107"/>
      <c r="L113" s="107"/>
      <c r="M113" s="107"/>
      <c r="N113" s="107"/>
      <c r="O113" s="103"/>
      <c r="P113" s="103"/>
      <c r="Q113" s="103"/>
      <c r="R113" s="103"/>
      <c r="S113" s="94">
        <f t="shared" si="2"/>
        <v>22.9</v>
      </c>
      <c r="T113" s="95">
        <f t="shared" si="3"/>
        <v>775</v>
      </c>
      <c r="U113" s="95">
        <f t="shared" ref="U113:U161" si="49">T113*(I113/100)</f>
        <v>0</v>
      </c>
      <c r="V113" s="95">
        <f t="shared" si="36"/>
        <v>0</v>
      </c>
      <c r="W113" s="96">
        <f t="shared" si="1"/>
        <v>715.02196688070296</v>
      </c>
      <c r="X113" s="96">
        <f>V113/[1]Manure!$I$2</f>
        <v>0</v>
      </c>
      <c r="Y113" s="96">
        <f>W113/[1]Manure!$I$2</f>
        <v>509.93309660853055</v>
      </c>
      <c r="Z113" s="96"/>
      <c r="AA113" s="96"/>
      <c r="AB113" s="95"/>
      <c r="AC113" s="11"/>
    </row>
    <row r="114" spans="1:29" ht="15.75" thickBot="1" x14ac:dyDescent="0.3">
      <c r="A114" s="97">
        <v>45476</v>
      </c>
      <c r="B114" s="92">
        <v>0.41666666666666669</v>
      </c>
      <c r="C114" s="92"/>
      <c r="D114" s="91"/>
      <c r="E114" s="91" t="s">
        <v>60</v>
      </c>
      <c r="F114" s="91">
        <v>20</v>
      </c>
      <c r="G114" s="93">
        <v>222371</v>
      </c>
      <c r="H114" s="93">
        <v>24.9</v>
      </c>
      <c r="I114" s="93"/>
      <c r="J114" s="103"/>
      <c r="K114" s="107"/>
      <c r="L114" s="107"/>
      <c r="M114" s="107"/>
      <c r="N114" s="107"/>
      <c r="O114" s="103"/>
      <c r="P114" s="103"/>
      <c r="Q114" s="103"/>
      <c r="R114" s="103"/>
      <c r="S114" s="94">
        <f t="shared" si="2"/>
        <v>24.9</v>
      </c>
      <c r="T114" s="95">
        <f t="shared" si="3"/>
        <v>816</v>
      </c>
      <c r="U114" s="95">
        <f t="shared" ref="U114:U163" si="50">T114*(P114/100)</f>
        <v>0</v>
      </c>
      <c r="V114" s="95">
        <f t="shared" si="36"/>
        <v>0</v>
      </c>
      <c r="W114" s="96">
        <f t="shared" si="1"/>
        <v>747.79456193353485</v>
      </c>
      <c r="X114" s="96">
        <f>V114/[1]Manure!$I$2</f>
        <v>0</v>
      </c>
      <c r="Y114" s="96">
        <f>W114/[1]Manure!$I$2</f>
        <v>533.3055685789983</v>
      </c>
      <c r="Z114" s="96"/>
      <c r="AA114" s="96"/>
      <c r="AB114" s="95"/>
      <c r="AC114" s="11"/>
    </row>
    <row r="115" spans="1:29" ht="15.75" thickBot="1" x14ac:dyDescent="0.3">
      <c r="A115" s="97">
        <v>45477</v>
      </c>
      <c r="B115" s="92">
        <v>0.41666666666666669</v>
      </c>
      <c r="C115" s="92"/>
      <c r="D115" s="91"/>
      <c r="E115" s="91" t="s">
        <v>60</v>
      </c>
      <c r="F115" s="91">
        <v>20</v>
      </c>
      <c r="G115" s="93">
        <v>223120</v>
      </c>
      <c r="H115" s="93">
        <v>20.8</v>
      </c>
      <c r="I115" s="93"/>
      <c r="J115" s="103"/>
      <c r="K115" s="107"/>
      <c r="L115" s="107"/>
      <c r="M115" s="107"/>
      <c r="N115" s="107"/>
      <c r="O115" s="103"/>
      <c r="P115" s="103"/>
      <c r="Q115" s="103"/>
      <c r="R115" s="103"/>
      <c r="S115" s="94">
        <f t="shared" si="2"/>
        <v>20.8</v>
      </c>
      <c r="T115" s="95">
        <f t="shared" si="3"/>
        <v>749</v>
      </c>
      <c r="U115" s="95">
        <f t="shared" si="50"/>
        <v>0</v>
      </c>
      <c r="V115" s="95">
        <f t="shared" si="36"/>
        <v>0</v>
      </c>
      <c r="W115" s="96">
        <f t="shared" si="1"/>
        <v>695.97345132743362</v>
      </c>
      <c r="X115" s="96">
        <f>V115/[1]Manure!$I$2</f>
        <v>0</v>
      </c>
      <c r="Y115" s="96">
        <f>W115/[1]Manure!$I$2</f>
        <v>496.34824331479246</v>
      </c>
      <c r="Z115" s="96"/>
      <c r="AA115" s="96"/>
      <c r="AB115" s="95"/>
      <c r="AC115" s="11"/>
    </row>
    <row r="116" spans="1:29" ht="15.75" thickBot="1" x14ac:dyDescent="0.3">
      <c r="A116" s="97">
        <v>45478</v>
      </c>
      <c r="B116" s="92">
        <v>0.41666666666666669</v>
      </c>
      <c r="C116" s="92"/>
      <c r="D116" s="91"/>
      <c r="E116" s="91" t="s">
        <v>60</v>
      </c>
      <c r="F116" s="91">
        <v>20</v>
      </c>
      <c r="G116" s="93">
        <v>223875</v>
      </c>
      <c r="H116" s="93">
        <v>19.5</v>
      </c>
      <c r="I116" s="93"/>
      <c r="J116" s="103"/>
      <c r="K116" s="107"/>
      <c r="L116" s="107"/>
      <c r="M116" s="107"/>
      <c r="N116" s="107"/>
      <c r="O116" s="103"/>
      <c r="P116" s="103"/>
      <c r="Q116" s="103"/>
      <c r="R116" s="103"/>
      <c r="S116" s="94">
        <f t="shared" si="2"/>
        <v>19.5</v>
      </c>
      <c r="T116" s="95">
        <f t="shared" si="3"/>
        <v>755</v>
      </c>
      <c r="U116" s="95">
        <f t="shared" ref="U116:U164" si="51">T116*(I116/100)</f>
        <v>0</v>
      </c>
      <c r="V116" s="95">
        <f t="shared" si="36"/>
        <v>0</v>
      </c>
      <c r="W116" s="96">
        <f t="shared" si="1"/>
        <v>704.66666666666663</v>
      </c>
      <c r="X116" s="96">
        <f>V116/[1]Manure!$I$2</f>
        <v>0</v>
      </c>
      <c r="Y116" s="96">
        <f>W116/[1]Manure!$I$2</f>
        <v>502.54799440322228</v>
      </c>
      <c r="Z116" s="96"/>
      <c r="AA116" s="96"/>
      <c r="AB116" s="95"/>
      <c r="AC116" s="11"/>
    </row>
    <row r="117" spans="1:29" ht="15.75" thickBot="1" x14ac:dyDescent="0.3">
      <c r="A117" s="97">
        <v>45479</v>
      </c>
      <c r="B117" s="92">
        <v>0.41666666666666669</v>
      </c>
      <c r="C117" s="92"/>
      <c r="D117" s="91"/>
      <c r="E117" s="91" t="s">
        <v>60</v>
      </c>
      <c r="F117" s="91">
        <v>20</v>
      </c>
      <c r="G117" s="93">
        <v>224721</v>
      </c>
      <c r="H117" s="93">
        <v>19.8</v>
      </c>
      <c r="I117" s="93"/>
      <c r="J117" s="103"/>
      <c r="K117" s="107"/>
      <c r="L117" s="107"/>
      <c r="M117" s="107"/>
      <c r="N117" s="107"/>
      <c r="O117" s="103"/>
      <c r="P117" s="103"/>
      <c r="Q117" s="103"/>
      <c r="R117" s="103"/>
      <c r="S117" s="94">
        <f t="shared" si="2"/>
        <v>19.8</v>
      </c>
      <c r="T117" s="95">
        <f t="shared" si="3"/>
        <v>846</v>
      </c>
      <c r="U117" s="95">
        <f t="shared" ref="U117:U166" si="52">T117*(P117/100)</f>
        <v>0</v>
      </c>
      <c r="V117" s="95">
        <f t="shared" si="36"/>
        <v>0</v>
      </c>
      <c r="W117" s="96">
        <f t="shared" si="1"/>
        <v>788.79098360655735</v>
      </c>
      <c r="X117" s="96">
        <f>V117/[1]Manure!$I$2</f>
        <v>0</v>
      </c>
      <c r="Y117" s="96">
        <f>W117/[1]Manure!$I$2</f>
        <v>562.54303710712452</v>
      </c>
      <c r="Z117" s="96"/>
      <c r="AA117" s="96"/>
      <c r="AB117" s="95"/>
      <c r="AC117" s="11"/>
    </row>
    <row r="118" spans="1:29" ht="15.75" thickBot="1" x14ac:dyDescent="0.3">
      <c r="A118" s="97">
        <v>45481</v>
      </c>
      <c r="B118" s="92">
        <v>0.41666666666666669</v>
      </c>
      <c r="C118" s="92"/>
      <c r="D118" s="91"/>
      <c r="E118" s="91" t="s">
        <v>60</v>
      </c>
      <c r="F118" s="91">
        <v>20</v>
      </c>
      <c r="G118" s="93">
        <v>226376</v>
      </c>
      <c r="H118" s="93">
        <v>25.5</v>
      </c>
      <c r="I118" s="93"/>
      <c r="J118" s="103"/>
      <c r="K118" s="107"/>
      <c r="L118" s="107"/>
      <c r="M118" s="107"/>
      <c r="N118" s="107"/>
      <c r="O118" s="103"/>
      <c r="P118" s="103"/>
      <c r="Q118" s="103"/>
      <c r="R118" s="103"/>
      <c r="S118" s="94">
        <f t="shared" si="2"/>
        <v>25.5</v>
      </c>
      <c r="T118" s="95">
        <f t="shared" si="3"/>
        <v>1655</v>
      </c>
      <c r="U118" s="95">
        <f t="shared" si="52"/>
        <v>0</v>
      </c>
      <c r="V118" s="95">
        <f t="shared" si="36"/>
        <v>0</v>
      </c>
      <c r="W118" s="96">
        <f t="shared" si="1"/>
        <v>1513.6180904522612</v>
      </c>
      <c r="X118" s="96">
        <f>V118/[1]Manure!$I$2</f>
        <v>0</v>
      </c>
      <c r="Y118" s="96">
        <f>W118/[1]Manure!$I$2</f>
        <v>1079.4688774586837</v>
      </c>
      <c r="Z118" s="96"/>
      <c r="AA118" s="96"/>
      <c r="AB118" s="98"/>
      <c r="AC118" s="11"/>
    </row>
    <row r="119" spans="1:29" ht="15.75" thickBot="1" x14ac:dyDescent="0.3">
      <c r="A119" s="97">
        <v>45482</v>
      </c>
      <c r="B119" s="92">
        <v>0.41666666666666669</v>
      </c>
      <c r="C119" s="92"/>
      <c r="D119" s="91"/>
      <c r="E119" s="91" t="s">
        <v>60</v>
      </c>
      <c r="F119" s="91">
        <v>20</v>
      </c>
      <c r="G119" s="93">
        <v>227060</v>
      </c>
      <c r="H119" s="93">
        <v>21.5</v>
      </c>
      <c r="I119" s="93"/>
      <c r="J119" s="103"/>
      <c r="K119" s="107"/>
      <c r="L119" s="107"/>
      <c r="M119" s="107"/>
      <c r="N119" s="107"/>
      <c r="O119" s="103"/>
      <c r="P119" s="103"/>
      <c r="Q119" s="103"/>
      <c r="R119" s="103"/>
      <c r="S119" s="94">
        <f t="shared" si="2"/>
        <v>21.5</v>
      </c>
      <c r="T119" s="95">
        <f t="shared" si="3"/>
        <v>684</v>
      </c>
      <c r="U119" s="95">
        <f t="shared" ref="U119:U167" si="53">T119*(I119/100)</f>
        <v>0</v>
      </c>
      <c r="V119" s="95">
        <f t="shared" si="36"/>
        <v>0</v>
      </c>
      <c r="W119" s="96">
        <f t="shared" si="1"/>
        <v>634.0645161290322</v>
      </c>
      <c r="X119" s="96">
        <f>V119/[1]Manure!$I$2</f>
        <v>0</v>
      </c>
      <c r="Y119" s="96">
        <f>W119/[1]Manure!$I$2</f>
        <v>452.1965717638052</v>
      </c>
      <c r="Z119" s="96"/>
      <c r="AA119" s="96"/>
      <c r="AB119" s="95"/>
      <c r="AC119" s="11"/>
    </row>
    <row r="120" spans="1:29" ht="15.75" thickBot="1" x14ac:dyDescent="0.3">
      <c r="A120" s="97">
        <v>45483</v>
      </c>
      <c r="B120" s="92">
        <v>0.41666666666666669</v>
      </c>
      <c r="C120" s="92"/>
      <c r="D120" s="91"/>
      <c r="E120" s="91" t="s">
        <v>60</v>
      </c>
      <c r="F120" s="91">
        <v>20</v>
      </c>
      <c r="G120" s="93">
        <v>227867</v>
      </c>
      <c r="H120" s="93">
        <v>18.3</v>
      </c>
      <c r="I120" s="93"/>
      <c r="J120" s="103"/>
      <c r="K120" s="107"/>
      <c r="L120" s="107"/>
      <c r="M120" s="107"/>
      <c r="N120" s="107"/>
      <c r="O120" s="103"/>
      <c r="P120" s="103"/>
      <c r="Q120" s="103"/>
      <c r="R120" s="103"/>
      <c r="S120" s="94">
        <f t="shared" si="2"/>
        <v>18.3</v>
      </c>
      <c r="T120" s="95">
        <f t="shared" si="3"/>
        <v>807</v>
      </c>
      <c r="U120" s="95">
        <f t="shared" ref="U120:U169" si="54">T120*(P120/100)</f>
        <v>0</v>
      </c>
      <c r="V120" s="95">
        <f t="shared" si="36"/>
        <v>0</v>
      </c>
      <c r="W120" s="96">
        <f t="shared" ref="W120:W183" si="55">T120*(273/(273+S120))</f>
        <v>756.30278063851699</v>
      </c>
      <c r="X120" s="96">
        <f>V120/[1]Manure!$I$2</f>
        <v>0</v>
      </c>
      <c r="Y120" s="96">
        <f>W120/[1]Manure!$I$2</f>
        <v>539.37338538997199</v>
      </c>
      <c r="Z120" s="96"/>
      <c r="AA120" s="96"/>
      <c r="AB120" s="95"/>
      <c r="AC120" s="11"/>
    </row>
    <row r="121" spans="1:29" ht="15.75" thickBot="1" x14ac:dyDescent="0.3">
      <c r="A121" s="97">
        <v>45484</v>
      </c>
      <c r="B121" s="92">
        <v>0.41666666666666669</v>
      </c>
      <c r="C121" s="92"/>
      <c r="D121" s="91"/>
      <c r="E121" s="91" t="s">
        <v>60</v>
      </c>
      <c r="F121" s="91">
        <v>20</v>
      </c>
      <c r="G121" s="93">
        <v>228733</v>
      </c>
      <c r="H121" s="93">
        <v>23.2</v>
      </c>
      <c r="I121" s="93"/>
      <c r="J121" s="103"/>
      <c r="K121" s="107"/>
      <c r="L121" s="107"/>
      <c r="M121" s="107"/>
      <c r="N121" s="107"/>
      <c r="O121" s="103"/>
      <c r="P121" s="103"/>
      <c r="Q121" s="103"/>
      <c r="R121" s="103"/>
      <c r="S121" s="94">
        <f t="shared" si="2"/>
        <v>23.2</v>
      </c>
      <c r="T121" s="95">
        <f t="shared" si="3"/>
        <v>866</v>
      </c>
      <c r="U121" s="95">
        <f t="shared" si="54"/>
        <v>0</v>
      </c>
      <c r="V121" s="95">
        <f t="shared" si="36"/>
        <v>0</v>
      </c>
      <c r="W121" s="96">
        <f t="shared" si="55"/>
        <v>798.17015530047274</v>
      </c>
      <c r="X121" s="96">
        <f>V121/[1]Manure!$I$2</f>
        <v>0</v>
      </c>
      <c r="Y121" s="96">
        <f>W121/[1]Manure!$I$2</f>
        <v>569.23199253371956</v>
      </c>
      <c r="Z121" s="96"/>
      <c r="AA121" s="96"/>
      <c r="AB121" s="95"/>
      <c r="AC121" s="11"/>
    </row>
    <row r="122" spans="1:29" ht="15.75" thickBot="1" x14ac:dyDescent="0.3">
      <c r="A122" s="97">
        <v>45485</v>
      </c>
      <c r="B122" s="92">
        <v>0.41666666666666669</v>
      </c>
      <c r="C122" s="92"/>
      <c r="D122" s="91"/>
      <c r="E122" s="91" t="s">
        <v>60</v>
      </c>
      <c r="F122" s="91">
        <v>20</v>
      </c>
      <c r="G122" s="93">
        <v>229560</v>
      </c>
      <c r="H122" s="93">
        <v>24.4</v>
      </c>
      <c r="I122" s="93"/>
      <c r="J122" s="103"/>
      <c r="K122" s="107"/>
      <c r="L122" s="107"/>
      <c r="M122" s="107"/>
      <c r="N122" s="107"/>
      <c r="O122" s="103"/>
      <c r="P122" s="103"/>
      <c r="Q122" s="103"/>
      <c r="R122" s="103"/>
      <c r="S122" s="94">
        <f t="shared" si="2"/>
        <v>24.4</v>
      </c>
      <c r="T122" s="95">
        <f t="shared" si="3"/>
        <v>827</v>
      </c>
      <c r="U122" s="95">
        <f t="shared" ref="U122" si="56">T122*(I122/100)</f>
        <v>0</v>
      </c>
      <c r="V122" s="95">
        <f t="shared" si="36"/>
        <v>0</v>
      </c>
      <c r="W122" s="96">
        <f t="shared" si="55"/>
        <v>759.14929388029589</v>
      </c>
      <c r="X122" s="96">
        <f>V122/[1]Manure!$I$2</f>
        <v>0</v>
      </c>
      <c r="Y122" s="96">
        <f>W122/[1]Manure!$I$2</f>
        <v>541.40343674384826</v>
      </c>
      <c r="Z122" s="96"/>
      <c r="AA122" s="96"/>
      <c r="AB122" s="95"/>
      <c r="AC122" s="11"/>
    </row>
    <row r="123" spans="1:29" ht="15.75" thickBot="1" x14ac:dyDescent="0.3">
      <c r="A123" s="97">
        <v>45486</v>
      </c>
      <c r="B123" s="92">
        <v>0.41666666666666669</v>
      </c>
      <c r="C123" s="92"/>
      <c r="D123" s="91"/>
      <c r="E123" s="91" t="s">
        <v>60</v>
      </c>
      <c r="F123" s="91">
        <v>20</v>
      </c>
      <c r="G123" s="93">
        <v>230371</v>
      </c>
      <c r="H123" s="93">
        <v>21.1</v>
      </c>
      <c r="I123" s="93"/>
      <c r="J123" s="103"/>
      <c r="K123" s="107"/>
      <c r="L123" s="107"/>
      <c r="M123" s="107"/>
      <c r="N123" s="107"/>
      <c r="O123" s="103"/>
      <c r="P123" s="103"/>
      <c r="Q123" s="103"/>
      <c r="R123" s="103"/>
      <c r="S123" s="94">
        <f t="shared" si="2"/>
        <v>21.1</v>
      </c>
      <c r="T123" s="95">
        <f t="shared" si="3"/>
        <v>811</v>
      </c>
      <c r="U123" s="95">
        <f t="shared" ref="U123:U124" si="57">T123*(P123/100)</f>
        <v>0</v>
      </c>
      <c r="V123" s="95">
        <f t="shared" si="36"/>
        <v>0</v>
      </c>
      <c r="W123" s="96">
        <f t="shared" si="55"/>
        <v>752.81536892213535</v>
      </c>
      <c r="X123" s="96">
        <f>V123/[1]Manure!$I$2</f>
        <v>0</v>
      </c>
      <c r="Y123" s="96">
        <f>W123/[1]Manure!$I$2</f>
        <v>536.88626368175164</v>
      </c>
      <c r="Z123" s="96"/>
      <c r="AA123" s="96"/>
      <c r="AB123" s="95"/>
      <c r="AC123" s="11"/>
    </row>
    <row r="124" spans="1:29" ht="15.75" thickBot="1" x14ac:dyDescent="0.3">
      <c r="A124" s="97">
        <v>45488</v>
      </c>
      <c r="B124" s="92">
        <v>0.41666666666666669</v>
      </c>
      <c r="C124" s="92"/>
      <c r="D124" s="91"/>
      <c r="E124" s="91" t="s">
        <v>60</v>
      </c>
      <c r="F124" s="91">
        <v>20</v>
      </c>
      <c r="G124" s="93">
        <v>231935</v>
      </c>
      <c r="H124" s="93">
        <v>23.9</v>
      </c>
      <c r="I124" s="93"/>
      <c r="J124" s="103"/>
      <c r="K124" s="108"/>
      <c r="L124" s="108"/>
      <c r="M124" s="108"/>
      <c r="N124" s="107"/>
      <c r="O124" s="103"/>
      <c r="P124" s="103"/>
      <c r="Q124" s="103"/>
      <c r="R124" s="103"/>
      <c r="S124" s="94">
        <f t="shared" si="2"/>
        <v>23.9</v>
      </c>
      <c r="T124" s="95">
        <f t="shared" si="3"/>
        <v>1564</v>
      </c>
      <c r="U124" s="95">
        <f t="shared" si="57"/>
        <v>0</v>
      </c>
      <c r="V124" s="95">
        <f t="shared" si="36"/>
        <v>0</v>
      </c>
      <c r="W124" s="96">
        <f t="shared" si="55"/>
        <v>1438.1003704951163</v>
      </c>
      <c r="X124" s="96">
        <f>V124/[1]Manure!$I$2</f>
        <v>0</v>
      </c>
      <c r="Y124" s="96">
        <f>W124/[1]Manure!$I$2</f>
        <v>1025.6118121232521</v>
      </c>
      <c r="Z124" s="96"/>
      <c r="AA124" s="96"/>
      <c r="AB124" s="95"/>
      <c r="AC124" s="11"/>
    </row>
    <row r="125" spans="1:29" ht="15.75" thickBot="1" x14ac:dyDescent="0.3">
      <c r="A125" s="97">
        <v>45489</v>
      </c>
      <c r="B125" s="92">
        <v>0.41666666666666669</v>
      </c>
      <c r="C125" s="92"/>
      <c r="D125" s="91"/>
      <c r="E125" s="91" t="s">
        <v>60</v>
      </c>
      <c r="F125" s="91">
        <v>20</v>
      </c>
      <c r="G125" s="93">
        <v>232720</v>
      </c>
      <c r="H125" s="93">
        <v>17.3</v>
      </c>
      <c r="I125" s="93"/>
      <c r="J125" s="103"/>
      <c r="K125" s="108"/>
      <c r="L125" s="108"/>
      <c r="M125" s="108"/>
      <c r="N125" s="107"/>
      <c r="O125" s="103"/>
      <c r="P125" s="103"/>
      <c r="Q125" s="103"/>
      <c r="R125" s="103"/>
      <c r="S125" s="94">
        <f t="shared" si="2"/>
        <v>17.3</v>
      </c>
      <c r="T125" s="95">
        <f t="shared" si="3"/>
        <v>785</v>
      </c>
      <c r="U125" s="95">
        <f t="shared" si="41"/>
        <v>0</v>
      </c>
      <c r="V125" s="95">
        <f t="shared" si="36"/>
        <v>0</v>
      </c>
      <c r="W125" s="96">
        <f t="shared" si="55"/>
        <v>738.21908370651045</v>
      </c>
      <c r="X125" s="96">
        <f>V125/[1]Manure!$I$2</f>
        <v>0</v>
      </c>
      <c r="Y125" s="96">
        <f>W125/[1]Manure!$I$2</f>
        <v>526.47661298045125</v>
      </c>
      <c r="Z125" s="96"/>
      <c r="AA125" s="96"/>
      <c r="AB125" s="95"/>
      <c r="AC125" s="11"/>
    </row>
    <row r="126" spans="1:29" ht="15.75" thickBot="1" x14ac:dyDescent="0.3">
      <c r="A126" s="97">
        <v>45490</v>
      </c>
      <c r="B126" s="92">
        <v>0.41666666666666669</v>
      </c>
      <c r="C126" s="99"/>
      <c r="D126" s="91"/>
      <c r="E126" s="91" t="s">
        <v>60</v>
      </c>
      <c r="F126" s="91">
        <v>20</v>
      </c>
      <c r="G126" s="93">
        <v>233458</v>
      </c>
      <c r="H126" s="93">
        <v>22.5</v>
      </c>
      <c r="I126" s="93"/>
      <c r="J126" s="103"/>
      <c r="K126" s="108"/>
      <c r="L126" s="108"/>
      <c r="M126" s="108"/>
      <c r="N126" s="107"/>
      <c r="O126" s="103"/>
      <c r="P126" s="103"/>
      <c r="Q126" s="103"/>
      <c r="R126" s="103"/>
      <c r="S126" s="94">
        <f t="shared" si="2"/>
        <v>22.5</v>
      </c>
      <c r="T126" s="95">
        <f t="shared" si="3"/>
        <v>738</v>
      </c>
      <c r="U126" s="95">
        <f t="shared" si="42"/>
        <v>0</v>
      </c>
      <c r="V126" s="95">
        <f t="shared" ref="V126:V189" si="58">U126*(273/(273+S126))</f>
        <v>0</v>
      </c>
      <c r="W126" s="96">
        <f t="shared" si="55"/>
        <v>681.80710659898477</v>
      </c>
      <c r="X126" s="96">
        <f>V126/[1]Manure!$I$2</f>
        <v>0</v>
      </c>
      <c r="Y126" s="96">
        <f>W126/[1]Manure!$I$2</f>
        <v>486.24521380016625</v>
      </c>
      <c r="Z126" s="96"/>
      <c r="AA126" s="96"/>
      <c r="AB126" s="95"/>
      <c r="AC126" s="11"/>
    </row>
    <row r="127" spans="1:29" ht="15.75" thickBot="1" x14ac:dyDescent="0.3">
      <c r="A127" s="97">
        <v>45491</v>
      </c>
      <c r="B127" s="92">
        <v>0.41666666666666669</v>
      </c>
      <c r="C127" s="99"/>
      <c r="D127" s="91"/>
      <c r="E127" s="91" t="s">
        <v>60</v>
      </c>
      <c r="F127" s="91">
        <v>20</v>
      </c>
      <c r="G127" s="93">
        <v>234170</v>
      </c>
      <c r="H127" s="93">
        <v>17</v>
      </c>
      <c r="I127" s="93"/>
      <c r="J127" s="103"/>
      <c r="K127" s="108"/>
      <c r="L127" s="108"/>
      <c r="M127" s="108"/>
      <c r="N127" s="107"/>
      <c r="O127" s="103"/>
      <c r="P127" s="103"/>
      <c r="Q127" s="103"/>
      <c r="R127" s="103"/>
      <c r="S127" s="94">
        <f t="shared" si="2"/>
        <v>17</v>
      </c>
      <c r="T127" s="95">
        <f t="shared" si="3"/>
        <v>712</v>
      </c>
      <c r="U127" s="95">
        <f t="shared" si="42"/>
        <v>0</v>
      </c>
      <c r="V127" s="95">
        <f t="shared" si="58"/>
        <v>0</v>
      </c>
      <c r="W127" s="96">
        <f t="shared" si="55"/>
        <v>670.26206896551719</v>
      </c>
      <c r="X127" s="96">
        <f>V127/[1]Manure!$I$2</f>
        <v>0</v>
      </c>
      <c r="Y127" s="96">
        <f>W127/[1]Manure!$I$2</f>
        <v>478.01162509438262</v>
      </c>
      <c r="Z127" s="96"/>
      <c r="AA127" s="96"/>
      <c r="AB127" s="95"/>
      <c r="AC127" s="11"/>
    </row>
    <row r="128" spans="1:29" ht="15.75" thickBot="1" x14ac:dyDescent="0.3">
      <c r="A128" s="97">
        <v>45492</v>
      </c>
      <c r="B128" s="92">
        <v>0.41666666666666669</v>
      </c>
      <c r="C128" s="99"/>
      <c r="D128" s="91"/>
      <c r="E128" s="91" t="s">
        <v>60</v>
      </c>
      <c r="F128" s="91">
        <v>20</v>
      </c>
      <c r="G128" s="93">
        <v>234944</v>
      </c>
      <c r="H128" s="93">
        <v>20</v>
      </c>
      <c r="I128" s="93"/>
      <c r="J128" s="103"/>
      <c r="K128" s="108"/>
      <c r="L128" s="108"/>
      <c r="M128" s="108"/>
      <c r="N128" s="107"/>
      <c r="O128" s="103"/>
      <c r="P128" s="103"/>
      <c r="Q128" s="103"/>
      <c r="R128" s="103"/>
      <c r="S128" s="94">
        <f t="shared" si="2"/>
        <v>20</v>
      </c>
      <c r="T128" s="95">
        <f t="shared" si="3"/>
        <v>774</v>
      </c>
      <c r="U128" s="95">
        <f t="shared" si="43"/>
        <v>0</v>
      </c>
      <c r="V128" s="95">
        <f t="shared" si="58"/>
        <v>0</v>
      </c>
      <c r="W128" s="96">
        <f t="shared" si="55"/>
        <v>721.16723549488052</v>
      </c>
      <c r="X128" s="96">
        <f>V128/[1]Manure!$I$2</f>
        <v>0</v>
      </c>
      <c r="Y128" s="96">
        <f>W128/[1]Manure!$I$2</f>
        <v>514.31572539347474</v>
      </c>
      <c r="Z128" s="96"/>
      <c r="AA128" s="96"/>
      <c r="AB128" s="95"/>
      <c r="AC128" s="11"/>
    </row>
    <row r="129" spans="1:29" ht="15.75" thickBot="1" x14ac:dyDescent="0.3">
      <c r="A129" s="97">
        <v>45493</v>
      </c>
      <c r="B129" s="92">
        <v>0.41666666666666669</v>
      </c>
      <c r="C129" s="99"/>
      <c r="D129" s="91"/>
      <c r="E129" s="91" t="s">
        <v>60</v>
      </c>
      <c r="F129" s="91">
        <v>20</v>
      </c>
      <c r="G129" s="93">
        <v>235745</v>
      </c>
      <c r="H129" s="93">
        <v>18.7</v>
      </c>
      <c r="I129" s="93"/>
      <c r="J129" s="103"/>
      <c r="K129" s="108"/>
      <c r="L129" s="108"/>
      <c r="M129" s="108"/>
      <c r="N129" s="107"/>
      <c r="O129" s="103"/>
      <c r="P129" s="103"/>
      <c r="Q129" s="103"/>
      <c r="R129" s="103"/>
      <c r="S129" s="95">
        <f t="shared" si="2"/>
        <v>18.7</v>
      </c>
      <c r="T129" s="95">
        <f t="shared" si="3"/>
        <v>801</v>
      </c>
      <c r="U129" s="95">
        <f t="shared" si="44"/>
        <v>0</v>
      </c>
      <c r="V129" s="95">
        <f t="shared" si="58"/>
        <v>0</v>
      </c>
      <c r="W129" s="96">
        <f t="shared" si="55"/>
        <v>749.65032567706555</v>
      </c>
      <c r="X129" s="96">
        <f>V129/[1]Manure!$I$2</f>
        <v>0</v>
      </c>
      <c r="Y129" s="96">
        <f>W129/[1]Manure!$I$2</f>
        <v>534.629045893186</v>
      </c>
      <c r="Z129" s="96"/>
      <c r="AA129" s="96"/>
      <c r="AB129" s="98"/>
      <c r="AC129" s="11"/>
    </row>
    <row r="130" spans="1:29" ht="15.75" thickBot="1" x14ac:dyDescent="0.3">
      <c r="A130" s="97">
        <v>45495</v>
      </c>
      <c r="B130" s="92">
        <v>0.41666666666666669</v>
      </c>
      <c r="C130" s="99"/>
      <c r="D130" s="91"/>
      <c r="E130" s="91" t="s">
        <v>60</v>
      </c>
      <c r="F130" s="91">
        <v>20</v>
      </c>
      <c r="G130" s="93">
        <v>237317</v>
      </c>
      <c r="H130" s="93">
        <v>18.600000000000001</v>
      </c>
      <c r="I130" s="93"/>
      <c r="J130" s="103"/>
      <c r="K130" s="107"/>
      <c r="L130" s="107"/>
      <c r="M130" s="107"/>
      <c r="N130" s="107"/>
      <c r="O130" s="103"/>
      <c r="P130" s="103"/>
      <c r="Q130" s="103"/>
      <c r="R130" s="103"/>
      <c r="S130" s="94">
        <f t="shared" si="2"/>
        <v>18.600000000000001</v>
      </c>
      <c r="T130" s="95">
        <f t="shared" si="3"/>
        <v>1572</v>
      </c>
      <c r="U130" s="95">
        <f t="shared" si="44"/>
        <v>0</v>
      </c>
      <c r="V130" s="95">
        <f t="shared" si="58"/>
        <v>0</v>
      </c>
      <c r="W130" s="96">
        <f t="shared" si="55"/>
        <v>1471.7283950617282</v>
      </c>
      <c r="X130" s="96">
        <f>V130/[1]Manure!$I$2</f>
        <v>0</v>
      </c>
      <c r="Y130" s="96">
        <f>W130/[1]Manure!$I$2</f>
        <v>1049.5943518134504</v>
      </c>
      <c r="Z130" s="96"/>
      <c r="AA130" s="96"/>
      <c r="AB130" s="95"/>
      <c r="AC130" s="11"/>
    </row>
    <row r="131" spans="1:29" ht="15.75" thickBot="1" x14ac:dyDescent="0.3">
      <c r="A131" s="97">
        <v>45496</v>
      </c>
      <c r="B131" s="92">
        <v>0.41666666666666669</v>
      </c>
      <c r="C131" s="99"/>
      <c r="D131" s="91"/>
      <c r="E131" s="91" t="s">
        <v>60</v>
      </c>
      <c r="F131" s="91">
        <v>20</v>
      </c>
      <c r="G131" s="93">
        <v>238136</v>
      </c>
      <c r="H131" s="93">
        <v>22.2</v>
      </c>
      <c r="I131" s="93"/>
      <c r="J131" s="103"/>
      <c r="K131" s="107"/>
      <c r="L131" s="107"/>
      <c r="M131" s="107"/>
      <c r="N131" s="107"/>
      <c r="O131" s="103"/>
      <c r="P131" s="103"/>
      <c r="Q131" s="103"/>
      <c r="R131" s="103"/>
      <c r="S131" s="94">
        <f t="shared" si="2"/>
        <v>22.2</v>
      </c>
      <c r="T131" s="95">
        <f t="shared" si="3"/>
        <v>819</v>
      </c>
      <c r="U131" s="95">
        <f t="shared" si="45"/>
        <v>0</v>
      </c>
      <c r="V131" s="95">
        <f t="shared" si="58"/>
        <v>0</v>
      </c>
      <c r="W131" s="96">
        <f t="shared" si="55"/>
        <v>757.40853658536582</v>
      </c>
      <c r="X131" s="96">
        <f>V131/[1]Manure!$I$2</f>
        <v>0</v>
      </c>
      <c r="Y131" s="96">
        <f>W131/[1]Manure!$I$2</f>
        <v>540.16197872022974</v>
      </c>
      <c r="Z131" s="96"/>
      <c r="AA131" s="96"/>
      <c r="AB131" s="95"/>
      <c r="AC131" s="11"/>
    </row>
    <row r="132" spans="1:29" ht="15.75" thickBot="1" x14ac:dyDescent="0.3">
      <c r="A132" s="97">
        <v>45497</v>
      </c>
      <c r="B132" s="92">
        <v>0.41666666666666669</v>
      </c>
      <c r="C132" s="100"/>
      <c r="D132" s="91"/>
      <c r="E132" s="91" t="s">
        <v>60</v>
      </c>
      <c r="F132" s="91">
        <v>20</v>
      </c>
      <c r="G132" s="93">
        <v>238947</v>
      </c>
      <c r="H132" s="111">
        <v>19.600000000000001</v>
      </c>
      <c r="I132" s="93"/>
      <c r="J132" s="103"/>
      <c r="K132" s="107"/>
      <c r="L132" s="107"/>
      <c r="M132" s="107"/>
      <c r="N132" s="107"/>
      <c r="O132" s="103"/>
      <c r="P132" s="103"/>
      <c r="Q132" s="103"/>
      <c r="R132" s="103"/>
      <c r="S132" s="94">
        <f t="shared" si="2"/>
        <v>19.600000000000001</v>
      </c>
      <c r="T132" s="95">
        <f t="shared" si="3"/>
        <v>811</v>
      </c>
      <c r="U132" s="95">
        <f t="shared" si="46"/>
        <v>0</v>
      </c>
      <c r="V132" s="95">
        <f t="shared" si="58"/>
        <v>0</v>
      </c>
      <c r="W132" s="96">
        <f t="shared" si="55"/>
        <v>756.67464114832524</v>
      </c>
      <c r="X132" s="96">
        <f>V132/[1]Manure!$I$2</f>
        <v>0</v>
      </c>
      <c r="Y132" s="96">
        <f>W132/[1]Manure!$I$2</f>
        <v>539.63858560766619</v>
      </c>
      <c r="Z132" s="96"/>
      <c r="AA132" s="96"/>
      <c r="AB132" s="95"/>
      <c r="AC132" s="11"/>
    </row>
    <row r="133" spans="1:29" ht="15.75" thickBot="1" x14ac:dyDescent="0.3">
      <c r="A133" s="97">
        <v>45498</v>
      </c>
      <c r="B133" s="92">
        <v>0.41666666666666669</v>
      </c>
      <c r="C133" s="99"/>
      <c r="D133" s="91"/>
      <c r="E133" s="91" t="s">
        <v>60</v>
      </c>
      <c r="F133" s="91">
        <v>20</v>
      </c>
      <c r="G133" s="93">
        <v>239735</v>
      </c>
      <c r="H133" s="111">
        <v>19.100000000000001</v>
      </c>
      <c r="I133" s="93"/>
      <c r="J133" s="103"/>
      <c r="K133" s="107"/>
      <c r="L133" s="107"/>
      <c r="M133" s="107"/>
      <c r="N133" s="107"/>
      <c r="O133" s="103"/>
      <c r="P133" s="103"/>
      <c r="Q133" s="103"/>
      <c r="R133" s="103"/>
      <c r="S133" s="94">
        <f t="shared" si="2"/>
        <v>19.100000000000001</v>
      </c>
      <c r="T133" s="95">
        <f t="shared" ref="T133:T196" si="59">G133-G132</f>
        <v>788</v>
      </c>
      <c r="U133" s="95">
        <f t="shared" si="46"/>
        <v>0</v>
      </c>
      <c r="V133" s="95">
        <f t="shared" si="58"/>
        <v>0</v>
      </c>
      <c r="W133" s="96">
        <f t="shared" si="55"/>
        <v>736.47381033892498</v>
      </c>
      <c r="X133" s="96">
        <f>V133/[1]Manure!$I$2</f>
        <v>0</v>
      </c>
      <c r="Y133" s="96">
        <f>W133/[1]Manure!$I$2</f>
        <v>525.23193422373583</v>
      </c>
      <c r="Z133" s="96"/>
      <c r="AA133" s="96"/>
      <c r="AB133" s="95"/>
      <c r="AC133" s="11"/>
    </row>
    <row r="134" spans="1:29" ht="15.75" thickBot="1" x14ac:dyDescent="0.3">
      <c r="A134" s="97">
        <v>45499</v>
      </c>
      <c r="B134" s="92">
        <v>0.41666666666666669</v>
      </c>
      <c r="C134" s="99"/>
      <c r="D134" s="91"/>
      <c r="E134" s="91" t="s">
        <v>60</v>
      </c>
      <c r="F134" s="91">
        <v>20</v>
      </c>
      <c r="G134" s="93">
        <v>240577</v>
      </c>
      <c r="H134" s="93">
        <v>20.100000000000001</v>
      </c>
      <c r="I134" s="93"/>
      <c r="J134" s="103"/>
      <c r="K134" s="107"/>
      <c r="L134" s="107"/>
      <c r="M134" s="107"/>
      <c r="N134" s="107"/>
      <c r="O134" s="103"/>
      <c r="P134" s="103"/>
      <c r="Q134" s="103"/>
      <c r="R134" s="103"/>
      <c r="S134" s="94">
        <f t="shared" si="2"/>
        <v>20.100000000000001</v>
      </c>
      <c r="T134" s="95">
        <f t="shared" si="59"/>
        <v>842</v>
      </c>
      <c r="U134" s="95">
        <f t="shared" si="47"/>
        <v>0</v>
      </c>
      <c r="V134" s="95">
        <f t="shared" si="58"/>
        <v>0</v>
      </c>
      <c r="W134" s="96">
        <f t="shared" si="55"/>
        <v>784.25793244626402</v>
      </c>
      <c r="X134" s="96">
        <f>V134/[1]Manure!$I$2</f>
        <v>0</v>
      </c>
      <c r="Y134" s="96">
        <f>W134/[1]Manure!$I$2</f>
        <v>559.3101954290745</v>
      </c>
      <c r="Z134" s="96"/>
      <c r="AA134" s="96"/>
      <c r="AB134" s="95"/>
      <c r="AC134" s="11"/>
    </row>
    <row r="135" spans="1:29" ht="15.75" thickBot="1" x14ac:dyDescent="0.3">
      <c r="A135" s="97">
        <v>45500</v>
      </c>
      <c r="B135" s="92">
        <v>0.41666666666666669</v>
      </c>
      <c r="C135" s="99"/>
      <c r="D135" s="91"/>
      <c r="E135" s="91" t="s">
        <v>60</v>
      </c>
      <c r="F135" s="91">
        <v>20</v>
      </c>
      <c r="G135" s="93">
        <v>241431</v>
      </c>
      <c r="H135" s="93">
        <v>21.8</v>
      </c>
      <c r="I135" s="93"/>
      <c r="J135" s="103"/>
      <c r="K135" s="107"/>
      <c r="L135" s="107"/>
      <c r="M135" s="107"/>
      <c r="N135" s="107"/>
      <c r="O135" s="103"/>
      <c r="P135" s="103"/>
      <c r="Q135" s="103"/>
      <c r="R135" s="103"/>
      <c r="S135" s="94">
        <f t="shared" si="2"/>
        <v>21.8</v>
      </c>
      <c r="T135" s="95">
        <f t="shared" si="59"/>
        <v>854</v>
      </c>
      <c r="U135" s="95">
        <f t="shared" si="48"/>
        <v>0</v>
      </c>
      <c r="V135" s="95">
        <f t="shared" si="58"/>
        <v>0</v>
      </c>
      <c r="W135" s="96">
        <f t="shared" si="55"/>
        <v>790.84803256445048</v>
      </c>
      <c r="X135" s="96">
        <f>V135/[1]Manure!$I$2</f>
        <v>0</v>
      </c>
      <c r="Y135" s="96">
        <f>W135/[1]Manure!$I$2</f>
        <v>564.01006524550451</v>
      </c>
      <c r="Z135" s="96"/>
      <c r="AA135" s="96"/>
      <c r="AB135" s="95"/>
      <c r="AC135" s="11"/>
    </row>
    <row r="136" spans="1:29" ht="15.75" thickBot="1" x14ac:dyDescent="0.3">
      <c r="A136" s="97">
        <v>45502</v>
      </c>
      <c r="B136" s="92">
        <v>0.41666666666666669</v>
      </c>
      <c r="C136" s="99"/>
      <c r="D136" s="91"/>
      <c r="E136" s="91" t="s">
        <v>60</v>
      </c>
      <c r="F136" s="91">
        <v>20</v>
      </c>
      <c r="G136" s="93">
        <v>242960</v>
      </c>
      <c r="H136" s="93">
        <v>20.6</v>
      </c>
      <c r="I136" s="93"/>
      <c r="J136" s="103"/>
      <c r="K136" s="107"/>
      <c r="L136" s="107"/>
      <c r="M136" s="107"/>
      <c r="N136" s="107"/>
      <c r="O136" s="103"/>
      <c r="P136" s="103"/>
      <c r="Q136" s="103"/>
      <c r="R136" s="103"/>
      <c r="S136" s="94">
        <f t="shared" si="2"/>
        <v>20.6</v>
      </c>
      <c r="T136" s="95">
        <f t="shared" si="59"/>
        <v>1529</v>
      </c>
      <c r="U136" s="95">
        <f t="shared" si="48"/>
        <v>0</v>
      </c>
      <c r="V136" s="95">
        <f t="shared" si="58"/>
        <v>0</v>
      </c>
      <c r="W136" s="96">
        <f t="shared" si="55"/>
        <v>1421.7200272479563</v>
      </c>
      <c r="X136" s="96">
        <f>V136/[1]Manure!$I$2</f>
        <v>0</v>
      </c>
      <c r="Y136" s="96">
        <f>W136/[1]Manure!$I$2</f>
        <v>1013.9298225586873</v>
      </c>
      <c r="Z136" s="96"/>
      <c r="AA136" s="96"/>
      <c r="AB136" s="95"/>
      <c r="AC136" s="11"/>
    </row>
    <row r="137" spans="1:29" ht="15.75" thickBot="1" x14ac:dyDescent="0.3">
      <c r="A137" s="97">
        <v>45503</v>
      </c>
      <c r="B137" s="92">
        <v>0.41666666666666669</v>
      </c>
      <c r="C137" s="99"/>
      <c r="D137" s="91"/>
      <c r="E137" s="91" t="s">
        <v>60</v>
      </c>
      <c r="F137" s="91">
        <v>20</v>
      </c>
      <c r="G137" s="93">
        <v>243754</v>
      </c>
      <c r="H137" s="93">
        <v>20.6</v>
      </c>
      <c r="I137" s="93"/>
      <c r="J137" s="103"/>
      <c r="K137" s="107"/>
      <c r="L137" s="107"/>
      <c r="M137" s="107"/>
      <c r="N137" s="107"/>
      <c r="O137" s="103"/>
      <c r="P137" s="103"/>
      <c r="Q137" s="103"/>
      <c r="R137" s="103"/>
      <c r="S137" s="94">
        <f t="shared" si="2"/>
        <v>20.6</v>
      </c>
      <c r="T137" s="95">
        <f t="shared" si="59"/>
        <v>794</v>
      </c>
      <c r="U137" s="95">
        <f t="shared" si="49"/>
        <v>0</v>
      </c>
      <c r="V137" s="95">
        <f t="shared" si="58"/>
        <v>0</v>
      </c>
      <c r="W137" s="96">
        <f t="shared" si="55"/>
        <v>738.29019073569475</v>
      </c>
      <c r="X137" s="96">
        <f>V137/[1]Manure!$I$2</f>
        <v>0</v>
      </c>
      <c r="Y137" s="96">
        <f>W137/[1]Manure!$I$2</f>
        <v>526.52732446801679</v>
      </c>
      <c r="Z137" s="96"/>
      <c r="AA137" s="96"/>
      <c r="AB137" s="95"/>
      <c r="AC137" s="11"/>
    </row>
    <row r="138" spans="1:29" ht="15.75" thickBot="1" x14ac:dyDescent="0.3">
      <c r="A138" s="97">
        <v>45504</v>
      </c>
      <c r="B138" s="92">
        <v>0.41666666666666669</v>
      </c>
      <c r="C138" s="92"/>
      <c r="D138" s="91"/>
      <c r="E138" s="91" t="s">
        <v>60</v>
      </c>
      <c r="F138" s="91">
        <v>20</v>
      </c>
      <c r="G138" s="93">
        <v>244551</v>
      </c>
      <c r="H138" s="93">
        <v>16.100000000000001</v>
      </c>
      <c r="I138" s="93"/>
      <c r="J138" s="103"/>
      <c r="K138" s="107"/>
      <c r="L138" s="107"/>
      <c r="M138" s="107"/>
      <c r="N138" s="107"/>
      <c r="O138" s="103"/>
      <c r="P138" s="103"/>
      <c r="Q138" s="103"/>
      <c r="R138" s="103"/>
      <c r="S138" s="94">
        <f t="shared" si="2"/>
        <v>16.100000000000001</v>
      </c>
      <c r="T138" s="95">
        <f t="shared" si="59"/>
        <v>797</v>
      </c>
      <c r="U138" s="95">
        <f t="shared" si="50"/>
        <v>0</v>
      </c>
      <c r="V138" s="95">
        <f t="shared" si="58"/>
        <v>0</v>
      </c>
      <c r="W138" s="96">
        <f t="shared" si="55"/>
        <v>752.61501210653751</v>
      </c>
      <c r="X138" s="96">
        <f>V138/[1]Manure!$I$2</f>
        <v>0</v>
      </c>
      <c r="Y138" s="96">
        <f>W138/[1]Manure!$I$2</f>
        <v>536.74337496484952</v>
      </c>
      <c r="Z138" s="96"/>
      <c r="AA138" s="96"/>
      <c r="AB138" s="95"/>
      <c r="AC138" s="11"/>
    </row>
    <row r="139" spans="1:29" ht="15.75" thickBot="1" x14ac:dyDescent="0.3">
      <c r="A139" s="97">
        <v>45505</v>
      </c>
      <c r="B139" s="92">
        <v>0.41666666666666669</v>
      </c>
      <c r="C139" s="99"/>
      <c r="D139" s="91"/>
      <c r="E139" s="91" t="s">
        <v>60</v>
      </c>
      <c r="F139" s="91">
        <v>20</v>
      </c>
      <c r="G139" s="93">
        <v>245325</v>
      </c>
      <c r="H139" s="93">
        <v>19.3</v>
      </c>
      <c r="I139" s="93"/>
      <c r="J139" s="103"/>
      <c r="K139" s="107"/>
      <c r="L139" s="107"/>
      <c r="M139" s="107"/>
      <c r="N139" s="107"/>
      <c r="O139" s="103"/>
      <c r="P139" s="103"/>
      <c r="Q139" s="103"/>
      <c r="R139" s="103"/>
      <c r="S139" s="94">
        <f t="shared" si="2"/>
        <v>19.3</v>
      </c>
      <c r="T139" s="95">
        <f t="shared" si="59"/>
        <v>774</v>
      </c>
      <c r="U139" s="95">
        <f t="shared" si="50"/>
        <v>0</v>
      </c>
      <c r="V139" s="95">
        <f t="shared" si="58"/>
        <v>0</v>
      </c>
      <c r="W139" s="96">
        <f t="shared" si="55"/>
        <v>722.89428669175504</v>
      </c>
      <c r="X139" s="96">
        <f>V139/[1]Manure!$I$2</f>
        <v>0</v>
      </c>
      <c r="Y139" s="96">
        <f>W139/[1]Manure!$I$2</f>
        <v>515.54740862226515</v>
      </c>
      <c r="Z139" s="96"/>
      <c r="AA139" s="96"/>
      <c r="AB139" s="95"/>
      <c r="AC139" s="11"/>
    </row>
    <row r="140" spans="1:29" ht="15.75" thickBot="1" x14ac:dyDescent="0.3">
      <c r="A140" s="97">
        <v>45506</v>
      </c>
      <c r="B140" s="92">
        <v>0.41666666666666669</v>
      </c>
      <c r="C140" s="99"/>
      <c r="D140" s="91"/>
      <c r="E140" s="91" t="s">
        <v>60</v>
      </c>
      <c r="F140" s="91">
        <v>20</v>
      </c>
      <c r="G140" s="93">
        <v>246091</v>
      </c>
      <c r="H140" s="93">
        <v>19.100000000000001</v>
      </c>
      <c r="I140" s="93"/>
      <c r="J140" s="103"/>
      <c r="K140" s="107"/>
      <c r="L140" s="107"/>
      <c r="M140" s="107"/>
      <c r="N140" s="107"/>
      <c r="O140" s="103"/>
      <c r="P140" s="103"/>
      <c r="Q140" s="103"/>
      <c r="R140" s="103"/>
      <c r="S140" s="94">
        <f t="shared" si="2"/>
        <v>19.100000000000001</v>
      </c>
      <c r="T140" s="95">
        <f t="shared" si="59"/>
        <v>766</v>
      </c>
      <c r="U140" s="95">
        <f t="shared" si="51"/>
        <v>0</v>
      </c>
      <c r="V140" s="95">
        <f t="shared" si="58"/>
        <v>0</v>
      </c>
      <c r="W140" s="96">
        <f t="shared" si="55"/>
        <v>715.91235878123916</v>
      </c>
      <c r="X140" s="96">
        <f>V140/[1]Manure!$I$2</f>
        <v>0</v>
      </c>
      <c r="Y140" s="96">
        <f>W140/[1]Manure!$I$2</f>
        <v>510.56809849667718</v>
      </c>
      <c r="Z140" s="96"/>
      <c r="AA140" s="96"/>
      <c r="AB140" s="95"/>
      <c r="AC140" s="11"/>
    </row>
    <row r="141" spans="1:29" ht="15.75" thickBot="1" x14ac:dyDescent="0.3">
      <c r="A141" s="97">
        <v>45507</v>
      </c>
      <c r="B141" s="92">
        <v>0.41666666666666669</v>
      </c>
      <c r="C141" s="99"/>
      <c r="D141" s="91"/>
      <c r="E141" s="91" t="s">
        <v>60</v>
      </c>
      <c r="F141" s="91">
        <v>20</v>
      </c>
      <c r="G141" s="93">
        <v>246859</v>
      </c>
      <c r="H141" s="93">
        <v>23.5</v>
      </c>
      <c r="I141" s="93"/>
      <c r="J141" s="103"/>
      <c r="K141" s="108"/>
      <c r="L141" s="108"/>
      <c r="M141" s="108"/>
      <c r="N141" s="107"/>
      <c r="O141" s="103"/>
      <c r="P141" s="103"/>
      <c r="Q141" s="103"/>
      <c r="R141" s="103"/>
      <c r="S141" s="94">
        <f t="shared" si="2"/>
        <v>23.5</v>
      </c>
      <c r="T141" s="95">
        <f t="shared" si="59"/>
        <v>768</v>
      </c>
      <c r="U141" s="95">
        <f t="shared" si="52"/>
        <v>0</v>
      </c>
      <c r="V141" s="95">
        <f t="shared" si="58"/>
        <v>0</v>
      </c>
      <c r="W141" s="96">
        <f t="shared" si="55"/>
        <v>707.12984822934231</v>
      </c>
      <c r="X141" s="96">
        <f>V141/[1]Manure!$I$2</f>
        <v>0</v>
      </c>
      <c r="Y141" s="96">
        <f>W141/[1]Manure!$I$2</f>
        <v>504.30466463147252</v>
      </c>
      <c r="Z141" s="96"/>
      <c r="AA141" s="96"/>
      <c r="AB141" s="95"/>
      <c r="AC141" s="11"/>
    </row>
    <row r="142" spans="1:29" ht="15.75" thickBot="1" x14ac:dyDescent="0.3">
      <c r="A142" s="97">
        <v>45509</v>
      </c>
      <c r="B142" s="92">
        <v>0.41666666666666669</v>
      </c>
      <c r="C142" s="99"/>
      <c r="D142" s="91"/>
      <c r="E142" s="91" t="s">
        <v>60</v>
      </c>
      <c r="F142" s="91">
        <v>20</v>
      </c>
      <c r="G142" s="93">
        <v>248354</v>
      </c>
      <c r="H142" s="93">
        <v>30.7</v>
      </c>
      <c r="I142" s="93"/>
      <c r="J142" s="103"/>
      <c r="K142" s="108"/>
      <c r="L142" s="108"/>
      <c r="M142" s="108"/>
      <c r="N142" s="107"/>
      <c r="O142" s="103"/>
      <c r="P142" s="103"/>
      <c r="Q142" s="103"/>
      <c r="R142" s="103"/>
      <c r="S142" s="94">
        <f t="shared" si="2"/>
        <v>30.7</v>
      </c>
      <c r="T142" s="95">
        <f t="shared" si="59"/>
        <v>1495</v>
      </c>
      <c r="U142" s="95">
        <f t="shared" si="52"/>
        <v>0</v>
      </c>
      <c r="V142" s="95">
        <f t="shared" si="58"/>
        <v>0</v>
      </c>
      <c r="W142" s="96">
        <f t="shared" si="55"/>
        <v>1343.8755350675008</v>
      </c>
      <c r="X142" s="96">
        <f>V142/[1]Manure!$I$2</f>
        <v>0</v>
      </c>
      <c r="Y142" s="96">
        <f>W142/[1]Manure!$I$2</f>
        <v>958.41337021153709</v>
      </c>
      <c r="Z142" s="96"/>
      <c r="AA142" s="96"/>
      <c r="AB142" s="95"/>
      <c r="AC142" s="11"/>
    </row>
    <row r="143" spans="1:29" ht="15.75" thickBot="1" x14ac:dyDescent="0.3">
      <c r="A143" s="97">
        <v>45510</v>
      </c>
      <c r="B143" s="92">
        <v>0.41666666666666669</v>
      </c>
      <c r="C143" s="99"/>
      <c r="D143" s="91"/>
      <c r="E143" s="91" t="s">
        <v>60</v>
      </c>
      <c r="F143" s="91">
        <v>20</v>
      </c>
      <c r="G143" s="93">
        <v>248455</v>
      </c>
      <c r="H143" s="93"/>
      <c r="I143" s="93"/>
      <c r="J143" s="103"/>
      <c r="K143" s="108"/>
      <c r="L143" s="108"/>
      <c r="M143" s="108"/>
      <c r="N143" s="107"/>
      <c r="O143" s="103"/>
      <c r="P143" s="103"/>
      <c r="Q143" s="103"/>
      <c r="R143" s="103"/>
      <c r="S143" s="94">
        <f t="shared" si="2"/>
        <v>0</v>
      </c>
      <c r="T143" s="95">
        <f t="shared" si="59"/>
        <v>101</v>
      </c>
      <c r="U143" s="95">
        <f t="shared" si="53"/>
        <v>0</v>
      </c>
      <c r="V143" s="95">
        <f t="shared" si="58"/>
        <v>0</v>
      </c>
      <c r="W143" s="96">
        <f t="shared" si="55"/>
        <v>101</v>
      </c>
      <c r="X143" s="96">
        <f>V143/[1]Manure!$I$2</f>
        <v>0</v>
      </c>
      <c r="Y143" s="96">
        <f>W143/[1]Manure!$I$2</f>
        <v>72.030294372836508</v>
      </c>
      <c r="Z143" s="96"/>
      <c r="AA143" s="96"/>
      <c r="AB143" s="95"/>
      <c r="AC143" s="11"/>
    </row>
    <row r="144" spans="1:29" ht="15.75" thickBot="1" x14ac:dyDescent="0.3">
      <c r="A144" s="97">
        <v>45511</v>
      </c>
      <c r="B144" s="92">
        <v>0.41666666666666669</v>
      </c>
      <c r="C144" s="99"/>
      <c r="D144" s="91"/>
      <c r="E144" s="91" t="s">
        <v>60</v>
      </c>
      <c r="F144" s="91">
        <v>20</v>
      </c>
      <c r="G144" s="93">
        <v>249036</v>
      </c>
      <c r="H144" s="93">
        <v>24.3</v>
      </c>
      <c r="I144" s="93"/>
      <c r="J144" s="103"/>
      <c r="K144" s="108"/>
      <c r="L144" s="108"/>
      <c r="M144" s="108"/>
      <c r="N144" s="107"/>
      <c r="O144" s="103"/>
      <c r="P144" s="103"/>
      <c r="Q144" s="103"/>
      <c r="R144" s="103"/>
      <c r="S144" s="94">
        <f t="shared" si="2"/>
        <v>24.3</v>
      </c>
      <c r="T144" s="95">
        <f t="shared" si="59"/>
        <v>581</v>
      </c>
      <c r="U144" s="95">
        <f t="shared" si="54"/>
        <v>0</v>
      </c>
      <c r="V144" s="95">
        <f t="shared" si="58"/>
        <v>0</v>
      </c>
      <c r="W144" s="96">
        <f t="shared" si="55"/>
        <v>533.51160443995968</v>
      </c>
      <c r="X144" s="96">
        <f>V144/[1]Manure!$I$2</f>
        <v>0</v>
      </c>
      <c r="Y144" s="96">
        <f>W144/[1]Manure!$I$2</f>
        <v>380.48512791222379</v>
      </c>
      <c r="Z144" s="96"/>
      <c r="AA144" s="96"/>
      <c r="AB144" s="95"/>
      <c r="AC144" s="11"/>
    </row>
    <row r="145" spans="1:29" ht="15.75" thickBot="1" x14ac:dyDescent="0.3">
      <c r="A145" s="97">
        <v>45512</v>
      </c>
      <c r="B145" s="92">
        <v>0.41666666666666669</v>
      </c>
      <c r="C145" s="99"/>
      <c r="D145" s="91"/>
      <c r="E145" s="91" t="s">
        <v>60</v>
      </c>
      <c r="F145" s="91">
        <v>20</v>
      </c>
      <c r="G145" s="93">
        <v>249820</v>
      </c>
      <c r="H145" s="93">
        <v>16.600000000000001</v>
      </c>
      <c r="I145" s="93"/>
      <c r="J145" s="103"/>
      <c r="K145" s="108"/>
      <c r="L145" s="108"/>
      <c r="M145" s="108"/>
      <c r="N145" s="107"/>
      <c r="O145" s="103"/>
      <c r="P145" s="103"/>
      <c r="Q145" s="103"/>
      <c r="R145" s="103"/>
      <c r="S145" s="94">
        <f t="shared" si="2"/>
        <v>16.600000000000001</v>
      </c>
      <c r="T145" s="95">
        <f t="shared" si="59"/>
        <v>784</v>
      </c>
      <c r="U145" s="95">
        <f t="shared" si="54"/>
        <v>0</v>
      </c>
      <c r="V145" s="95">
        <f t="shared" si="58"/>
        <v>0</v>
      </c>
      <c r="W145" s="96">
        <f t="shared" si="55"/>
        <v>739.06077348066287</v>
      </c>
      <c r="X145" s="96">
        <f>V145/[1]Manure!$I$2</f>
        <v>0</v>
      </c>
      <c r="Y145" s="96">
        <f>W145/[1]Manure!$I$2</f>
        <v>527.07688191315231</v>
      </c>
      <c r="Z145" s="96"/>
      <c r="AA145" s="96"/>
      <c r="AB145" s="95"/>
      <c r="AC145" s="11"/>
    </row>
    <row r="146" spans="1:29" ht="15.75" thickBot="1" x14ac:dyDescent="0.3">
      <c r="A146" s="97">
        <v>45513</v>
      </c>
      <c r="B146" s="92">
        <v>0.41666666666666669</v>
      </c>
      <c r="C146" s="99"/>
      <c r="D146" s="91"/>
      <c r="E146" s="91" t="s">
        <v>60</v>
      </c>
      <c r="F146" s="91">
        <v>20</v>
      </c>
      <c r="G146" s="93">
        <v>250540</v>
      </c>
      <c r="H146" s="93">
        <v>16.600000000000001</v>
      </c>
      <c r="I146" s="93"/>
      <c r="J146" s="103"/>
      <c r="K146" s="108"/>
      <c r="L146" s="108"/>
      <c r="M146" s="108"/>
      <c r="N146" s="107"/>
      <c r="O146" s="103"/>
      <c r="P146" s="103"/>
      <c r="Q146" s="103"/>
      <c r="R146" s="103"/>
      <c r="S146" s="94">
        <f t="shared" si="2"/>
        <v>16.600000000000001</v>
      </c>
      <c r="T146" s="95">
        <f t="shared" si="59"/>
        <v>720</v>
      </c>
      <c r="U146" s="95">
        <f t="shared" ref="U146" si="60">T146*(I146/100)</f>
        <v>0</v>
      </c>
      <c r="V146" s="95">
        <f t="shared" si="58"/>
        <v>0</v>
      </c>
      <c r="W146" s="96">
        <f t="shared" si="55"/>
        <v>678.72928176795574</v>
      </c>
      <c r="X146" s="96">
        <f>V146/[1]Manure!$I$2</f>
        <v>0</v>
      </c>
      <c r="Y146" s="96">
        <f>W146/[1]Manure!$I$2</f>
        <v>484.05019767534401</v>
      </c>
      <c r="Z146" s="96"/>
      <c r="AA146" s="96"/>
      <c r="AB146" s="95"/>
      <c r="AC146" s="11"/>
    </row>
    <row r="147" spans="1:29" ht="15.75" thickBot="1" x14ac:dyDescent="0.3">
      <c r="A147" s="97">
        <v>45514</v>
      </c>
      <c r="B147" s="92">
        <v>0.41666666666666669</v>
      </c>
      <c r="C147" s="99"/>
      <c r="D147" s="91"/>
      <c r="E147" s="91" t="s">
        <v>60</v>
      </c>
      <c r="F147" s="91">
        <v>20</v>
      </c>
      <c r="G147" s="93">
        <v>251282</v>
      </c>
      <c r="H147" s="93">
        <v>16.2</v>
      </c>
      <c r="I147" s="93"/>
      <c r="J147" s="103"/>
      <c r="K147" s="108"/>
      <c r="L147" s="108"/>
      <c r="M147" s="108"/>
      <c r="N147" s="107"/>
      <c r="O147" s="103"/>
      <c r="P147" s="103"/>
      <c r="Q147" s="103"/>
      <c r="R147" s="103"/>
      <c r="S147" s="94">
        <f t="shared" si="2"/>
        <v>16.2</v>
      </c>
      <c r="T147" s="95">
        <f t="shared" si="59"/>
        <v>742</v>
      </c>
      <c r="U147" s="95">
        <f t="shared" ref="U147:U148" si="61">T147*(P147/100)</f>
        <v>0</v>
      </c>
      <c r="V147" s="95">
        <f t="shared" si="58"/>
        <v>0</v>
      </c>
      <c r="W147" s="96">
        <f t="shared" si="55"/>
        <v>700.43568464730299</v>
      </c>
      <c r="X147" s="96">
        <f>V147/[1]Manure!$I$2</f>
        <v>0</v>
      </c>
      <c r="Y147" s="96">
        <f>W147/[1]Manure!$I$2</f>
        <v>499.53057974638131</v>
      </c>
      <c r="Z147" s="96"/>
      <c r="AA147" s="96"/>
      <c r="AB147" s="95"/>
      <c r="AC147" s="11"/>
    </row>
    <row r="148" spans="1:29" ht="15.75" thickBot="1" x14ac:dyDescent="0.3">
      <c r="A148" s="97">
        <v>45516</v>
      </c>
      <c r="B148" s="92">
        <v>0.41666666666666669</v>
      </c>
      <c r="C148" s="99"/>
      <c r="D148" s="91"/>
      <c r="E148" s="91" t="s">
        <v>60</v>
      </c>
      <c r="F148" s="91">
        <v>20</v>
      </c>
      <c r="G148" s="93">
        <v>252743</v>
      </c>
      <c r="H148" s="93">
        <v>18.100000000000001</v>
      </c>
      <c r="I148" s="93"/>
      <c r="J148" s="103"/>
      <c r="K148" s="108"/>
      <c r="L148" s="108"/>
      <c r="M148" s="108"/>
      <c r="N148" s="107"/>
      <c r="O148" s="103"/>
      <c r="P148" s="103"/>
      <c r="Q148" s="103"/>
      <c r="R148" s="103"/>
      <c r="S148" s="94">
        <f t="shared" si="2"/>
        <v>18.100000000000001</v>
      </c>
      <c r="T148" s="95">
        <f t="shared" si="59"/>
        <v>1461</v>
      </c>
      <c r="U148" s="95">
        <f t="shared" si="61"/>
        <v>0</v>
      </c>
      <c r="V148" s="95">
        <f t="shared" si="58"/>
        <v>0</v>
      </c>
      <c r="W148" s="96">
        <f t="shared" si="55"/>
        <v>1370.1580212985227</v>
      </c>
      <c r="X148" s="96">
        <f>V148/[1]Manure!$I$2</f>
        <v>0</v>
      </c>
      <c r="Y148" s="96">
        <f>W148/[1]Manure!$I$2</f>
        <v>977.15728328154239</v>
      </c>
      <c r="Z148" s="96"/>
      <c r="AA148" s="96"/>
      <c r="AB148" s="95"/>
      <c r="AC148" s="11"/>
    </row>
    <row r="149" spans="1:29" ht="15.75" thickBot="1" x14ac:dyDescent="0.3">
      <c r="A149" s="97">
        <v>45517</v>
      </c>
      <c r="B149" s="92">
        <v>0.41666666666666669</v>
      </c>
      <c r="C149" s="99"/>
      <c r="D149" s="91"/>
      <c r="E149" s="91" t="s">
        <v>60</v>
      </c>
      <c r="F149" s="91">
        <v>20</v>
      </c>
      <c r="G149" s="93">
        <v>253484</v>
      </c>
      <c r="H149" s="93">
        <v>19</v>
      </c>
      <c r="I149" s="93"/>
      <c r="J149" s="103"/>
      <c r="K149" s="108"/>
      <c r="L149" s="108"/>
      <c r="M149" s="108"/>
      <c r="N149" s="107"/>
      <c r="O149" s="103"/>
      <c r="P149" s="103"/>
      <c r="Q149" s="103"/>
      <c r="R149" s="103"/>
      <c r="S149" s="94">
        <f t="shared" si="2"/>
        <v>19</v>
      </c>
      <c r="T149" s="95">
        <f t="shared" si="59"/>
        <v>741</v>
      </c>
      <c r="U149" s="95">
        <f t="shared" si="41"/>
        <v>0</v>
      </c>
      <c r="V149" s="95">
        <f t="shared" si="58"/>
        <v>0</v>
      </c>
      <c r="W149" s="96">
        <f t="shared" si="55"/>
        <v>692.78424657534242</v>
      </c>
      <c r="X149" s="96">
        <f>V149/[1]Manure!$I$2</f>
        <v>0</v>
      </c>
      <c r="Y149" s="96">
        <f>W149/[1]Manure!$I$2</f>
        <v>494.07379423451152</v>
      </c>
      <c r="Z149" s="96"/>
      <c r="AA149" s="96"/>
      <c r="AB149" s="95"/>
      <c r="AC149" s="11"/>
    </row>
    <row r="150" spans="1:29" ht="15.75" thickBot="1" x14ac:dyDescent="0.3">
      <c r="A150" s="97">
        <v>45518</v>
      </c>
      <c r="B150" s="92">
        <v>0.41666666666666669</v>
      </c>
      <c r="C150" s="99"/>
      <c r="D150" s="91"/>
      <c r="E150" s="91" t="s">
        <v>60</v>
      </c>
      <c r="F150" s="91">
        <v>20</v>
      </c>
      <c r="G150" s="93">
        <v>254216</v>
      </c>
      <c r="H150" s="93">
        <v>22</v>
      </c>
      <c r="I150" s="93"/>
      <c r="J150" s="103"/>
      <c r="K150" s="108"/>
      <c r="L150" s="108"/>
      <c r="M150" s="108"/>
      <c r="N150" s="107"/>
      <c r="O150" s="103"/>
      <c r="P150" s="103"/>
      <c r="Q150" s="103"/>
      <c r="R150" s="103"/>
      <c r="S150" s="94">
        <f t="shared" si="2"/>
        <v>22</v>
      </c>
      <c r="T150" s="95">
        <f t="shared" si="59"/>
        <v>732</v>
      </c>
      <c r="U150" s="95">
        <f t="shared" si="42"/>
        <v>0</v>
      </c>
      <c r="V150" s="95">
        <f t="shared" si="58"/>
        <v>0</v>
      </c>
      <c r="W150" s="96">
        <f t="shared" si="55"/>
        <v>677.41016949152538</v>
      </c>
      <c r="X150" s="96">
        <f>V150/[1]Manure!$I$2</f>
        <v>0</v>
      </c>
      <c r="Y150" s="96">
        <f>W150/[1]Manure!$I$2</f>
        <v>483.10944474878852</v>
      </c>
      <c r="Z150" s="96"/>
      <c r="AA150" s="96"/>
      <c r="AB150" s="95"/>
      <c r="AC150" s="11"/>
    </row>
    <row r="151" spans="1:29" ht="15.75" thickBot="1" x14ac:dyDescent="0.3">
      <c r="A151" s="97">
        <v>45519</v>
      </c>
      <c r="B151" s="92">
        <v>0.41666666666666669</v>
      </c>
      <c r="C151" s="99"/>
      <c r="D151" s="91"/>
      <c r="E151" s="91" t="s">
        <v>60</v>
      </c>
      <c r="F151" s="91">
        <v>20</v>
      </c>
      <c r="G151" s="93">
        <v>254980</v>
      </c>
      <c r="H151" s="93">
        <v>20.5</v>
      </c>
      <c r="I151" s="93"/>
      <c r="J151" s="103"/>
      <c r="K151" s="108"/>
      <c r="L151" s="108"/>
      <c r="M151" s="108"/>
      <c r="N151" s="107"/>
      <c r="O151" s="103"/>
      <c r="P151" s="103"/>
      <c r="Q151" s="103"/>
      <c r="R151" s="103"/>
      <c r="S151" s="94">
        <f t="shared" si="2"/>
        <v>20.5</v>
      </c>
      <c r="T151" s="95">
        <f t="shared" si="59"/>
        <v>764</v>
      </c>
      <c r="U151" s="95">
        <f t="shared" si="42"/>
        <v>0</v>
      </c>
      <c r="V151" s="95">
        <f t="shared" si="58"/>
        <v>0</v>
      </c>
      <c r="W151" s="96">
        <f t="shared" si="55"/>
        <v>710.63713798977847</v>
      </c>
      <c r="X151" s="96">
        <f>V151/[1]Manure!$I$2</f>
        <v>0</v>
      </c>
      <c r="Y151" s="96">
        <f>W151/[1]Manure!$I$2</f>
        <v>506.80596278884929</v>
      </c>
      <c r="Z151" s="96"/>
      <c r="AA151" s="96"/>
      <c r="AB151" s="95"/>
      <c r="AC151" s="11"/>
    </row>
    <row r="152" spans="1:29" ht="15.75" thickBot="1" x14ac:dyDescent="0.3">
      <c r="A152" s="97">
        <v>45520</v>
      </c>
      <c r="B152" s="92">
        <v>0.41666666666666669</v>
      </c>
      <c r="C152" s="99"/>
      <c r="D152" s="91"/>
      <c r="E152" s="91" t="s">
        <v>60</v>
      </c>
      <c r="F152" s="91">
        <v>20</v>
      </c>
      <c r="G152" s="93">
        <v>255709</v>
      </c>
      <c r="H152" s="93">
        <v>17.600000000000001</v>
      </c>
      <c r="I152" s="93"/>
      <c r="J152" s="103"/>
      <c r="K152" s="108"/>
      <c r="L152" s="108"/>
      <c r="M152" s="108"/>
      <c r="N152" s="107"/>
      <c r="O152" s="103"/>
      <c r="P152" s="103"/>
      <c r="Q152" s="103"/>
      <c r="R152" s="103"/>
      <c r="S152" s="94">
        <f t="shared" si="2"/>
        <v>17.600000000000001</v>
      </c>
      <c r="T152" s="95">
        <f t="shared" si="59"/>
        <v>729</v>
      </c>
      <c r="U152" s="95">
        <f t="shared" si="43"/>
        <v>0</v>
      </c>
      <c r="V152" s="95">
        <f t="shared" si="58"/>
        <v>0</v>
      </c>
      <c r="W152" s="96">
        <f t="shared" si="55"/>
        <v>684.84858912594632</v>
      </c>
      <c r="X152" s="96">
        <f>V152/[1]Manure!$I$2</f>
        <v>0</v>
      </c>
      <c r="Y152" s="96">
        <f>W152/[1]Manure!$I$2</f>
        <v>488.41431163924426</v>
      </c>
      <c r="Z152" s="96"/>
      <c r="AA152" s="96"/>
      <c r="AB152" s="95"/>
      <c r="AC152" s="11"/>
    </row>
    <row r="153" spans="1:29" ht="15.75" thickBot="1" x14ac:dyDescent="0.3">
      <c r="A153" s="97">
        <v>45521</v>
      </c>
      <c r="B153" s="92">
        <v>0.41666666666666669</v>
      </c>
      <c r="C153" s="99"/>
      <c r="D153" s="91"/>
      <c r="E153" s="91" t="s">
        <v>60</v>
      </c>
      <c r="F153" s="91">
        <v>20</v>
      </c>
      <c r="G153" s="93">
        <v>256471</v>
      </c>
      <c r="H153" s="93">
        <v>23</v>
      </c>
      <c r="I153" s="93"/>
      <c r="J153" s="103"/>
      <c r="K153" s="107"/>
      <c r="L153" s="107"/>
      <c r="M153" s="107"/>
      <c r="N153" s="107"/>
      <c r="O153" s="103"/>
      <c r="P153" s="103"/>
      <c r="Q153" s="103"/>
      <c r="R153" s="103"/>
      <c r="S153" s="94">
        <f t="shared" si="2"/>
        <v>23</v>
      </c>
      <c r="T153" s="95">
        <f t="shared" si="59"/>
        <v>762</v>
      </c>
      <c r="U153" s="95">
        <f t="shared" si="44"/>
        <v>0</v>
      </c>
      <c r="V153" s="95">
        <f t="shared" si="58"/>
        <v>0</v>
      </c>
      <c r="W153" s="96">
        <f t="shared" si="55"/>
        <v>702.79054054054052</v>
      </c>
      <c r="X153" s="96">
        <f>V153/[1]Manure!$I$2</f>
        <v>0</v>
      </c>
      <c r="Y153" s="96">
        <f>W153/[1]Manure!$I$2</f>
        <v>501.20999522356453</v>
      </c>
      <c r="Z153" s="96"/>
      <c r="AA153" s="96"/>
      <c r="AB153" s="95"/>
      <c r="AC153" s="11"/>
    </row>
    <row r="154" spans="1:29" ht="15.75" thickBot="1" x14ac:dyDescent="0.3">
      <c r="A154" s="97">
        <v>45523</v>
      </c>
      <c r="B154" s="92">
        <v>0.41666666666666669</v>
      </c>
      <c r="C154" s="99"/>
      <c r="D154" s="91"/>
      <c r="E154" s="91" t="s">
        <v>60</v>
      </c>
      <c r="F154" s="91">
        <v>20</v>
      </c>
      <c r="G154" s="93">
        <v>257940</v>
      </c>
      <c r="H154" s="93">
        <v>19</v>
      </c>
      <c r="I154" s="93"/>
      <c r="J154" s="103"/>
      <c r="K154" s="107"/>
      <c r="L154" s="107"/>
      <c r="M154" s="107"/>
      <c r="N154" s="107"/>
      <c r="O154" s="103"/>
      <c r="P154" s="103"/>
      <c r="Q154" s="103"/>
      <c r="R154" s="103"/>
      <c r="S154" s="94">
        <f t="shared" si="2"/>
        <v>19</v>
      </c>
      <c r="T154" s="95">
        <f t="shared" si="59"/>
        <v>1469</v>
      </c>
      <c r="U154" s="95">
        <f t="shared" si="44"/>
        <v>0</v>
      </c>
      <c r="V154" s="95">
        <f t="shared" si="58"/>
        <v>0</v>
      </c>
      <c r="W154" s="96">
        <f t="shared" si="55"/>
        <v>1373.4143835616437</v>
      </c>
      <c r="X154" s="96">
        <f>V154/[1]Manure!$I$2</f>
        <v>0</v>
      </c>
      <c r="Y154" s="96">
        <f>W154/[1]Manure!$I$2</f>
        <v>979.47962716666314</v>
      </c>
      <c r="Z154" s="96"/>
      <c r="AA154" s="96"/>
      <c r="AB154" s="95"/>
      <c r="AC154" s="11"/>
    </row>
    <row r="155" spans="1:29" ht="15.75" thickBot="1" x14ac:dyDescent="0.3">
      <c r="A155" s="97">
        <v>45524</v>
      </c>
      <c r="B155" s="92">
        <v>0.41666666666666669</v>
      </c>
      <c r="C155" s="99"/>
      <c r="D155" s="91"/>
      <c r="E155" s="91" t="s">
        <v>60</v>
      </c>
      <c r="F155" s="91">
        <v>20</v>
      </c>
      <c r="G155" s="93">
        <v>258700</v>
      </c>
      <c r="H155" s="93">
        <v>22.1</v>
      </c>
      <c r="I155" s="93"/>
      <c r="J155" s="103"/>
      <c r="K155" s="107"/>
      <c r="L155" s="107"/>
      <c r="M155" s="107"/>
      <c r="N155" s="107"/>
      <c r="O155" s="103"/>
      <c r="P155" s="103"/>
      <c r="Q155" s="103"/>
      <c r="R155" s="103"/>
      <c r="S155" s="94">
        <f t="shared" si="2"/>
        <v>22.1</v>
      </c>
      <c r="T155" s="95">
        <f t="shared" si="59"/>
        <v>760</v>
      </c>
      <c r="U155" s="95">
        <f t="shared" si="45"/>
        <v>0</v>
      </c>
      <c r="V155" s="95">
        <f t="shared" si="58"/>
        <v>0</v>
      </c>
      <c r="W155" s="96">
        <f t="shared" si="55"/>
        <v>703.08370044052856</v>
      </c>
      <c r="X155" s="96">
        <f>V155/[1]Manure!$I$2</f>
        <v>0</v>
      </c>
      <c r="Y155" s="96">
        <f>W155/[1]Manure!$I$2</f>
        <v>501.41906843044029</v>
      </c>
      <c r="Z155" s="96"/>
      <c r="AA155" s="96"/>
      <c r="AB155" s="95"/>
      <c r="AC155" s="11"/>
    </row>
    <row r="156" spans="1:29" ht="15.75" thickBot="1" x14ac:dyDescent="0.3">
      <c r="A156" s="97">
        <v>45525</v>
      </c>
      <c r="B156" s="92">
        <v>0.41666666666666669</v>
      </c>
      <c r="C156" s="99"/>
      <c r="D156" s="91"/>
      <c r="E156" s="91" t="s">
        <v>60</v>
      </c>
      <c r="F156" s="91">
        <v>20</v>
      </c>
      <c r="G156" s="93">
        <v>259399</v>
      </c>
      <c r="H156" s="93">
        <v>16</v>
      </c>
      <c r="I156" s="93"/>
      <c r="J156" s="103"/>
      <c r="K156" s="107"/>
      <c r="L156" s="107"/>
      <c r="M156" s="107"/>
      <c r="N156" s="107"/>
      <c r="O156" s="103"/>
      <c r="P156" s="103"/>
      <c r="Q156" s="103"/>
      <c r="R156" s="103"/>
      <c r="S156" s="94">
        <f t="shared" si="2"/>
        <v>16</v>
      </c>
      <c r="T156" s="95">
        <f t="shared" si="59"/>
        <v>699</v>
      </c>
      <c r="U156" s="95">
        <f t="shared" si="46"/>
        <v>0</v>
      </c>
      <c r="V156" s="95">
        <f t="shared" si="58"/>
        <v>0</v>
      </c>
      <c r="W156" s="96">
        <f t="shared" si="55"/>
        <v>660.30103806228374</v>
      </c>
      <c r="X156" s="96">
        <f>V156/[1]Manure!$I$2</f>
        <v>0</v>
      </c>
      <c r="Y156" s="96">
        <f>W156/[1]Manure!$I$2</f>
        <v>470.90770441896848</v>
      </c>
      <c r="Z156" s="96"/>
      <c r="AA156" s="96"/>
      <c r="AB156" s="95"/>
      <c r="AC156" s="11"/>
    </row>
    <row r="157" spans="1:29" ht="15.75" thickBot="1" x14ac:dyDescent="0.3">
      <c r="A157" s="97">
        <v>45526</v>
      </c>
      <c r="B157" s="92">
        <v>0.41666666666666669</v>
      </c>
      <c r="C157" s="99"/>
      <c r="D157" s="91"/>
      <c r="E157" s="91" t="s">
        <v>60</v>
      </c>
      <c r="F157" s="91">
        <v>20</v>
      </c>
      <c r="G157" s="93">
        <v>260173</v>
      </c>
      <c r="H157" s="93">
        <v>16.2</v>
      </c>
      <c r="I157" s="93"/>
      <c r="J157" s="103"/>
      <c r="K157" s="107"/>
      <c r="L157" s="107"/>
      <c r="M157" s="107"/>
      <c r="N157" s="107"/>
      <c r="O157" s="103"/>
      <c r="P157" s="103"/>
      <c r="Q157" s="103"/>
      <c r="R157" s="103"/>
      <c r="S157" s="94">
        <f t="shared" si="2"/>
        <v>16.2</v>
      </c>
      <c r="T157" s="95">
        <f t="shared" si="59"/>
        <v>774</v>
      </c>
      <c r="U157" s="95">
        <f t="shared" si="46"/>
        <v>0</v>
      </c>
      <c r="V157" s="95">
        <f t="shared" si="58"/>
        <v>0</v>
      </c>
      <c r="W157" s="96">
        <f t="shared" si="55"/>
        <v>730.64315352697099</v>
      </c>
      <c r="X157" s="96">
        <f>V157/[1]Manure!$I$2</f>
        <v>0</v>
      </c>
      <c r="Y157" s="96">
        <f>W157/[1]Manure!$I$2</f>
        <v>521.07367752520088</v>
      </c>
      <c r="Z157" s="96"/>
      <c r="AA157" s="96"/>
      <c r="AB157" s="95"/>
      <c r="AC157" s="11"/>
    </row>
    <row r="158" spans="1:29" ht="15.75" thickBot="1" x14ac:dyDescent="0.3">
      <c r="A158" s="97">
        <v>45527</v>
      </c>
      <c r="B158" s="92">
        <v>0.41666666666666669</v>
      </c>
      <c r="C158" s="99"/>
      <c r="D158" s="91"/>
      <c r="E158" s="91" t="s">
        <v>60</v>
      </c>
      <c r="F158" s="91">
        <v>20</v>
      </c>
      <c r="G158" s="93">
        <v>260925</v>
      </c>
      <c r="H158" s="93">
        <v>19.100000000000001</v>
      </c>
      <c r="I158" s="93"/>
      <c r="J158" s="103"/>
      <c r="K158" s="107"/>
      <c r="L158" s="107"/>
      <c r="M158" s="107"/>
      <c r="N158" s="107"/>
      <c r="O158" s="103"/>
      <c r="P158" s="103"/>
      <c r="Q158" s="103"/>
      <c r="R158" s="103"/>
      <c r="S158" s="94">
        <f t="shared" si="2"/>
        <v>19.100000000000001</v>
      </c>
      <c r="T158" s="95">
        <f t="shared" si="59"/>
        <v>752</v>
      </c>
      <c r="U158" s="95">
        <f t="shared" si="47"/>
        <v>0</v>
      </c>
      <c r="V158" s="95">
        <f t="shared" si="58"/>
        <v>0</v>
      </c>
      <c r="W158" s="96">
        <f t="shared" si="55"/>
        <v>702.82779869907563</v>
      </c>
      <c r="X158" s="96">
        <f>V158/[1]Manure!$I$2</f>
        <v>0</v>
      </c>
      <c r="Y158" s="96">
        <f>W158/[1]Manure!$I$2</f>
        <v>501.23656667036727</v>
      </c>
      <c r="Z158" s="96"/>
      <c r="AA158" s="96"/>
      <c r="AB158" s="95"/>
      <c r="AC158" s="11"/>
    </row>
    <row r="159" spans="1:29" ht="15.75" thickBot="1" x14ac:dyDescent="0.3">
      <c r="A159" s="97">
        <v>45528</v>
      </c>
      <c r="B159" s="92">
        <v>0.41666666666666669</v>
      </c>
      <c r="C159" s="99"/>
      <c r="D159" s="91"/>
      <c r="E159" s="91" t="s">
        <v>60</v>
      </c>
      <c r="F159" s="91">
        <v>20</v>
      </c>
      <c r="G159" s="93">
        <v>261667</v>
      </c>
      <c r="H159" s="93">
        <v>16.2</v>
      </c>
      <c r="I159" s="93"/>
      <c r="J159" s="103"/>
      <c r="K159" s="107"/>
      <c r="L159" s="107"/>
      <c r="M159" s="107"/>
      <c r="N159" s="107"/>
      <c r="O159" s="103"/>
      <c r="P159" s="103"/>
      <c r="Q159" s="103"/>
      <c r="R159" s="103"/>
      <c r="S159" s="94">
        <f t="shared" si="2"/>
        <v>16.2</v>
      </c>
      <c r="T159" s="95">
        <f t="shared" si="59"/>
        <v>742</v>
      </c>
      <c r="U159" s="95">
        <f t="shared" si="48"/>
        <v>0</v>
      </c>
      <c r="V159" s="95">
        <f t="shared" si="58"/>
        <v>0</v>
      </c>
      <c r="W159" s="96">
        <f t="shared" si="55"/>
        <v>700.43568464730299</v>
      </c>
      <c r="X159" s="96">
        <f>V159/[1]Manure!$I$2</f>
        <v>0</v>
      </c>
      <c r="Y159" s="96">
        <f>W159/[1]Manure!$I$2</f>
        <v>499.53057974638131</v>
      </c>
      <c r="Z159" s="96"/>
      <c r="AA159" s="96"/>
      <c r="AB159" s="95"/>
      <c r="AC159" s="11"/>
    </row>
    <row r="160" spans="1:29" ht="15.75" thickBot="1" x14ac:dyDescent="0.3">
      <c r="A160" s="97">
        <v>45530</v>
      </c>
      <c r="B160" s="92">
        <v>0.41666666666666669</v>
      </c>
      <c r="C160" s="99"/>
      <c r="D160" s="91"/>
      <c r="E160" s="91" t="s">
        <v>60</v>
      </c>
      <c r="F160" s="91">
        <v>20</v>
      </c>
      <c r="G160" s="93">
        <v>263116</v>
      </c>
      <c r="H160" s="93">
        <v>18.100000000000001</v>
      </c>
      <c r="I160" s="93"/>
      <c r="J160" s="103"/>
      <c r="K160" s="107"/>
      <c r="L160" s="107"/>
      <c r="M160" s="107"/>
      <c r="N160" s="107"/>
      <c r="O160" s="103"/>
      <c r="P160" s="103"/>
      <c r="Q160" s="103"/>
      <c r="R160" s="103"/>
      <c r="S160" s="94">
        <f t="shared" si="2"/>
        <v>18.100000000000001</v>
      </c>
      <c r="T160" s="95">
        <f t="shared" si="59"/>
        <v>1449</v>
      </c>
      <c r="U160" s="95">
        <f t="shared" si="48"/>
        <v>0</v>
      </c>
      <c r="V160" s="95">
        <f t="shared" si="58"/>
        <v>0</v>
      </c>
      <c r="W160" s="96">
        <f t="shared" si="55"/>
        <v>1358.9041566472001</v>
      </c>
      <c r="X160" s="96">
        <f>V160/[1]Manure!$I$2</f>
        <v>0</v>
      </c>
      <c r="Y160" s="96">
        <f>W160/[1]Manure!$I$2</f>
        <v>969.13135076998958</v>
      </c>
      <c r="Z160" s="96"/>
      <c r="AA160" s="96"/>
      <c r="AB160" s="95"/>
      <c r="AC160" s="11"/>
    </row>
    <row r="161" spans="1:29" ht="15.75" thickBot="1" x14ac:dyDescent="0.3">
      <c r="A161" s="97">
        <v>45531</v>
      </c>
      <c r="B161" s="92">
        <v>0.41666666666666669</v>
      </c>
      <c r="C161" s="99"/>
      <c r="D161" s="91"/>
      <c r="E161" s="91" t="s">
        <v>60</v>
      </c>
      <c r="F161" s="91">
        <v>20</v>
      </c>
      <c r="G161" s="93">
        <v>263850</v>
      </c>
      <c r="H161" s="93">
        <v>20.5</v>
      </c>
      <c r="I161" s="93"/>
      <c r="J161" s="103"/>
      <c r="K161" s="107"/>
      <c r="L161" s="107"/>
      <c r="M161" s="107"/>
      <c r="N161" s="107"/>
      <c r="O161" s="103"/>
      <c r="P161" s="103"/>
      <c r="Q161" s="103"/>
      <c r="R161" s="103"/>
      <c r="S161" s="94">
        <f t="shared" si="2"/>
        <v>20.5</v>
      </c>
      <c r="T161" s="95">
        <f t="shared" si="59"/>
        <v>734</v>
      </c>
      <c r="U161" s="95">
        <f t="shared" si="49"/>
        <v>0</v>
      </c>
      <c r="V161" s="95">
        <f t="shared" si="58"/>
        <v>0</v>
      </c>
      <c r="W161" s="96">
        <f t="shared" si="55"/>
        <v>682.73253833049398</v>
      </c>
      <c r="X161" s="96">
        <f>V161/[1]Manure!$I$2</f>
        <v>0</v>
      </c>
      <c r="Y161" s="96">
        <f>W161/[1]Manure!$I$2</f>
        <v>486.90520508771647</v>
      </c>
      <c r="Z161" s="96"/>
      <c r="AA161" s="96"/>
      <c r="AB161" s="98"/>
      <c r="AC161" s="11"/>
    </row>
    <row r="162" spans="1:29" ht="15.75" thickBot="1" x14ac:dyDescent="0.3">
      <c r="A162" s="97">
        <v>45532</v>
      </c>
      <c r="B162" s="92">
        <v>0.41666666666666669</v>
      </c>
      <c r="C162" s="99"/>
      <c r="D162" s="91"/>
      <c r="E162" s="91" t="s">
        <v>60</v>
      </c>
      <c r="F162" s="91">
        <v>20</v>
      </c>
      <c r="G162" s="93">
        <v>264566</v>
      </c>
      <c r="H162" s="93">
        <v>24.2</v>
      </c>
      <c r="I162" s="93"/>
      <c r="J162" s="103"/>
      <c r="K162" s="107"/>
      <c r="L162" s="107"/>
      <c r="M162" s="107"/>
      <c r="N162" s="107"/>
      <c r="O162" s="103"/>
      <c r="P162" s="103"/>
      <c r="Q162" s="103"/>
      <c r="R162" s="103"/>
      <c r="S162" s="94">
        <f t="shared" si="2"/>
        <v>24.2</v>
      </c>
      <c r="T162" s="95">
        <f t="shared" si="59"/>
        <v>716</v>
      </c>
      <c r="U162" s="95">
        <f t="shared" si="50"/>
        <v>0</v>
      </c>
      <c r="V162" s="95">
        <f t="shared" si="58"/>
        <v>0</v>
      </c>
      <c r="W162" s="96">
        <f t="shared" si="55"/>
        <v>657.69851951547776</v>
      </c>
      <c r="X162" s="96">
        <f>V162/[1]Manure!$I$2</f>
        <v>0</v>
      </c>
      <c r="Y162" s="96">
        <f>W162/[1]Manure!$I$2</f>
        <v>469.05166306216449</v>
      </c>
      <c r="Z162" s="96"/>
      <c r="AA162" s="96"/>
      <c r="AB162" s="95"/>
      <c r="AC162" s="11"/>
    </row>
    <row r="163" spans="1:29" ht="15.75" thickBot="1" x14ac:dyDescent="0.3">
      <c r="A163" s="97">
        <v>45533</v>
      </c>
      <c r="B163" s="92">
        <v>0.41666666666666669</v>
      </c>
      <c r="C163" s="91"/>
      <c r="D163" s="91"/>
      <c r="E163" s="91" t="s">
        <v>60</v>
      </c>
      <c r="F163" s="91">
        <v>20</v>
      </c>
      <c r="G163" s="93">
        <v>265319</v>
      </c>
      <c r="H163" s="93">
        <v>22.3</v>
      </c>
      <c r="I163" s="93"/>
      <c r="J163" s="103"/>
      <c r="K163" s="103"/>
      <c r="L163" s="103"/>
      <c r="M163" s="103"/>
      <c r="N163" s="103"/>
      <c r="O163" s="103"/>
      <c r="P163" s="103"/>
      <c r="Q163" s="103"/>
      <c r="R163" s="103"/>
      <c r="S163" s="94">
        <f t="shared" si="2"/>
        <v>22.3</v>
      </c>
      <c r="T163" s="95">
        <f t="shared" si="59"/>
        <v>753</v>
      </c>
      <c r="U163" s="95">
        <f t="shared" si="50"/>
        <v>0</v>
      </c>
      <c r="V163" s="95">
        <f t="shared" si="58"/>
        <v>0</v>
      </c>
      <c r="W163" s="96">
        <f t="shared" si="55"/>
        <v>696.13613274635964</v>
      </c>
      <c r="X163" s="96">
        <f>V163/[1]Manure!$I$2</f>
        <v>0</v>
      </c>
      <c r="Y163" s="96">
        <f>W163/[1]Manure!$I$2</f>
        <v>496.46426302265616</v>
      </c>
      <c r="Z163" s="96"/>
      <c r="AA163" s="96"/>
      <c r="AB163" s="95"/>
      <c r="AC163" s="11"/>
    </row>
    <row r="164" spans="1:29" ht="15.75" thickBot="1" x14ac:dyDescent="0.3">
      <c r="A164" s="97">
        <v>45534</v>
      </c>
      <c r="B164" s="92">
        <v>0.41666666666666669</v>
      </c>
      <c r="C164" s="91"/>
      <c r="D164" s="91"/>
      <c r="E164" s="91" t="s">
        <v>60</v>
      </c>
      <c r="F164" s="91">
        <v>20</v>
      </c>
      <c r="G164" s="93">
        <v>266081</v>
      </c>
      <c r="H164" s="93">
        <v>21.1</v>
      </c>
      <c r="I164" s="91"/>
      <c r="J164" s="103"/>
      <c r="K164" s="103"/>
      <c r="L164" s="103"/>
      <c r="M164" s="103"/>
      <c r="N164" s="103"/>
      <c r="O164" s="103"/>
      <c r="P164" s="103"/>
      <c r="Q164" s="103"/>
      <c r="R164" s="103"/>
      <c r="S164" s="95">
        <f t="shared" si="2"/>
        <v>21.1</v>
      </c>
      <c r="T164" s="95">
        <f t="shared" si="59"/>
        <v>762</v>
      </c>
      <c r="U164" s="95">
        <f t="shared" si="51"/>
        <v>0</v>
      </c>
      <c r="V164" s="95">
        <f t="shared" si="58"/>
        <v>0</v>
      </c>
      <c r="W164" s="96">
        <f t="shared" si="55"/>
        <v>707.33083985039104</v>
      </c>
      <c r="X164" s="96">
        <f>V164/[1]Manure!$I$2</f>
        <v>0</v>
      </c>
      <c r="Y164" s="96">
        <f>W164/[1]Manure!$I$2</f>
        <v>504.44800607335981</v>
      </c>
      <c r="Z164" s="96"/>
      <c r="AA164" s="96"/>
      <c r="AB164" s="95"/>
      <c r="AC164" s="11"/>
    </row>
    <row r="165" spans="1:29" ht="15.75" thickBot="1" x14ac:dyDescent="0.3">
      <c r="A165" s="97">
        <v>45535</v>
      </c>
      <c r="B165" s="92">
        <v>0.41666666666666669</v>
      </c>
      <c r="C165" s="91"/>
      <c r="D165" s="91"/>
      <c r="E165" s="91" t="s">
        <v>60</v>
      </c>
      <c r="F165" s="91">
        <v>20</v>
      </c>
      <c r="G165" s="93">
        <v>266854</v>
      </c>
      <c r="H165" s="93">
        <v>21.4</v>
      </c>
      <c r="I165" s="91"/>
      <c r="J165" s="103"/>
      <c r="K165" s="103"/>
      <c r="L165" s="103"/>
      <c r="M165" s="103"/>
      <c r="N165" s="103"/>
      <c r="O165" s="103"/>
      <c r="P165" s="103"/>
      <c r="Q165" s="103"/>
      <c r="R165" s="103"/>
      <c r="S165" s="95">
        <f t="shared" si="2"/>
        <v>21.4</v>
      </c>
      <c r="T165" s="95">
        <f t="shared" si="59"/>
        <v>773</v>
      </c>
      <c r="U165" s="95">
        <f t="shared" si="52"/>
        <v>0</v>
      </c>
      <c r="V165" s="95">
        <f t="shared" si="58"/>
        <v>0</v>
      </c>
      <c r="W165" s="96">
        <f t="shared" si="55"/>
        <v>716.81046195652175</v>
      </c>
      <c r="X165" s="96">
        <f>V165/[1]Manure!$I$2</f>
        <v>0</v>
      </c>
      <c r="Y165" s="96">
        <f>W165/[1]Manure!$I$2</f>
        <v>511.2085998441305</v>
      </c>
      <c r="Z165" s="96"/>
      <c r="AA165" s="96"/>
      <c r="AB165" s="95"/>
      <c r="AC165" s="11"/>
    </row>
    <row r="166" spans="1:29" ht="15.75" thickBot="1" x14ac:dyDescent="0.3">
      <c r="A166" s="97">
        <v>45537</v>
      </c>
      <c r="B166" s="92">
        <v>0.41666666666666669</v>
      </c>
      <c r="C166" s="91"/>
      <c r="D166" s="91"/>
      <c r="E166" s="91" t="s">
        <v>60</v>
      </c>
      <c r="F166" s="91">
        <v>20</v>
      </c>
      <c r="G166" s="93">
        <v>268311</v>
      </c>
      <c r="H166" s="93">
        <v>18.100000000000001</v>
      </c>
      <c r="I166" s="91"/>
      <c r="J166" s="103"/>
      <c r="K166" s="103"/>
      <c r="L166" s="103"/>
      <c r="M166" s="103"/>
      <c r="N166" s="103"/>
      <c r="O166" s="103"/>
      <c r="P166" s="103"/>
      <c r="Q166" s="103"/>
      <c r="R166" s="103"/>
      <c r="S166" s="95">
        <f t="shared" si="2"/>
        <v>18.100000000000001</v>
      </c>
      <c r="T166" s="95">
        <f t="shared" si="59"/>
        <v>1457</v>
      </c>
      <c r="U166" s="95">
        <f t="shared" si="52"/>
        <v>0</v>
      </c>
      <c r="V166" s="95">
        <f t="shared" si="58"/>
        <v>0</v>
      </c>
      <c r="W166" s="96">
        <f t="shared" si="55"/>
        <v>1366.4067330814153</v>
      </c>
      <c r="X166" s="96">
        <f>V166/[1]Manure!$I$2</f>
        <v>0</v>
      </c>
      <c r="Y166" s="96">
        <f>W166/[1]Manure!$I$2</f>
        <v>974.48197244435812</v>
      </c>
      <c r="Z166" s="96"/>
      <c r="AA166" s="96"/>
      <c r="AB166" s="95"/>
      <c r="AC166" s="11"/>
    </row>
    <row r="167" spans="1:29" ht="15.75" thickBot="1" x14ac:dyDescent="0.3">
      <c r="A167" s="97">
        <v>45538</v>
      </c>
      <c r="B167" s="92">
        <v>0.41666666666666669</v>
      </c>
      <c r="C167" s="91"/>
      <c r="D167" s="91"/>
      <c r="E167" s="91" t="s">
        <v>60</v>
      </c>
      <c r="F167" s="91">
        <v>20</v>
      </c>
      <c r="G167" s="93">
        <v>269017</v>
      </c>
      <c r="H167" s="93">
        <v>18.5</v>
      </c>
      <c r="I167" s="91"/>
      <c r="J167" s="103"/>
      <c r="K167" s="103"/>
      <c r="L167" s="103"/>
      <c r="M167" s="103"/>
      <c r="N167" s="103"/>
      <c r="O167" s="103"/>
      <c r="P167" s="103"/>
      <c r="Q167" s="103"/>
      <c r="R167" s="103"/>
      <c r="S167" s="95">
        <f t="shared" si="2"/>
        <v>18.5</v>
      </c>
      <c r="T167" s="95">
        <f t="shared" si="59"/>
        <v>706</v>
      </c>
      <c r="U167" s="95">
        <f t="shared" si="53"/>
        <v>0</v>
      </c>
      <c r="V167" s="95">
        <f t="shared" si="58"/>
        <v>0</v>
      </c>
      <c r="W167" s="96">
        <f t="shared" si="55"/>
        <v>661.1938250428816</v>
      </c>
      <c r="X167" s="96">
        <f>V167/[1]Manure!$I$2</f>
        <v>0</v>
      </c>
      <c r="Y167" s="96">
        <f>W167/[1]Manure!$I$2</f>
        <v>471.54441440931203</v>
      </c>
      <c r="Z167" s="96"/>
      <c r="AA167" s="96"/>
      <c r="AB167" s="95"/>
      <c r="AC167" s="11"/>
    </row>
    <row r="168" spans="1:29" ht="15.75" thickBot="1" x14ac:dyDescent="0.3">
      <c r="A168" s="97">
        <v>45539</v>
      </c>
      <c r="B168" s="92">
        <v>0.41666666666666669</v>
      </c>
      <c r="C168" s="91"/>
      <c r="D168" s="91"/>
      <c r="E168" s="91" t="s">
        <v>60</v>
      </c>
      <c r="F168" s="91">
        <v>20</v>
      </c>
      <c r="G168" s="93">
        <v>269731</v>
      </c>
      <c r="H168" s="93">
        <v>16</v>
      </c>
      <c r="I168" s="91"/>
      <c r="J168" s="103"/>
      <c r="K168" s="103"/>
      <c r="L168" s="103"/>
      <c r="M168" s="103"/>
      <c r="N168" s="103"/>
      <c r="O168" s="103"/>
      <c r="P168" s="103"/>
      <c r="Q168" s="103"/>
      <c r="R168" s="103"/>
      <c r="S168" s="95">
        <f t="shared" si="2"/>
        <v>16</v>
      </c>
      <c r="T168" s="95">
        <f t="shared" si="59"/>
        <v>714</v>
      </c>
      <c r="U168" s="95">
        <f t="shared" si="54"/>
        <v>0</v>
      </c>
      <c r="V168" s="95">
        <f t="shared" si="58"/>
        <v>0</v>
      </c>
      <c r="W168" s="96">
        <f t="shared" si="55"/>
        <v>674.47058823529414</v>
      </c>
      <c r="X168" s="96">
        <f>V168/[1]Manure!$I$2</f>
        <v>0</v>
      </c>
      <c r="Y168" s="96">
        <f>W168/[1]Manure!$I$2</f>
        <v>481.01301996443993</v>
      </c>
      <c r="Z168" s="96"/>
      <c r="AA168" s="96"/>
      <c r="AB168" s="95"/>
      <c r="AC168" s="11"/>
    </row>
    <row r="169" spans="1:29" ht="15.75" thickBot="1" x14ac:dyDescent="0.3">
      <c r="A169" s="97">
        <v>45540</v>
      </c>
      <c r="B169" s="92">
        <v>0.41666666666666669</v>
      </c>
      <c r="C169" s="91"/>
      <c r="D169" s="91"/>
      <c r="E169" s="91" t="s">
        <v>60</v>
      </c>
      <c r="F169" s="91">
        <v>20</v>
      </c>
      <c r="G169" s="93">
        <v>270433</v>
      </c>
      <c r="H169" s="93">
        <v>19.5</v>
      </c>
      <c r="I169" s="91"/>
      <c r="J169" s="103"/>
      <c r="K169" s="103"/>
      <c r="L169" s="103"/>
      <c r="M169" s="103"/>
      <c r="N169" s="103"/>
      <c r="O169" s="103"/>
      <c r="P169" s="103"/>
      <c r="Q169" s="103"/>
      <c r="R169" s="103"/>
      <c r="S169" s="95">
        <f t="shared" si="2"/>
        <v>19.5</v>
      </c>
      <c r="T169" s="95">
        <f t="shared" si="59"/>
        <v>702</v>
      </c>
      <c r="U169" s="95">
        <f t="shared" si="54"/>
        <v>0</v>
      </c>
      <c r="V169" s="95">
        <f t="shared" si="58"/>
        <v>0</v>
      </c>
      <c r="W169" s="96">
        <f t="shared" si="55"/>
        <v>655.20000000000005</v>
      </c>
      <c r="X169" s="96">
        <f>V169/[1]Manure!$I$2</f>
        <v>0</v>
      </c>
      <c r="Y169" s="96">
        <f>W169/[1]Manure!$I$2</f>
        <v>467.26979082259879</v>
      </c>
      <c r="Z169" s="96"/>
      <c r="AA169" s="96"/>
      <c r="AB169" s="95"/>
      <c r="AC169" s="11"/>
    </row>
    <row r="170" spans="1:29" ht="15.75" thickBot="1" x14ac:dyDescent="0.3">
      <c r="A170" s="97">
        <v>45541</v>
      </c>
      <c r="B170" s="92">
        <v>0.41666666666666669</v>
      </c>
      <c r="C170" s="91"/>
      <c r="D170" s="91"/>
      <c r="E170" s="91" t="s">
        <v>60</v>
      </c>
      <c r="F170" s="91">
        <v>20</v>
      </c>
      <c r="G170" s="93">
        <v>271192</v>
      </c>
      <c r="H170" s="93">
        <v>20.399999999999999</v>
      </c>
      <c r="I170" s="91"/>
      <c r="J170" s="103"/>
      <c r="K170" s="103"/>
      <c r="L170" s="103"/>
      <c r="M170" s="103"/>
      <c r="N170" s="103"/>
      <c r="O170" s="103"/>
      <c r="P170" s="103"/>
      <c r="Q170" s="103"/>
      <c r="R170" s="103"/>
      <c r="S170" s="95">
        <f t="shared" si="2"/>
        <v>20.399999999999999</v>
      </c>
      <c r="T170" s="95">
        <f t="shared" si="59"/>
        <v>759</v>
      </c>
      <c r="U170" s="95">
        <f t="shared" ref="U170" si="62">T170*(I170/100)</f>
        <v>0</v>
      </c>
      <c r="V170" s="95">
        <f t="shared" si="58"/>
        <v>0</v>
      </c>
      <c r="W170" s="96">
        <f t="shared" si="55"/>
        <v>706.22699386503075</v>
      </c>
      <c r="X170" s="96">
        <f>V170/[1]Manure!$I$2</f>
        <v>0</v>
      </c>
      <c r="Y170" s="96">
        <f>W170/[1]Manure!$I$2</f>
        <v>503.66077487268876</v>
      </c>
      <c r="Z170" s="96"/>
      <c r="AA170" s="96"/>
      <c r="AB170" s="95"/>
      <c r="AC170" s="11"/>
    </row>
    <row r="171" spans="1:29" ht="15.75" thickBot="1" x14ac:dyDescent="0.3">
      <c r="A171" s="97">
        <v>45542</v>
      </c>
      <c r="B171" s="92">
        <v>0.41666666666666669</v>
      </c>
      <c r="C171" s="91"/>
      <c r="D171" s="91"/>
      <c r="E171" s="91" t="s">
        <v>60</v>
      </c>
      <c r="F171" s="91">
        <v>20</v>
      </c>
      <c r="G171" s="93">
        <v>271936</v>
      </c>
      <c r="H171" s="93">
        <v>23.6</v>
      </c>
      <c r="I171" s="91"/>
      <c r="J171" s="103"/>
      <c r="K171" s="103"/>
      <c r="L171" s="103"/>
      <c r="M171" s="103"/>
      <c r="N171" s="103"/>
      <c r="O171" s="103"/>
      <c r="P171" s="103"/>
      <c r="Q171" s="103"/>
      <c r="R171" s="103"/>
      <c r="S171" s="95">
        <f t="shared" si="2"/>
        <v>23.6</v>
      </c>
      <c r="T171" s="95">
        <f t="shared" si="59"/>
        <v>744</v>
      </c>
      <c r="U171" s="95">
        <f t="shared" ref="U171:U172" si="63">T171*(P171/100)</f>
        <v>0</v>
      </c>
      <c r="V171" s="95">
        <f t="shared" si="58"/>
        <v>0</v>
      </c>
      <c r="W171" s="96">
        <f t="shared" si="55"/>
        <v>684.80107889413352</v>
      </c>
      <c r="X171" s="96">
        <f>V171/[1]Manure!$I$2</f>
        <v>0</v>
      </c>
      <c r="Y171" s="96">
        <f>W171/[1]Manure!$I$2</f>
        <v>488.38042870871755</v>
      </c>
      <c r="Z171" s="96"/>
      <c r="AA171" s="96"/>
      <c r="AB171" s="95"/>
      <c r="AC171" s="11"/>
    </row>
    <row r="172" spans="1:29" ht="15.75" thickBot="1" x14ac:dyDescent="0.3">
      <c r="A172" s="97">
        <v>45543</v>
      </c>
      <c r="B172" s="92">
        <v>0.41666666666666669</v>
      </c>
      <c r="C172" s="91"/>
      <c r="D172" s="91"/>
      <c r="E172" s="91" t="s">
        <v>60</v>
      </c>
      <c r="F172" s="91">
        <v>20</v>
      </c>
      <c r="G172" s="91"/>
      <c r="H172" s="91"/>
      <c r="I172" s="91"/>
      <c r="J172" s="103"/>
      <c r="K172" s="103"/>
      <c r="L172" s="103"/>
      <c r="M172" s="103"/>
      <c r="N172" s="103"/>
      <c r="O172" s="103"/>
      <c r="P172" s="103"/>
      <c r="Q172" s="103"/>
      <c r="R172" s="103"/>
      <c r="S172" s="95">
        <f t="shared" si="2"/>
        <v>0</v>
      </c>
      <c r="T172" s="95">
        <f t="shared" si="59"/>
        <v>-271936</v>
      </c>
      <c r="U172" s="95">
        <f t="shared" si="63"/>
        <v>0</v>
      </c>
      <c r="V172" s="95">
        <f t="shared" si="58"/>
        <v>0</v>
      </c>
      <c r="W172" s="96">
        <f t="shared" si="55"/>
        <v>-271936</v>
      </c>
      <c r="X172" s="96">
        <f>V172/[1]Manure!$I$2</f>
        <v>0</v>
      </c>
      <c r="Y172" s="96">
        <f>W172/[1]Manure!$I$2</f>
        <v>-193936.9319858581</v>
      </c>
      <c r="Z172" s="96"/>
      <c r="AA172" s="96"/>
      <c r="AB172" s="95"/>
      <c r="AC172" s="11"/>
    </row>
    <row r="173" spans="1:29" ht="15.75" thickBot="1" x14ac:dyDescent="0.3">
      <c r="A173" s="97">
        <v>45544</v>
      </c>
      <c r="B173" s="92">
        <v>0.41666666666666669</v>
      </c>
      <c r="C173" s="91"/>
      <c r="D173" s="91"/>
      <c r="E173" s="91" t="s">
        <v>60</v>
      </c>
      <c r="F173" s="91">
        <v>20</v>
      </c>
      <c r="G173" s="91"/>
      <c r="H173" s="91"/>
      <c r="I173" s="91"/>
      <c r="J173" s="103"/>
      <c r="K173" s="103"/>
      <c r="L173" s="103"/>
      <c r="M173" s="103"/>
      <c r="N173" s="103"/>
      <c r="O173" s="103"/>
      <c r="P173" s="103"/>
      <c r="Q173" s="103"/>
      <c r="R173" s="103"/>
      <c r="S173" s="95">
        <f t="shared" si="2"/>
        <v>0</v>
      </c>
      <c r="T173" s="95">
        <f t="shared" si="59"/>
        <v>0</v>
      </c>
      <c r="U173" s="95">
        <f t="shared" ref="U173:U221" si="64">T173*(I173/100)</f>
        <v>0</v>
      </c>
      <c r="V173" s="95">
        <f t="shared" si="58"/>
        <v>0</v>
      </c>
      <c r="W173" s="96">
        <f t="shared" si="55"/>
        <v>0</v>
      </c>
      <c r="X173" s="96">
        <f>V173/[1]Manure!$I$2</f>
        <v>0</v>
      </c>
      <c r="Y173" s="96">
        <f>W173/[1]Manure!$I$2</f>
        <v>0</v>
      </c>
      <c r="Z173" s="96"/>
      <c r="AA173" s="96"/>
      <c r="AB173" s="95"/>
      <c r="AC173" s="11"/>
    </row>
    <row r="174" spans="1:29" ht="15.75" thickBot="1" x14ac:dyDescent="0.3">
      <c r="A174" s="97">
        <v>45545</v>
      </c>
      <c r="B174" s="92">
        <v>0.41666666666666669</v>
      </c>
      <c r="C174" s="91"/>
      <c r="D174" s="91"/>
      <c r="E174" s="91" t="s">
        <v>60</v>
      </c>
      <c r="F174" s="91">
        <v>20</v>
      </c>
      <c r="G174" s="91"/>
      <c r="H174" s="91"/>
      <c r="I174" s="91"/>
      <c r="J174" s="103"/>
      <c r="K174" s="103"/>
      <c r="L174" s="103"/>
      <c r="M174" s="103"/>
      <c r="N174" s="103"/>
      <c r="O174" s="103"/>
      <c r="P174" s="103"/>
      <c r="Q174" s="103"/>
      <c r="R174" s="103"/>
      <c r="S174" s="95">
        <f t="shared" si="2"/>
        <v>0</v>
      </c>
      <c r="T174" s="95">
        <f t="shared" si="59"/>
        <v>0</v>
      </c>
      <c r="U174" s="95">
        <f t="shared" ref="U174:U223" si="65">T174*(P174/100)</f>
        <v>0</v>
      </c>
      <c r="V174" s="95">
        <f t="shared" si="58"/>
        <v>0</v>
      </c>
      <c r="W174" s="96">
        <f t="shared" si="55"/>
        <v>0</v>
      </c>
      <c r="X174" s="96">
        <f>V174/[1]Manure!$I$2</f>
        <v>0</v>
      </c>
      <c r="Y174" s="96">
        <f>W174/[1]Manure!$I$2</f>
        <v>0</v>
      </c>
      <c r="Z174" s="96"/>
      <c r="AA174" s="96"/>
      <c r="AB174" s="95"/>
      <c r="AC174" s="11"/>
    </row>
    <row r="175" spans="1:29" ht="15.75" thickBot="1" x14ac:dyDescent="0.3">
      <c r="A175" s="97">
        <v>45546</v>
      </c>
      <c r="B175" s="92">
        <v>0.41666666666666669</v>
      </c>
      <c r="C175" s="91"/>
      <c r="D175" s="91"/>
      <c r="E175" s="91" t="s">
        <v>60</v>
      </c>
      <c r="F175" s="91">
        <v>20</v>
      </c>
      <c r="G175" s="91"/>
      <c r="H175" s="91"/>
      <c r="I175" s="91"/>
      <c r="J175" s="103"/>
      <c r="K175" s="103"/>
      <c r="L175" s="103"/>
      <c r="M175" s="103"/>
      <c r="N175" s="103"/>
      <c r="O175" s="103"/>
      <c r="P175" s="103"/>
      <c r="Q175" s="103"/>
      <c r="R175" s="103"/>
      <c r="S175" s="95">
        <f t="shared" si="2"/>
        <v>0</v>
      </c>
      <c r="T175" s="95">
        <f t="shared" si="59"/>
        <v>0</v>
      </c>
      <c r="U175" s="95">
        <f t="shared" si="65"/>
        <v>0</v>
      </c>
      <c r="V175" s="95">
        <f t="shared" si="58"/>
        <v>0</v>
      </c>
      <c r="W175" s="96">
        <f t="shared" si="55"/>
        <v>0</v>
      </c>
      <c r="X175" s="96">
        <f>V175/[1]Manure!$I$2</f>
        <v>0</v>
      </c>
      <c r="Y175" s="96">
        <f>W175/[1]Manure!$I$2</f>
        <v>0</v>
      </c>
      <c r="Z175" s="96"/>
      <c r="AA175" s="96"/>
      <c r="AB175" s="95"/>
      <c r="AC175" s="11"/>
    </row>
    <row r="176" spans="1:29" ht="15.75" thickBot="1" x14ac:dyDescent="0.3">
      <c r="A176" s="97">
        <v>45547</v>
      </c>
      <c r="B176" s="92">
        <v>0.41666666666666669</v>
      </c>
      <c r="C176" s="91"/>
      <c r="D176" s="91"/>
      <c r="E176" s="91" t="s">
        <v>60</v>
      </c>
      <c r="F176" s="91">
        <v>20</v>
      </c>
      <c r="G176" s="91"/>
      <c r="H176" s="91"/>
      <c r="I176" s="91"/>
      <c r="J176" s="103"/>
      <c r="K176" s="103"/>
      <c r="L176" s="103"/>
      <c r="M176" s="103"/>
      <c r="N176" s="103"/>
      <c r="O176" s="103"/>
      <c r="P176" s="103"/>
      <c r="Q176" s="103"/>
      <c r="R176" s="103"/>
      <c r="S176" s="95">
        <f t="shared" si="2"/>
        <v>0</v>
      </c>
      <c r="T176" s="95">
        <f t="shared" si="59"/>
        <v>0</v>
      </c>
      <c r="U176" s="95">
        <f t="shared" ref="U176:U224" si="66">T176*(I176/100)</f>
        <v>0</v>
      </c>
      <c r="V176" s="95">
        <f t="shared" si="58"/>
        <v>0</v>
      </c>
      <c r="W176" s="96">
        <f t="shared" si="55"/>
        <v>0</v>
      </c>
      <c r="X176" s="96">
        <f>V176/[1]Manure!$I$2</f>
        <v>0</v>
      </c>
      <c r="Y176" s="96">
        <f>W176/[1]Manure!$I$2</f>
        <v>0</v>
      </c>
      <c r="Z176" s="96"/>
      <c r="AA176" s="96"/>
      <c r="AB176" s="95"/>
      <c r="AC176" s="11"/>
    </row>
    <row r="177" spans="1:29" ht="15.75" thickBot="1" x14ac:dyDescent="0.3">
      <c r="A177" s="97">
        <v>45548</v>
      </c>
      <c r="B177" s="92">
        <v>0.41666666666666669</v>
      </c>
      <c r="C177" s="91"/>
      <c r="D177" s="91"/>
      <c r="E177" s="91" t="s">
        <v>60</v>
      </c>
      <c r="F177" s="91">
        <v>20</v>
      </c>
      <c r="G177" s="91"/>
      <c r="H177" s="91">
        <v>28.5</v>
      </c>
      <c r="I177" s="91"/>
      <c r="J177" s="103"/>
      <c r="K177" s="103"/>
      <c r="L177" s="103"/>
      <c r="M177" s="103"/>
      <c r="N177" s="103"/>
      <c r="O177" s="103"/>
      <c r="P177" s="103"/>
      <c r="Q177" s="103"/>
      <c r="R177" s="103"/>
      <c r="S177" s="95">
        <f t="shared" si="2"/>
        <v>28.5</v>
      </c>
      <c r="T177" s="95">
        <f t="shared" si="59"/>
        <v>0</v>
      </c>
      <c r="U177" s="95">
        <f t="shared" ref="U177:U226" si="67">T177*(P177/100)</f>
        <v>0</v>
      </c>
      <c r="V177" s="95">
        <f t="shared" si="58"/>
        <v>0</v>
      </c>
      <c r="W177" s="96">
        <f t="shared" si="55"/>
        <v>0</v>
      </c>
      <c r="X177" s="96">
        <f>V177/[1]Manure!$I$2</f>
        <v>0</v>
      </c>
      <c r="Y177" s="96">
        <f>W177/[1]Manure!$I$2</f>
        <v>0</v>
      </c>
      <c r="Z177" s="96"/>
      <c r="AA177" s="96"/>
      <c r="AB177" s="95"/>
      <c r="AC177" s="11"/>
    </row>
    <row r="178" spans="1:29" ht="15.75" thickBot="1" x14ac:dyDescent="0.3">
      <c r="A178" s="97">
        <v>45549</v>
      </c>
      <c r="B178" s="92">
        <v>0.41666666666666669</v>
      </c>
      <c r="C178" s="91"/>
      <c r="D178" s="91"/>
      <c r="E178" s="91" t="s">
        <v>60</v>
      </c>
      <c r="F178" s="91">
        <v>20</v>
      </c>
      <c r="G178" s="91">
        <v>276531</v>
      </c>
      <c r="H178" s="91">
        <v>29.2</v>
      </c>
      <c r="I178" s="91"/>
      <c r="J178" s="103"/>
      <c r="K178" s="103"/>
      <c r="L178" s="103"/>
      <c r="M178" s="103"/>
      <c r="N178" s="103"/>
      <c r="O178" s="103"/>
      <c r="P178" s="103"/>
      <c r="Q178" s="103"/>
      <c r="R178" s="103"/>
      <c r="S178" s="95">
        <f t="shared" si="2"/>
        <v>29.2</v>
      </c>
      <c r="T178" s="95">
        <f t="shared" si="59"/>
        <v>276531</v>
      </c>
      <c r="U178" s="95">
        <f t="shared" si="67"/>
        <v>0</v>
      </c>
      <c r="V178" s="95">
        <f t="shared" si="58"/>
        <v>0</v>
      </c>
      <c r="W178" s="96">
        <f t="shared" si="55"/>
        <v>249811.26075446725</v>
      </c>
      <c r="X178" s="96">
        <f>V178/[1]Manure!$I$2</f>
        <v>0</v>
      </c>
      <c r="Y178" s="96">
        <f>W178/[1]Manure!$I$2</f>
        <v>178158.20445340293</v>
      </c>
      <c r="Z178" s="96"/>
      <c r="AA178" s="96"/>
      <c r="AB178" s="95"/>
      <c r="AC178" s="11"/>
    </row>
    <row r="179" spans="1:29" ht="15.75" thickBot="1" x14ac:dyDescent="0.3">
      <c r="A179" s="97">
        <v>45551</v>
      </c>
      <c r="B179" s="92">
        <v>0.41666666666666669</v>
      </c>
      <c r="C179" s="91"/>
      <c r="D179" s="91"/>
      <c r="E179" s="91" t="s">
        <v>60</v>
      </c>
      <c r="F179" s="91">
        <v>20</v>
      </c>
      <c r="G179" s="91">
        <v>277981</v>
      </c>
      <c r="H179" s="91">
        <v>27.8</v>
      </c>
      <c r="I179" s="91"/>
      <c r="J179" s="103"/>
      <c r="K179" s="103"/>
      <c r="L179" s="103"/>
      <c r="M179" s="103"/>
      <c r="N179" s="103"/>
      <c r="O179" s="103"/>
      <c r="P179" s="103"/>
      <c r="Q179" s="103"/>
      <c r="R179" s="103"/>
      <c r="S179" s="95">
        <f t="shared" si="2"/>
        <v>27.8</v>
      </c>
      <c r="T179" s="95">
        <f t="shared" si="59"/>
        <v>1450</v>
      </c>
      <c r="U179" s="95">
        <f t="shared" ref="U179:U227" si="68">T179*(I179/100)</f>
        <v>0</v>
      </c>
      <c r="V179" s="95">
        <f t="shared" si="58"/>
        <v>0</v>
      </c>
      <c r="W179" s="96">
        <f t="shared" si="55"/>
        <v>1315.9906914893618</v>
      </c>
      <c r="X179" s="96">
        <f>V179/[1]Manure!$I$2</f>
        <v>0</v>
      </c>
      <c r="Y179" s="96">
        <f>W179/[1]Manure!$I$2</f>
        <v>938.52670197912266</v>
      </c>
      <c r="Z179" s="96"/>
      <c r="AA179" s="96"/>
      <c r="AB179" s="95"/>
      <c r="AC179" s="11"/>
    </row>
    <row r="180" spans="1:29" ht="15.75" thickBot="1" x14ac:dyDescent="0.3">
      <c r="A180" s="97">
        <v>45552</v>
      </c>
      <c r="B180" s="92">
        <v>0.41666666666666669</v>
      </c>
      <c r="C180" s="91"/>
      <c r="D180" s="91"/>
      <c r="E180" s="91" t="s">
        <v>60</v>
      </c>
      <c r="F180" s="91">
        <v>20</v>
      </c>
      <c r="G180" s="91">
        <v>278828</v>
      </c>
      <c r="H180" s="91">
        <v>19.3</v>
      </c>
      <c r="I180" s="91"/>
      <c r="J180" s="103"/>
      <c r="K180" s="103"/>
      <c r="L180" s="103"/>
      <c r="M180" s="103"/>
      <c r="N180" s="103"/>
      <c r="O180" s="103"/>
      <c r="P180" s="103"/>
      <c r="Q180" s="103"/>
      <c r="R180" s="103"/>
      <c r="S180" s="95">
        <f t="shared" si="2"/>
        <v>19.3</v>
      </c>
      <c r="T180" s="95">
        <f t="shared" si="59"/>
        <v>847</v>
      </c>
      <c r="U180" s="95">
        <f t="shared" ref="U180:U229" si="69">T180*(P180/100)</f>
        <v>0</v>
      </c>
      <c r="V180" s="95">
        <f t="shared" si="58"/>
        <v>0</v>
      </c>
      <c r="W180" s="96">
        <f t="shared" si="55"/>
        <v>791.07423879575776</v>
      </c>
      <c r="X180" s="96">
        <f>V180/[1]Manure!$I$2</f>
        <v>0</v>
      </c>
      <c r="Y180" s="96">
        <f>W180/[1]Manure!$I$2</f>
        <v>564.17138902203953</v>
      </c>
      <c r="Z180" s="96"/>
      <c r="AA180" s="96"/>
      <c r="AB180" s="95"/>
      <c r="AC180" s="11"/>
    </row>
    <row r="181" spans="1:29" ht="15.75" thickBot="1" x14ac:dyDescent="0.3">
      <c r="A181" s="97">
        <v>45553</v>
      </c>
      <c r="B181" s="92">
        <v>0.41666666666666669</v>
      </c>
      <c r="C181" s="91"/>
      <c r="D181" s="91"/>
      <c r="E181" s="91" t="s">
        <v>60</v>
      </c>
      <c r="F181" s="91">
        <v>20</v>
      </c>
      <c r="G181" s="91">
        <v>279555</v>
      </c>
      <c r="H181" s="91">
        <v>26.2</v>
      </c>
      <c r="I181" s="91"/>
      <c r="J181" s="103"/>
      <c r="K181" s="103"/>
      <c r="L181" s="103"/>
      <c r="M181" s="103"/>
      <c r="N181" s="103"/>
      <c r="O181" s="103"/>
      <c r="P181" s="103"/>
      <c r="Q181" s="103"/>
      <c r="R181" s="103"/>
      <c r="S181" s="95">
        <f t="shared" si="2"/>
        <v>26.2</v>
      </c>
      <c r="T181" s="95">
        <f t="shared" si="59"/>
        <v>727</v>
      </c>
      <c r="U181" s="95">
        <f t="shared" si="69"/>
        <v>0</v>
      </c>
      <c r="V181" s="95">
        <f t="shared" si="58"/>
        <v>0</v>
      </c>
      <c r="W181" s="96">
        <f t="shared" si="55"/>
        <v>663.33890374331554</v>
      </c>
      <c r="X181" s="96">
        <f>V181/[1]Manure!$I$2</f>
        <v>0</v>
      </c>
      <c r="Y181" s="96">
        <f>W181/[1]Manure!$I$2</f>
        <v>473.07422282758091</v>
      </c>
      <c r="Z181" s="96"/>
      <c r="AA181" s="96"/>
      <c r="AB181" s="95"/>
      <c r="AC181" s="11"/>
    </row>
    <row r="182" spans="1:29" ht="15.75" thickBot="1" x14ac:dyDescent="0.3">
      <c r="A182" s="97">
        <v>45554</v>
      </c>
      <c r="B182" s="92">
        <v>0.41666666666666669</v>
      </c>
      <c r="C182" s="91"/>
      <c r="D182" s="91"/>
      <c r="E182" s="91" t="s">
        <v>60</v>
      </c>
      <c r="F182" s="91">
        <v>20</v>
      </c>
      <c r="G182" s="91">
        <v>280240</v>
      </c>
      <c r="H182" s="91">
        <v>24.1</v>
      </c>
      <c r="I182" s="91"/>
      <c r="J182" s="103"/>
      <c r="K182" s="103"/>
      <c r="L182" s="103"/>
      <c r="M182" s="103"/>
      <c r="N182" s="103"/>
      <c r="O182" s="103"/>
      <c r="P182" s="103"/>
      <c r="Q182" s="103"/>
      <c r="R182" s="103"/>
      <c r="S182" s="95">
        <f t="shared" si="2"/>
        <v>24.1</v>
      </c>
      <c r="T182" s="95">
        <f t="shared" si="59"/>
        <v>685</v>
      </c>
      <c r="U182" s="95">
        <f t="shared" ref="U182:U230" si="70">T182*(I182/100)</f>
        <v>0</v>
      </c>
      <c r="V182" s="95">
        <f t="shared" si="58"/>
        <v>0</v>
      </c>
      <c r="W182" s="96">
        <f t="shared" si="55"/>
        <v>629.43453382699431</v>
      </c>
      <c r="X182" s="96">
        <f>V182/[1]Manure!$I$2</f>
        <v>0</v>
      </c>
      <c r="Y182" s="96">
        <f>W182/[1]Manure!$I$2</f>
        <v>448.89460158403477</v>
      </c>
      <c r="Z182" s="96"/>
      <c r="AA182" s="96"/>
      <c r="AB182" s="95"/>
      <c r="AC182" s="11"/>
    </row>
    <row r="183" spans="1:29" ht="15.75" thickBot="1" x14ac:dyDescent="0.3">
      <c r="A183" s="97">
        <v>45555</v>
      </c>
      <c r="B183" s="92">
        <v>0.41666666666666669</v>
      </c>
      <c r="C183" s="91"/>
      <c r="D183" s="91"/>
      <c r="E183" s="91" t="s">
        <v>60</v>
      </c>
      <c r="F183" s="91">
        <v>20</v>
      </c>
      <c r="G183" s="91">
        <v>281014</v>
      </c>
      <c r="H183" s="91">
        <v>27.4</v>
      </c>
      <c r="I183" s="91"/>
      <c r="J183" s="103"/>
      <c r="K183" s="103"/>
      <c r="L183" s="103"/>
      <c r="M183" s="103"/>
      <c r="N183" s="103"/>
      <c r="O183" s="103"/>
      <c r="P183" s="103"/>
      <c r="Q183" s="103"/>
      <c r="R183" s="103"/>
      <c r="S183" s="95">
        <f t="shared" si="2"/>
        <v>27.4</v>
      </c>
      <c r="T183" s="95">
        <f t="shared" si="59"/>
        <v>774</v>
      </c>
      <c r="U183" s="95">
        <f t="shared" ref="U183:U232" si="71">T183*(P183/100)</f>
        <v>0</v>
      </c>
      <c r="V183" s="95">
        <f t="shared" si="58"/>
        <v>0</v>
      </c>
      <c r="W183" s="96">
        <f t="shared" si="55"/>
        <v>703.40213049267652</v>
      </c>
      <c r="X183" s="96">
        <f>V183/[1]Manure!$I$2</f>
        <v>0</v>
      </c>
      <c r="Y183" s="96">
        <f>W183/[1]Manure!$I$2</f>
        <v>501.64616358284997</v>
      </c>
      <c r="Z183" s="96"/>
      <c r="AA183" s="96"/>
      <c r="AB183" s="95"/>
      <c r="AC183" s="11"/>
    </row>
    <row r="184" spans="1:29" ht="15.75" thickBot="1" x14ac:dyDescent="0.3">
      <c r="A184" s="97">
        <v>45556</v>
      </c>
      <c r="B184" s="92">
        <v>0.41666666666666669</v>
      </c>
      <c r="C184" s="91"/>
      <c r="D184" s="91"/>
      <c r="E184" s="91" t="s">
        <v>60</v>
      </c>
      <c r="F184" s="91">
        <v>20</v>
      </c>
      <c r="G184" s="91">
        <v>281720</v>
      </c>
      <c r="H184" s="91">
        <v>24.1</v>
      </c>
      <c r="I184" s="91"/>
      <c r="J184" s="103"/>
      <c r="K184" s="103"/>
      <c r="L184" s="103"/>
      <c r="M184" s="103"/>
      <c r="N184" s="103"/>
      <c r="O184" s="103"/>
      <c r="P184" s="103"/>
      <c r="Q184" s="103"/>
      <c r="R184" s="103"/>
      <c r="S184" s="95">
        <f t="shared" si="2"/>
        <v>24.1</v>
      </c>
      <c r="T184" s="95">
        <f t="shared" si="59"/>
        <v>706</v>
      </c>
      <c r="U184" s="95">
        <f t="shared" si="71"/>
        <v>0</v>
      </c>
      <c r="V184" s="95">
        <f t="shared" si="58"/>
        <v>0</v>
      </c>
      <c r="W184" s="96">
        <f t="shared" ref="W184:W247" si="72">T184*(273/(273+S184))</f>
        <v>648.73106698081449</v>
      </c>
      <c r="X184" s="96">
        <f>V184/[1]Manure!$I$2</f>
        <v>0</v>
      </c>
      <c r="Y184" s="96">
        <f>W184/[1]Manure!$I$2</f>
        <v>462.6563338953701</v>
      </c>
      <c r="Z184" s="96"/>
      <c r="AA184" s="96"/>
      <c r="AB184" s="95"/>
      <c r="AC184" s="11"/>
    </row>
    <row r="185" spans="1:29" ht="15.75" thickBot="1" x14ac:dyDescent="0.3">
      <c r="A185" s="97">
        <v>45558</v>
      </c>
      <c r="B185" s="92">
        <v>0.41666666666666669</v>
      </c>
      <c r="C185" s="91"/>
      <c r="D185" s="91"/>
      <c r="E185" s="91" t="s">
        <v>60</v>
      </c>
      <c r="F185" s="91">
        <v>20</v>
      </c>
      <c r="G185" s="91">
        <v>28346</v>
      </c>
      <c r="H185" s="91">
        <v>23.5</v>
      </c>
      <c r="I185" s="91"/>
      <c r="J185" s="103"/>
      <c r="K185" s="103"/>
      <c r="L185" s="103"/>
      <c r="M185" s="103"/>
      <c r="N185" s="103"/>
      <c r="O185" s="103"/>
      <c r="P185" s="103"/>
      <c r="Q185" s="103"/>
      <c r="R185" s="103"/>
      <c r="S185" s="95">
        <f t="shared" si="2"/>
        <v>23.5</v>
      </c>
      <c r="T185" s="95">
        <f t="shared" si="59"/>
        <v>-253374</v>
      </c>
      <c r="U185" s="95">
        <f t="shared" ref="U185:U233" si="73">T185*(I185/100)</f>
        <v>0</v>
      </c>
      <c r="V185" s="95">
        <f t="shared" si="58"/>
        <v>0</v>
      </c>
      <c r="W185" s="96">
        <f t="shared" si="72"/>
        <v>-233292.08094435075</v>
      </c>
      <c r="X185" s="96">
        <f>V185/[1]Manure!$I$2</f>
        <v>0</v>
      </c>
      <c r="Y185" s="96">
        <f>W185/[1]Manure!$I$2</f>
        <v>-166377.20064626916</v>
      </c>
      <c r="Z185" s="96"/>
      <c r="AA185" s="96"/>
      <c r="AB185" s="95"/>
      <c r="AC185" s="11"/>
    </row>
    <row r="186" spans="1:29" ht="15.75" thickBot="1" x14ac:dyDescent="0.3">
      <c r="A186" s="97">
        <v>45559</v>
      </c>
      <c r="B186" s="92">
        <v>0.41666666666666669</v>
      </c>
      <c r="C186" s="91"/>
      <c r="D186" s="91"/>
      <c r="E186" s="91" t="s">
        <v>60</v>
      </c>
      <c r="F186" s="91">
        <v>20</v>
      </c>
      <c r="G186" s="91">
        <v>283971</v>
      </c>
      <c r="H186" s="91">
        <v>21.4</v>
      </c>
      <c r="I186" s="91"/>
      <c r="J186" s="103"/>
      <c r="K186" s="103"/>
      <c r="L186" s="103"/>
      <c r="M186" s="103"/>
      <c r="N186" s="103"/>
      <c r="O186" s="103"/>
      <c r="P186" s="103"/>
      <c r="Q186" s="103"/>
      <c r="R186" s="103"/>
      <c r="S186" s="95">
        <f t="shared" si="2"/>
        <v>21.4</v>
      </c>
      <c r="T186" s="95">
        <f t="shared" si="59"/>
        <v>255625</v>
      </c>
      <c r="U186" s="95">
        <f t="shared" ref="U186:U235" si="74">T186*(P186/100)</f>
        <v>0</v>
      </c>
      <c r="V186" s="95">
        <f t="shared" si="58"/>
        <v>0</v>
      </c>
      <c r="W186" s="96">
        <f t="shared" si="72"/>
        <v>237043.56317934784</v>
      </c>
      <c r="X186" s="96">
        <f>V186/[1]Manure!$I$2</f>
        <v>0</v>
      </c>
      <c r="Y186" s="96">
        <f>W186/[1]Manure!$I$2</f>
        <v>169052.64985143061</v>
      </c>
      <c r="Z186" s="96"/>
      <c r="AA186" s="96"/>
      <c r="AB186" s="95"/>
      <c r="AC186" s="11"/>
    </row>
    <row r="187" spans="1:29" ht="15.75" thickBot="1" x14ac:dyDescent="0.3">
      <c r="A187" s="97">
        <v>45560</v>
      </c>
      <c r="B187" s="92">
        <v>0.41666666666666669</v>
      </c>
      <c r="C187" s="91"/>
      <c r="D187" s="91"/>
      <c r="E187" s="91" t="s">
        <v>60</v>
      </c>
      <c r="F187" s="91">
        <v>20</v>
      </c>
      <c r="G187" s="91">
        <v>284672</v>
      </c>
      <c r="H187" s="91">
        <v>19.600000000000001</v>
      </c>
      <c r="I187" s="91"/>
      <c r="J187" s="103"/>
      <c r="K187" s="103"/>
      <c r="L187" s="103"/>
      <c r="M187" s="103"/>
      <c r="N187" s="103"/>
      <c r="O187" s="103"/>
      <c r="P187" s="103"/>
      <c r="Q187" s="103"/>
      <c r="R187" s="103"/>
      <c r="S187" s="95">
        <f t="shared" si="2"/>
        <v>19.600000000000001</v>
      </c>
      <c r="T187" s="95">
        <f t="shared" si="59"/>
        <v>701</v>
      </c>
      <c r="U187" s="95">
        <f t="shared" si="74"/>
        <v>0</v>
      </c>
      <c r="V187" s="95">
        <f t="shared" si="58"/>
        <v>0</v>
      </c>
      <c r="W187" s="96">
        <f t="shared" si="72"/>
        <v>654.0430622009568</v>
      </c>
      <c r="X187" s="96">
        <f>V187/[1]Manure!$I$2</f>
        <v>0</v>
      </c>
      <c r="Y187" s="96">
        <f>W187/[1]Manure!$I$2</f>
        <v>466.44469606778546</v>
      </c>
      <c r="Z187" s="96"/>
      <c r="AA187" s="96"/>
      <c r="AB187" s="95"/>
      <c r="AC187" s="11"/>
    </row>
    <row r="188" spans="1:29" ht="15.75" thickBot="1" x14ac:dyDescent="0.3">
      <c r="A188" s="97">
        <v>45561</v>
      </c>
      <c r="B188" s="92">
        <v>0.41666666666666669</v>
      </c>
      <c r="C188" s="91"/>
      <c r="D188" s="91"/>
      <c r="E188" s="91" t="s">
        <v>60</v>
      </c>
      <c r="F188" s="91">
        <v>20</v>
      </c>
      <c r="G188" s="91">
        <v>285397</v>
      </c>
      <c r="H188" s="91">
        <v>25.4</v>
      </c>
      <c r="I188" s="91"/>
      <c r="J188" s="103"/>
      <c r="K188" s="103"/>
      <c r="L188" s="103"/>
      <c r="M188" s="103"/>
      <c r="N188" s="103"/>
      <c r="O188" s="103"/>
      <c r="P188" s="103"/>
      <c r="Q188" s="103"/>
      <c r="R188" s="103"/>
      <c r="S188" s="95">
        <f t="shared" si="2"/>
        <v>25.4</v>
      </c>
      <c r="T188" s="95">
        <f t="shared" si="59"/>
        <v>725</v>
      </c>
      <c r="U188" s="95">
        <f t="shared" ref="U188:U236" si="75">T188*(I188/100)</f>
        <v>0</v>
      </c>
      <c r="V188" s="95">
        <f t="shared" si="58"/>
        <v>0</v>
      </c>
      <c r="W188" s="96">
        <f t="shared" si="72"/>
        <v>663.28753351206444</v>
      </c>
      <c r="X188" s="96">
        <f>V188/[1]Manure!$I$2</f>
        <v>0</v>
      </c>
      <c r="Y188" s="96">
        <f>W188/[1]Manure!$I$2</f>
        <v>473.03758705650154</v>
      </c>
      <c r="Z188" s="96"/>
      <c r="AA188" s="96"/>
      <c r="AB188" s="95"/>
      <c r="AC188" s="11"/>
    </row>
    <row r="189" spans="1:29" ht="15.75" thickBot="1" x14ac:dyDescent="0.3">
      <c r="A189" s="97">
        <v>45562</v>
      </c>
      <c r="B189" s="92">
        <v>0.41666666666666669</v>
      </c>
      <c r="C189" s="91"/>
      <c r="D189" s="91"/>
      <c r="E189" s="91" t="s">
        <v>60</v>
      </c>
      <c r="F189" s="91">
        <v>20</v>
      </c>
      <c r="G189" s="91">
        <v>286159</v>
      </c>
      <c r="H189" s="91">
        <v>28.3</v>
      </c>
      <c r="I189" s="91"/>
      <c r="J189" s="103"/>
      <c r="K189" s="103"/>
      <c r="L189" s="103"/>
      <c r="M189" s="103"/>
      <c r="N189" s="103"/>
      <c r="O189" s="103"/>
      <c r="P189" s="103"/>
      <c r="Q189" s="103"/>
      <c r="R189" s="103"/>
      <c r="S189" s="95">
        <f t="shared" si="2"/>
        <v>28.3</v>
      </c>
      <c r="T189" s="95">
        <f t="shared" si="59"/>
        <v>762</v>
      </c>
      <c r="U189" s="95">
        <f t="shared" ref="U189:U238" si="76">T189*(P189/100)</f>
        <v>0</v>
      </c>
      <c r="V189" s="95">
        <f t="shared" si="58"/>
        <v>0</v>
      </c>
      <c r="W189" s="96">
        <f t="shared" si="72"/>
        <v>690.42814470627275</v>
      </c>
      <c r="X189" s="96">
        <f>V189/[1]Manure!$I$2</f>
        <v>0</v>
      </c>
      <c r="Y189" s="96">
        <f>W189/[1]Manure!$I$2</f>
        <v>492.39349016320972</v>
      </c>
      <c r="Z189" s="96"/>
      <c r="AA189" s="96"/>
      <c r="AB189" s="95"/>
      <c r="AC189" s="11"/>
    </row>
    <row r="190" spans="1:29" ht="15.75" thickBot="1" x14ac:dyDescent="0.3">
      <c r="A190" s="97">
        <v>45563</v>
      </c>
      <c r="B190" s="92">
        <v>0.41666666666666669</v>
      </c>
      <c r="C190" s="91"/>
      <c r="D190" s="91"/>
      <c r="E190" s="91" t="s">
        <v>60</v>
      </c>
      <c r="F190" s="91">
        <v>20</v>
      </c>
      <c r="G190" s="91">
        <v>286891</v>
      </c>
      <c r="H190" s="91">
        <v>27.9</v>
      </c>
      <c r="I190" s="91"/>
      <c r="J190" s="103"/>
      <c r="K190" s="103"/>
      <c r="L190" s="103"/>
      <c r="M190" s="103"/>
      <c r="N190" s="103"/>
      <c r="O190" s="103"/>
      <c r="P190" s="103"/>
      <c r="Q190" s="103"/>
      <c r="R190" s="103"/>
      <c r="S190" s="95">
        <f t="shared" si="2"/>
        <v>27.9</v>
      </c>
      <c r="T190" s="95">
        <f t="shared" si="59"/>
        <v>732</v>
      </c>
      <c r="U190" s="95">
        <f t="shared" si="76"/>
        <v>0</v>
      </c>
      <c r="V190" s="95">
        <f t="shared" ref="V190:V253" si="77">U190*(273/(273+S190))</f>
        <v>0</v>
      </c>
      <c r="W190" s="96">
        <f t="shared" si="72"/>
        <v>664.12761714855435</v>
      </c>
      <c r="X190" s="96">
        <f>V190/[1]Manure!$I$2</f>
        <v>0</v>
      </c>
      <c r="Y190" s="96">
        <f>W190/[1]Manure!$I$2</f>
        <v>473.63671053802801</v>
      </c>
      <c r="Z190" s="96"/>
      <c r="AA190" s="96"/>
      <c r="AB190" s="95"/>
      <c r="AC190" s="11"/>
    </row>
    <row r="191" spans="1:29" ht="15.75" thickBot="1" x14ac:dyDescent="0.3">
      <c r="A191" s="97">
        <v>45565</v>
      </c>
      <c r="B191" s="92">
        <v>0.41666666666666669</v>
      </c>
      <c r="C191" s="91"/>
      <c r="D191" s="91"/>
      <c r="E191" s="91" t="s">
        <v>60</v>
      </c>
      <c r="F191" s="91">
        <v>20</v>
      </c>
      <c r="G191" s="91">
        <v>288416</v>
      </c>
      <c r="H191" s="91">
        <v>27</v>
      </c>
      <c r="I191" s="91"/>
      <c r="J191" s="103"/>
      <c r="K191" s="103"/>
      <c r="L191" s="103"/>
      <c r="M191" s="103"/>
      <c r="N191" s="103"/>
      <c r="O191" s="103"/>
      <c r="P191" s="103"/>
      <c r="Q191" s="103"/>
      <c r="R191" s="103"/>
      <c r="S191" s="95">
        <f t="shared" si="2"/>
        <v>27</v>
      </c>
      <c r="T191" s="95">
        <f t="shared" si="59"/>
        <v>1525</v>
      </c>
      <c r="U191" s="95">
        <f t="shared" ref="U191:U239" si="78">T191*(I191/100)</f>
        <v>0</v>
      </c>
      <c r="V191" s="95">
        <f t="shared" si="77"/>
        <v>0</v>
      </c>
      <c r="W191" s="96">
        <f t="shared" si="72"/>
        <v>1387.75</v>
      </c>
      <c r="X191" s="96">
        <f>V191/[1]Manure!$I$2</f>
        <v>0</v>
      </c>
      <c r="Y191" s="96">
        <f>W191/[1]Manure!$I$2</f>
        <v>989.70337639508762</v>
      </c>
      <c r="Z191" s="96"/>
      <c r="AA191" s="96"/>
      <c r="AB191" s="95"/>
      <c r="AC191" s="11"/>
    </row>
    <row r="192" spans="1:29" ht="15.75" thickBot="1" x14ac:dyDescent="0.3">
      <c r="A192" s="97">
        <v>45566</v>
      </c>
      <c r="B192" s="92">
        <v>0.41666666666666669</v>
      </c>
      <c r="C192" s="91"/>
      <c r="D192" s="91"/>
      <c r="E192" s="91" t="s">
        <v>60</v>
      </c>
      <c r="F192" s="91">
        <v>20</v>
      </c>
      <c r="G192" s="91">
        <v>289132</v>
      </c>
      <c r="H192" s="91">
        <v>28.5</v>
      </c>
      <c r="I192" s="91"/>
      <c r="J192" s="103"/>
      <c r="K192" s="103"/>
      <c r="L192" s="103"/>
      <c r="M192" s="103"/>
      <c r="N192" s="103"/>
      <c r="O192" s="103"/>
      <c r="P192" s="103"/>
      <c r="Q192" s="103"/>
      <c r="R192" s="103"/>
      <c r="S192" s="95">
        <f t="shared" si="2"/>
        <v>28.5</v>
      </c>
      <c r="T192" s="95">
        <f t="shared" si="59"/>
        <v>716</v>
      </c>
      <c r="U192" s="95">
        <f t="shared" ref="U192:U241" si="79">T192*(P192/100)</f>
        <v>0</v>
      </c>
      <c r="V192" s="95">
        <f t="shared" si="77"/>
        <v>0</v>
      </c>
      <c r="W192" s="96">
        <f t="shared" si="72"/>
        <v>648.31840796019901</v>
      </c>
      <c r="X192" s="96">
        <f>V192/[1]Manure!$I$2</f>
        <v>0</v>
      </c>
      <c r="Y192" s="96">
        <f>W192/[1]Manure!$I$2</f>
        <v>462.36203735348357</v>
      </c>
      <c r="Z192" s="96"/>
      <c r="AA192" s="96"/>
      <c r="AB192" s="95"/>
      <c r="AC192" s="11"/>
    </row>
    <row r="193" spans="1:29" ht="15.75" thickBot="1" x14ac:dyDescent="0.3">
      <c r="A193" s="97">
        <v>45567</v>
      </c>
      <c r="B193" s="92">
        <v>0.41666666666666669</v>
      </c>
      <c r="C193" s="91"/>
      <c r="D193" s="91"/>
      <c r="E193" s="91" t="s">
        <v>60</v>
      </c>
      <c r="F193" s="91">
        <v>20</v>
      </c>
      <c r="G193" s="91">
        <v>289882</v>
      </c>
      <c r="H193" s="91">
        <v>23.6</v>
      </c>
      <c r="I193" s="91"/>
      <c r="J193" s="103"/>
      <c r="K193" s="103"/>
      <c r="L193" s="103"/>
      <c r="M193" s="103"/>
      <c r="N193" s="103"/>
      <c r="O193" s="103"/>
      <c r="P193" s="103"/>
      <c r="Q193" s="103"/>
      <c r="R193" s="103"/>
      <c r="S193" s="95">
        <f t="shared" si="2"/>
        <v>23.6</v>
      </c>
      <c r="T193" s="95">
        <f t="shared" si="59"/>
        <v>750</v>
      </c>
      <c r="U193" s="95">
        <f t="shared" si="79"/>
        <v>0</v>
      </c>
      <c r="V193" s="95">
        <f t="shared" si="77"/>
        <v>0</v>
      </c>
      <c r="W193" s="96">
        <f t="shared" si="72"/>
        <v>690.32366824005396</v>
      </c>
      <c r="X193" s="96">
        <f>V193/[1]Manure!$I$2</f>
        <v>0</v>
      </c>
      <c r="Y193" s="96">
        <f>W193/[1]Manure!$I$2</f>
        <v>492.31898055314269</v>
      </c>
      <c r="Z193" s="96"/>
      <c r="AA193" s="96"/>
      <c r="AB193" s="95"/>
      <c r="AC193" s="11"/>
    </row>
    <row r="194" spans="1:29" ht="15.75" thickBot="1" x14ac:dyDescent="0.3">
      <c r="A194" s="97">
        <v>45568</v>
      </c>
      <c r="B194" s="92">
        <v>0.41666666666666669</v>
      </c>
      <c r="C194" s="91"/>
      <c r="D194" s="91"/>
      <c r="E194" s="91" t="s">
        <v>60</v>
      </c>
      <c r="F194" s="91">
        <v>20</v>
      </c>
      <c r="G194" s="91">
        <v>290586</v>
      </c>
      <c r="H194" s="91">
        <v>23</v>
      </c>
      <c r="I194" s="91"/>
      <c r="J194" s="103"/>
      <c r="K194" s="103"/>
      <c r="L194" s="103"/>
      <c r="M194" s="103"/>
      <c r="N194" s="103"/>
      <c r="O194" s="103"/>
      <c r="P194" s="103"/>
      <c r="Q194" s="103"/>
      <c r="R194" s="103"/>
      <c r="S194" s="95">
        <f t="shared" si="2"/>
        <v>23</v>
      </c>
      <c r="T194" s="95">
        <f t="shared" si="59"/>
        <v>704</v>
      </c>
      <c r="U194" s="95">
        <f t="shared" ref="U194" si="80">T194*(I194/100)</f>
        <v>0</v>
      </c>
      <c r="V194" s="95">
        <f t="shared" si="77"/>
        <v>0</v>
      </c>
      <c r="W194" s="96">
        <f t="shared" si="72"/>
        <v>649.29729729729729</v>
      </c>
      <c r="X194" s="96">
        <f>V194/[1]Manure!$I$2</f>
        <v>0</v>
      </c>
      <c r="Y194" s="96">
        <f>W194/[1]Manure!$I$2</f>
        <v>463.06015306744024</v>
      </c>
      <c r="Z194" s="96"/>
      <c r="AA194" s="96"/>
      <c r="AB194" s="95"/>
      <c r="AC194" s="11"/>
    </row>
    <row r="195" spans="1:29" ht="15.75" thickBot="1" x14ac:dyDescent="0.3">
      <c r="A195" s="97">
        <v>45569</v>
      </c>
      <c r="B195" s="92">
        <v>0.41666666666666669</v>
      </c>
      <c r="C195" s="91"/>
      <c r="D195" s="91"/>
      <c r="E195" s="91" t="s">
        <v>60</v>
      </c>
      <c r="F195" s="91">
        <v>20</v>
      </c>
      <c r="G195" s="91">
        <v>291342</v>
      </c>
      <c r="H195" s="91">
        <v>25.7</v>
      </c>
      <c r="I195" s="91"/>
      <c r="J195" s="103"/>
      <c r="K195" s="103"/>
      <c r="L195" s="103"/>
      <c r="M195" s="103"/>
      <c r="N195" s="103"/>
      <c r="O195" s="103"/>
      <c r="P195" s="103"/>
      <c r="Q195" s="103"/>
      <c r="R195" s="103"/>
      <c r="S195" s="95">
        <f t="shared" si="2"/>
        <v>25.7</v>
      </c>
      <c r="T195" s="95">
        <f t="shared" si="59"/>
        <v>756</v>
      </c>
      <c r="U195" s="95">
        <f t="shared" ref="U195:U196" si="81">T195*(P195/100)</f>
        <v>0</v>
      </c>
      <c r="V195" s="95">
        <f t="shared" si="77"/>
        <v>0</v>
      </c>
      <c r="W195" s="96">
        <f t="shared" si="72"/>
        <v>690.95413458319388</v>
      </c>
      <c r="X195" s="96">
        <f>V195/[1]Manure!$I$2</f>
        <v>0</v>
      </c>
      <c r="Y195" s="96">
        <f>W195/[1]Manure!$I$2</f>
        <v>492.76861101144499</v>
      </c>
      <c r="Z195" s="96"/>
      <c r="AA195" s="96"/>
      <c r="AB195" s="95"/>
      <c r="AC195" s="11"/>
    </row>
    <row r="196" spans="1:29" ht="15.75" thickBot="1" x14ac:dyDescent="0.3">
      <c r="A196" s="97">
        <v>45570</v>
      </c>
      <c r="B196" s="92">
        <v>0.41666666666666669</v>
      </c>
      <c r="C196" s="91"/>
      <c r="D196" s="91"/>
      <c r="E196" s="91" t="s">
        <v>60</v>
      </c>
      <c r="F196" s="91">
        <v>20</v>
      </c>
      <c r="G196" s="91">
        <v>292144</v>
      </c>
      <c r="H196" s="91">
        <v>19.3</v>
      </c>
      <c r="I196" s="91"/>
      <c r="J196" s="103"/>
      <c r="K196" s="103"/>
      <c r="L196" s="103"/>
      <c r="M196" s="103"/>
      <c r="N196" s="103"/>
      <c r="O196" s="103"/>
      <c r="P196" s="103"/>
      <c r="Q196" s="103"/>
      <c r="R196" s="103"/>
      <c r="S196" s="95">
        <f t="shared" si="2"/>
        <v>19.3</v>
      </c>
      <c r="T196" s="95">
        <f t="shared" si="59"/>
        <v>802</v>
      </c>
      <c r="U196" s="95">
        <f t="shared" si="81"/>
        <v>0</v>
      </c>
      <c r="V196" s="95">
        <f t="shared" si="77"/>
        <v>0</v>
      </c>
      <c r="W196" s="96">
        <f t="shared" si="72"/>
        <v>749.04550119739997</v>
      </c>
      <c r="X196" s="96">
        <f>V196/[1]Manure!$I$2</f>
        <v>0</v>
      </c>
      <c r="Y196" s="96">
        <f>W196/[1]Manure!$I$2</f>
        <v>534.19770247423344</v>
      </c>
      <c r="Z196" s="96"/>
      <c r="AA196" s="96"/>
      <c r="AB196" s="95"/>
      <c r="AC196" s="11"/>
    </row>
    <row r="197" spans="1:29" ht="15.75" thickBot="1" x14ac:dyDescent="0.3">
      <c r="A197" s="97">
        <v>45572</v>
      </c>
      <c r="B197" s="92">
        <v>0.41666666666666669</v>
      </c>
      <c r="C197" s="91"/>
      <c r="D197" s="91"/>
      <c r="E197" s="91" t="s">
        <v>60</v>
      </c>
      <c r="F197" s="91">
        <v>20</v>
      </c>
      <c r="G197" s="91">
        <v>293731</v>
      </c>
      <c r="H197" s="91">
        <v>23.1</v>
      </c>
      <c r="I197" s="91"/>
      <c r="J197" s="103"/>
      <c r="K197" s="103"/>
      <c r="L197" s="103"/>
      <c r="M197" s="103"/>
      <c r="N197" s="103"/>
      <c r="O197" s="103"/>
      <c r="P197" s="103"/>
      <c r="Q197" s="103"/>
      <c r="R197" s="103"/>
      <c r="S197" s="95">
        <f t="shared" si="2"/>
        <v>23.1</v>
      </c>
      <c r="T197" s="95">
        <f t="shared" ref="T197:T260" si="82">G197-G196</f>
        <v>1587</v>
      </c>
      <c r="U197" s="95">
        <f t="shared" si="64"/>
        <v>0</v>
      </c>
      <c r="V197" s="95">
        <f t="shared" si="77"/>
        <v>0</v>
      </c>
      <c r="W197" s="96">
        <f t="shared" si="72"/>
        <v>1463.191489361702</v>
      </c>
      <c r="X197" s="96">
        <f>V197/[1]Manure!$I$2</f>
        <v>0</v>
      </c>
      <c r="Y197" s="96">
        <f>W197/[1]Manure!$I$2</f>
        <v>1043.5060762628957</v>
      </c>
      <c r="Z197" s="96"/>
      <c r="AA197" s="96"/>
      <c r="AB197" s="95"/>
      <c r="AC197" s="11"/>
    </row>
    <row r="198" spans="1:29" ht="15.75" thickBot="1" x14ac:dyDescent="0.3">
      <c r="A198" s="97">
        <v>45573</v>
      </c>
      <c r="B198" s="92">
        <v>0.41666666666666669</v>
      </c>
      <c r="C198" s="91"/>
      <c r="D198" s="91"/>
      <c r="E198" s="91" t="s">
        <v>60</v>
      </c>
      <c r="F198" s="91">
        <v>20</v>
      </c>
      <c r="G198" s="91">
        <v>290360</v>
      </c>
      <c r="H198" s="91"/>
      <c r="I198" s="91"/>
      <c r="J198" s="103"/>
      <c r="K198" s="103"/>
      <c r="L198" s="103"/>
      <c r="M198" s="103"/>
      <c r="N198" s="103"/>
      <c r="O198" s="103"/>
      <c r="P198" s="103"/>
      <c r="Q198" s="103"/>
      <c r="R198" s="103"/>
      <c r="S198" s="95">
        <f t="shared" si="2"/>
        <v>0</v>
      </c>
      <c r="T198" s="95">
        <f t="shared" si="82"/>
        <v>-3371</v>
      </c>
      <c r="U198" s="95">
        <f t="shared" si="65"/>
        <v>0</v>
      </c>
      <c r="V198" s="95">
        <f t="shared" si="77"/>
        <v>0</v>
      </c>
      <c r="W198" s="96">
        <f t="shared" si="72"/>
        <v>-3371</v>
      </c>
      <c r="X198" s="96">
        <f>V198/[1]Manure!$I$2</f>
        <v>0</v>
      </c>
      <c r="Y198" s="96">
        <f>W198/[1]Manure!$I$2</f>
        <v>-2404.1002210973452</v>
      </c>
      <c r="Z198" s="96"/>
      <c r="AA198" s="96"/>
      <c r="AB198" s="95"/>
      <c r="AC198" s="11"/>
    </row>
    <row r="199" spans="1:29" ht="15.75" thickBot="1" x14ac:dyDescent="0.3">
      <c r="A199" s="97">
        <v>45573</v>
      </c>
      <c r="B199" s="92">
        <v>0.41666666666666669</v>
      </c>
      <c r="C199" s="91"/>
      <c r="D199" s="91"/>
      <c r="E199" s="91" t="s">
        <v>60</v>
      </c>
      <c r="F199" s="91">
        <v>20</v>
      </c>
      <c r="G199" s="91">
        <v>291047</v>
      </c>
      <c r="H199" s="91">
        <v>24.1</v>
      </c>
      <c r="I199" s="91"/>
      <c r="J199" s="103"/>
      <c r="K199" s="103"/>
      <c r="L199" s="103"/>
      <c r="M199" s="103"/>
      <c r="N199" s="103"/>
      <c r="O199" s="103"/>
      <c r="P199" s="103"/>
      <c r="Q199" s="103"/>
      <c r="R199" s="103"/>
      <c r="S199" s="95">
        <f t="shared" si="2"/>
        <v>24.1</v>
      </c>
      <c r="T199" s="95">
        <f t="shared" si="82"/>
        <v>687</v>
      </c>
      <c r="U199" s="95">
        <f t="shared" si="65"/>
        <v>0</v>
      </c>
      <c r="V199" s="95">
        <f t="shared" si="77"/>
        <v>0</v>
      </c>
      <c r="W199" s="96">
        <f t="shared" si="72"/>
        <v>631.27229888926286</v>
      </c>
      <c r="X199" s="96">
        <f>V199/[1]Manure!$I$2</f>
        <v>0</v>
      </c>
      <c r="Y199" s="96">
        <f>W199/[1]Manure!$I$2</f>
        <v>450.20524275654287</v>
      </c>
      <c r="Z199" s="96"/>
      <c r="AA199" s="96"/>
      <c r="AB199" s="95"/>
      <c r="AC199" s="11"/>
    </row>
    <row r="200" spans="1:29" ht="15.75" thickBot="1" x14ac:dyDescent="0.3">
      <c r="A200" s="97">
        <v>45574</v>
      </c>
      <c r="B200" s="92">
        <v>0.41666666666666669</v>
      </c>
      <c r="C200" s="91"/>
      <c r="D200" s="91"/>
      <c r="E200" s="91" t="s">
        <v>60</v>
      </c>
      <c r="F200" s="91">
        <v>20</v>
      </c>
      <c r="G200" s="91">
        <v>291867</v>
      </c>
      <c r="H200" s="91">
        <v>24.5</v>
      </c>
      <c r="I200" s="91"/>
      <c r="J200" s="103"/>
      <c r="K200" s="103"/>
      <c r="L200" s="103"/>
      <c r="M200" s="103"/>
      <c r="N200" s="103"/>
      <c r="O200" s="103"/>
      <c r="P200" s="103"/>
      <c r="Q200" s="103"/>
      <c r="R200" s="103"/>
      <c r="S200" s="95">
        <f t="shared" si="2"/>
        <v>24.5</v>
      </c>
      <c r="T200" s="95">
        <f t="shared" si="82"/>
        <v>820</v>
      </c>
      <c r="U200" s="95">
        <f t="shared" si="66"/>
        <v>0</v>
      </c>
      <c r="V200" s="95">
        <f t="shared" si="77"/>
        <v>0</v>
      </c>
      <c r="W200" s="96">
        <f t="shared" si="72"/>
        <v>752.47058823529403</v>
      </c>
      <c r="X200" s="96">
        <f>V200/[1]Manure!$I$2</f>
        <v>0</v>
      </c>
      <c r="Y200" s="96">
        <f>W200/[1]Manure!$I$2</f>
        <v>536.64037601474922</v>
      </c>
      <c r="Z200" s="96"/>
      <c r="AA200" s="96"/>
      <c r="AB200" s="95"/>
      <c r="AC200" s="11"/>
    </row>
    <row r="201" spans="1:29" ht="15.75" thickBot="1" x14ac:dyDescent="0.3">
      <c r="A201" s="97">
        <v>45575</v>
      </c>
      <c r="B201" s="92">
        <v>0.41666666666666669</v>
      </c>
      <c r="C201" s="91"/>
      <c r="D201" s="91"/>
      <c r="E201" s="91" t="s">
        <v>60</v>
      </c>
      <c r="F201" s="91">
        <v>20</v>
      </c>
      <c r="G201" s="91">
        <v>292719</v>
      </c>
      <c r="H201" s="91">
        <v>22.7</v>
      </c>
      <c r="I201" s="91"/>
      <c r="J201" s="103"/>
      <c r="K201" s="103"/>
      <c r="L201" s="103"/>
      <c r="M201" s="103"/>
      <c r="N201" s="103"/>
      <c r="O201" s="103"/>
      <c r="P201" s="103"/>
      <c r="Q201" s="103"/>
      <c r="R201" s="103"/>
      <c r="S201" s="95">
        <f t="shared" si="2"/>
        <v>22.7</v>
      </c>
      <c r="T201" s="95">
        <f t="shared" si="82"/>
        <v>852</v>
      </c>
      <c r="U201" s="95">
        <f t="shared" si="67"/>
        <v>0</v>
      </c>
      <c r="V201" s="95">
        <f t="shared" si="77"/>
        <v>0</v>
      </c>
      <c r="W201" s="96">
        <f t="shared" si="72"/>
        <v>786.59452147446746</v>
      </c>
      <c r="X201" s="96">
        <f>V201/[1]Manure!$I$2</f>
        <v>0</v>
      </c>
      <c r="Y201" s="96">
        <f>W201/[1]Manure!$I$2</f>
        <v>560.97658350362724</v>
      </c>
      <c r="Z201" s="96"/>
      <c r="AA201" s="96"/>
      <c r="AB201" s="95"/>
      <c r="AC201" s="11"/>
    </row>
    <row r="202" spans="1:29" ht="15.75" thickBot="1" x14ac:dyDescent="0.3">
      <c r="A202" s="97">
        <v>45576</v>
      </c>
      <c r="B202" s="92">
        <v>0.41666666666666669</v>
      </c>
      <c r="C202" s="91"/>
      <c r="D202" s="91"/>
      <c r="E202" s="91" t="s">
        <v>60</v>
      </c>
      <c r="F202" s="91">
        <v>20</v>
      </c>
      <c r="G202" s="91">
        <v>293555</v>
      </c>
      <c r="H202" s="91">
        <v>22</v>
      </c>
      <c r="I202" s="91"/>
      <c r="J202" s="103"/>
      <c r="K202" s="103"/>
      <c r="L202" s="103"/>
      <c r="M202" s="103"/>
      <c r="N202" s="103"/>
      <c r="O202" s="103"/>
      <c r="P202" s="103"/>
      <c r="Q202" s="103"/>
      <c r="R202" s="103"/>
      <c r="S202" s="95">
        <f t="shared" si="2"/>
        <v>22</v>
      </c>
      <c r="T202" s="95">
        <f t="shared" si="82"/>
        <v>836</v>
      </c>
      <c r="U202" s="95">
        <f t="shared" si="67"/>
        <v>0</v>
      </c>
      <c r="V202" s="95">
        <f t="shared" si="77"/>
        <v>0</v>
      </c>
      <c r="W202" s="96">
        <f t="shared" si="72"/>
        <v>773.6542372881355</v>
      </c>
      <c r="X202" s="96">
        <f>V202/[1]Manure!$I$2</f>
        <v>0</v>
      </c>
      <c r="Y202" s="96">
        <f>W202/[1]Manure!$I$2</f>
        <v>551.74794509561093</v>
      </c>
      <c r="Z202" s="96"/>
      <c r="AA202" s="96"/>
      <c r="AB202" s="95"/>
      <c r="AC202" s="11"/>
    </row>
    <row r="203" spans="1:29" ht="15.75" thickBot="1" x14ac:dyDescent="0.3">
      <c r="A203" s="97">
        <v>45577</v>
      </c>
      <c r="B203" s="92">
        <v>0.41666666666666669</v>
      </c>
      <c r="C203" s="91"/>
      <c r="D203" s="91"/>
      <c r="E203" s="91" t="s">
        <v>60</v>
      </c>
      <c r="F203" s="91">
        <v>20</v>
      </c>
      <c r="G203" s="91">
        <v>294418</v>
      </c>
      <c r="H203" s="91">
        <v>23</v>
      </c>
      <c r="I203" s="91"/>
      <c r="J203" s="103"/>
      <c r="K203" s="103"/>
      <c r="L203" s="103"/>
      <c r="M203" s="103"/>
      <c r="N203" s="103"/>
      <c r="O203" s="103"/>
      <c r="P203" s="103"/>
      <c r="Q203" s="103"/>
      <c r="R203" s="103"/>
      <c r="S203" s="95">
        <f t="shared" si="2"/>
        <v>23</v>
      </c>
      <c r="T203" s="95">
        <f t="shared" si="82"/>
        <v>863</v>
      </c>
      <c r="U203" s="95">
        <f t="shared" si="68"/>
        <v>0</v>
      </c>
      <c r="V203" s="95">
        <f t="shared" si="77"/>
        <v>0</v>
      </c>
      <c r="W203" s="96">
        <f t="shared" si="72"/>
        <v>795.94256756756749</v>
      </c>
      <c r="X203" s="96">
        <f>V203/[1]Manure!$I$2</f>
        <v>0</v>
      </c>
      <c r="Y203" s="96">
        <f>W203/[1]Manure!$I$2</f>
        <v>567.64334104716033</v>
      </c>
      <c r="Z203" s="96"/>
      <c r="AA203" s="96"/>
      <c r="AB203" s="95"/>
      <c r="AC203" s="11"/>
    </row>
    <row r="204" spans="1:29" ht="15.75" thickBot="1" x14ac:dyDescent="0.3">
      <c r="A204" s="97">
        <v>45579</v>
      </c>
      <c r="B204" s="92">
        <v>0.41666666666666669</v>
      </c>
      <c r="C204" s="91"/>
      <c r="D204" s="91"/>
      <c r="E204" s="91" t="s">
        <v>60</v>
      </c>
      <c r="F204" s="91">
        <v>20</v>
      </c>
      <c r="G204" s="91">
        <v>296108</v>
      </c>
      <c r="H204" s="91">
        <v>25.5</v>
      </c>
      <c r="I204" s="91"/>
      <c r="J204" s="103"/>
      <c r="K204" s="103"/>
      <c r="L204" s="103"/>
      <c r="M204" s="103"/>
      <c r="N204" s="103"/>
      <c r="O204" s="103"/>
      <c r="P204" s="103"/>
      <c r="Q204" s="103"/>
      <c r="R204" s="103"/>
      <c r="S204" s="95">
        <f t="shared" si="2"/>
        <v>25.5</v>
      </c>
      <c r="T204" s="95">
        <f t="shared" si="82"/>
        <v>1690</v>
      </c>
      <c r="U204" s="95">
        <f t="shared" si="69"/>
        <v>0</v>
      </c>
      <c r="V204" s="95">
        <f t="shared" si="77"/>
        <v>0</v>
      </c>
      <c r="W204" s="96">
        <f t="shared" si="72"/>
        <v>1545.6281407035176</v>
      </c>
      <c r="X204" s="96">
        <f>V204/[1]Manure!$I$2</f>
        <v>0</v>
      </c>
      <c r="Y204" s="96">
        <f>W204/[1]Manure!$I$2</f>
        <v>1102.2975244140032</v>
      </c>
      <c r="Z204" s="96"/>
      <c r="AA204" s="96"/>
      <c r="AB204" s="95"/>
      <c r="AC204" s="11"/>
    </row>
    <row r="205" spans="1:29" ht="15.75" thickBot="1" x14ac:dyDescent="0.3">
      <c r="A205" s="97">
        <v>45580</v>
      </c>
      <c r="B205" s="92">
        <v>0.41666666666666669</v>
      </c>
      <c r="C205" s="91"/>
      <c r="D205" s="91"/>
      <c r="E205" s="91" t="s">
        <v>60</v>
      </c>
      <c r="F205" s="91">
        <v>20</v>
      </c>
      <c r="G205" s="91">
        <v>296954</v>
      </c>
      <c r="H205" s="91">
        <v>25.1</v>
      </c>
      <c r="I205" s="91"/>
      <c r="J205" s="103"/>
      <c r="K205" s="103"/>
      <c r="L205" s="103"/>
      <c r="M205" s="103"/>
      <c r="N205" s="103"/>
      <c r="O205" s="103"/>
      <c r="P205" s="103"/>
      <c r="Q205" s="103"/>
      <c r="R205" s="103"/>
      <c r="S205" s="95">
        <f t="shared" si="2"/>
        <v>25.1</v>
      </c>
      <c r="T205" s="95">
        <f t="shared" si="82"/>
        <v>846</v>
      </c>
      <c r="U205" s="95">
        <f t="shared" si="69"/>
        <v>0</v>
      </c>
      <c r="V205" s="95">
        <f t="shared" si="77"/>
        <v>0</v>
      </c>
      <c r="W205" s="96">
        <f t="shared" si="72"/>
        <v>774.76685675947658</v>
      </c>
      <c r="X205" s="96">
        <f>V205/[1]Manure!$I$2</f>
        <v>0</v>
      </c>
      <c r="Y205" s="96">
        <f>W205/[1]Manure!$I$2</f>
        <v>552.54143329408271</v>
      </c>
      <c r="Z205" s="96"/>
      <c r="AA205" s="96"/>
      <c r="AB205" s="95"/>
      <c r="AC205" s="11"/>
    </row>
    <row r="206" spans="1:29" ht="15.75" thickBot="1" x14ac:dyDescent="0.3">
      <c r="A206" s="97">
        <v>45581</v>
      </c>
      <c r="B206" s="92">
        <v>0.41666666666666669</v>
      </c>
      <c r="C206" s="91"/>
      <c r="D206" s="91"/>
      <c r="E206" s="91" t="s">
        <v>60</v>
      </c>
      <c r="F206" s="91">
        <v>20</v>
      </c>
      <c r="G206" s="91">
        <v>297812</v>
      </c>
      <c r="H206" s="91">
        <v>28.5</v>
      </c>
      <c r="I206" s="91"/>
      <c r="J206" s="103"/>
      <c r="K206" s="103"/>
      <c r="L206" s="103"/>
      <c r="M206" s="103"/>
      <c r="N206" s="103"/>
      <c r="O206" s="103"/>
      <c r="P206" s="103"/>
      <c r="Q206" s="103"/>
      <c r="R206" s="103"/>
      <c r="S206" s="95">
        <f t="shared" si="2"/>
        <v>28.5</v>
      </c>
      <c r="T206" s="95">
        <f t="shared" si="82"/>
        <v>858</v>
      </c>
      <c r="U206" s="95">
        <f t="shared" si="70"/>
        <v>0</v>
      </c>
      <c r="V206" s="95">
        <f t="shared" si="77"/>
        <v>0</v>
      </c>
      <c r="W206" s="96">
        <f t="shared" si="72"/>
        <v>776.8955223880597</v>
      </c>
      <c r="X206" s="96">
        <f>V206/[1]Manure!$I$2</f>
        <v>0</v>
      </c>
      <c r="Y206" s="96">
        <f>W206/[1]Manure!$I$2</f>
        <v>554.05953638168842</v>
      </c>
      <c r="Z206" s="96"/>
      <c r="AA206" s="96"/>
      <c r="AB206" s="95"/>
      <c r="AC206" s="11"/>
    </row>
    <row r="207" spans="1:29" ht="15.75" thickBot="1" x14ac:dyDescent="0.3">
      <c r="A207" s="97">
        <v>45582</v>
      </c>
      <c r="B207" s="92">
        <v>0.41666666666666669</v>
      </c>
      <c r="C207" s="91"/>
      <c r="D207" s="91"/>
      <c r="E207" s="91" t="s">
        <v>60</v>
      </c>
      <c r="F207" s="91">
        <v>20</v>
      </c>
      <c r="G207" s="91">
        <v>298668</v>
      </c>
      <c r="H207" s="91">
        <v>25</v>
      </c>
      <c r="I207" s="91"/>
      <c r="J207" s="103"/>
      <c r="K207" s="103"/>
      <c r="L207" s="103"/>
      <c r="M207" s="103"/>
      <c r="N207" s="103"/>
      <c r="O207" s="103"/>
      <c r="P207" s="103"/>
      <c r="Q207" s="103"/>
      <c r="R207" s="103"/>
      <c r="S207" s="95">
        <f t="shared" si="2"/>
        <v>25</v>
      </c>
      <c r="T207" s="95">
        <f t="shared" si="82"/>
        <v>856</v>
      </c>
      <c r="U207" s="95">
        <f t="shared" si="71"/>
        <v>0</v>
      </c>
      <c r="V207" s="95">
        <f t="shared" si="77"/>
        <v>0</v>
      </c>
      <c r="W207" s="96">
        <f t="shared" si="72"/>
        <v>784.18791946308716</v>
      </c>
      <c r="X207" s="96">
        <f>V207/[1]Manure!$I$2</f>
        <v>0</v>
      </c>
      <c r="Y207" s="96">
        <f>W207/[1]Manure!$I$2</f>
        <v>559.26026418364722</v>
      </c>
      <c r="Z207" s="96"/>
      <c r="AA207" s="96"/>
      <c r="AB207" s="95"/>
      <c r="AC207" s="11"/>
    </row>
    <row r="208" spans="1:29" ht="15.75" thickBot="1" x14ac:dyDescent="0.3">
      <c r="A208" s="97">
        <v>45583</v>
      </c>
      <c r="B208" s="92">
        <v>0.41666666666666669</v>
      </c>
      <c r="C208" s="91"/>
      <c r="D208" s="91"/>
      <c r="E208" s="91" t="s">
        <v>60</v>
      </c>
      <c r="F208" s="91">
        <v>20</v>
      </c>
      <c r="G208" s="91">
        <v>299534</v>
      </c>
      <c r="H208" s="91">
        <v>25.5</v>
      </c>
      <c r="I208" s="91"/>
      <c r="J208" s="103"/>
      <c r="K208" s="103"/>
      <c r="L208" s="103"/>
      <c r="M208" s="103"/>
      <c r="N208" s="103"/>
      <c r="O208" s="103"/>
      <c r="P208" s="103"/>
      <c r="Q208" s="103"/>
      <c r="R208" s="103"/>
      <c r="S208" s="95">
        <f t="shared" si="2"/>
        <v>25.5</v>
      </c>
      <c r="T208" s="95">
        <f t="shared" si="82"/>
        <v>866</v>
      </c>
      <c r="U208" s="95">
        <f t="shared" si="71"/>
        <v>0</v>
      </c>
      <c r="V208" s="95">
        <f t="shared" si="77"/>
        <v>0</v>
      </c>
      <c r="W208" s="96">
        <f t="shared" si="72"/>
        <v>792.02010050251249</v>
      </c>
      <c r="X208" s="96">
        <f>V208/[1]Manure!$I$2</f>
        <v>0</v>
      </c>
      <c r="Y208" s="96">
        <f>W208/[1]Manure!$I$2</f>
        <v>564.84595038019336</v>
      </c>
      <c r="Z208" s="96"/>
      <c r="AA208" s="96"/>
      <c r="AB208" s="95"/>
      <c r="AC208" s="11"/>
    </row>
    <row r="209" spans="1:29" ht="15.75" thickBot="1" x14ac:dyDescent="0.3">
      <c r="A209" s="97">
        <v>45584</v>
      </c>
      <c r="B209" s="92">
        <v>0.41666666666666669</v>
      </c>
      <c r="C209" s="91"/>
      <c r="D209" s="91"/>
      <c r="E209" s="91" t="s">
        <v>60</v>
      </c>
      <c r="F209" s="91">
        <v>20</v>
      </c>
      <c r="G209" s="91">
        <v>300396</v>
      </c>
      <c r="H209" s="91">
        <v>21</v>
      </c>
      <c r="I209" s="91"/>
      <c r="J209" s="103"/>
      <c r="K209" s="103"/>
      <c r="L209" s="103"/>
      <c r="M209" s="103"/>
      <c r="N209" s="103"/>
      <c r="O209" s="103"/>
      <c r="P209" s="103"/>
      <c r="Q209" s="103"/>
      <c r="R209" s="103"/>
      <c r="S209" s="95">
        <f t="shared" si="2"/>
        <v>21</v>
      </c>
      <c r="T209" s="95">
        <f t="shared" si="82"/>
        <v>862</v>
      </c>
      <c r="U209" s="95">
        <f t="shared" si="73"/>
        <v>0</v>
      </c>
      <c r="V209" s="95">
        <f t="shared" si="77"/>
        <v>0</v>
      </c>
      <c r="W209" s="96">
        <f t="shared" si="72"/>
        <v>800.42857142857144</v>
      </c>
      <c r="X209" s="96">
        <f>V209/[1]Manure!$I$2</f>
        <v>0</v>
      </c>
      <c r="Y209" s="96">
        <f>W209/[1]Manure!$I$2</f>
        <v>570.84262994484152</v>
      </c>
      <c r="Z209" s="96"/>
      <c r="AA209" s="96"/>
      <c r="AB209" s="95"/>
      <c r="AC209" s="11"/>
    </row>
    <row r="210" spans="1:29" ht="15.75" thickBot="1" x14ac:dyDescent="0.3">
      <c r="A210" s="97">
        <v>45586</v>
      </c>
      <c r="B210" s="92">
        <v>0.41666666666666669</v>
      </c>
      <c r="C210" s="91"/>
      <c r="D210" s="91"/>
      <c r="E210" s="91" t="s">
        <v>60</v>
      </c>
      <c r="F210" s="91">
        <v>20</v>
      </c>
      <c r="G210" s="91">
        <v>302116</v>
      </c>
      <c r="H210" s="91">
        <v>27.8</v>
      </c>
      <c r="I210" s="91"/>
      <c r="J210" s="103"/>
      <c r="K210" s="103"/>
      <c r="L210" s="103"/>
      <c r="M210" s="103"/>
      <c r="N210" s="103"/>
      <c r="O210" s="103"/>
      <c r="P210" s="103"/>
      <c r="Q210" s="103"/>
      <c r="R210" s="103"/>
      <c r="S210" s="95">
        <f t="shared" si="2"/>
        <v>27.8</v>
      </c>
      <c r="T210" s="95">
        <f t="shared" si="82"/>
        <v>1720</v>
      </c>
      <c r="U210" s="95">
        <f t="shared" si="74"/>
        <v>0</v>
      </c>
      <c r="V210" s="95">
        <f t="shared" si="77"/>
        <v>0</v>
      </c>
      <c r="W210" s="96">
        <f t="shared" si="72"/>
        <v>1561.0372340425531</v>
      </c>
      <c r="X210" s="96">
        <f>V210/[1]Manure!$I$2</f>
        <v>0</v>
      </c>
      <c r="Y210" s="96">
        <f>W210/[1]Manure!$I$2</f>
        <v>1113.2868464855799</v>
      </c>
      <c r="Z210" s="96"/>
      <c r="AA210" s="96"/>
      <c r="AB210" s="95"/>
      <c r="AC210" s="11"/>
    </row>
    <row r="211" spans="1:29" ht="15.75" thickBot="1" x14ac:dyDescent="0.3">
      <c r="A211" s="97">
        <v>45587</v>
      </c>
      <c r="B211" s="92">
        <v>0.41666666666666669</v>
      </c>
      <c r="C211" s="91"/>
      <c r="D211" s="91"/>
      <c r="E211" s="91" t="s">
        <v>60</v>
      </c>
      <c r="F211" s="91">
        <v>20</v>
      </c>
      <c r="G211" s="91">
        <v>302978</v>
      </c>
      <c r="H211" s="91">
        <v>26.2</v>
      </c>
      <c r="I211" s="91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>
        <f t="shared" si="2"/>
        <v>26.2</v>
      </c>
      <c r="T211" s="95">
        <f t="shared" si="82"/>
        <v>862</v>
      </c>
      <c r="U211" s="95">
        <f t="shared" si="74"/>
        <v>0</v>
      </c>
      <c r="V211" s="95">
        <f t="shared" si="77"/>
        <v>0</v>
      </c>
      <c r="W211" s="96">
        <f t="shared" si="72"/>
        <v>786.51737967914437</v>
      </c>
      <c r="X211" s="96">
        <f>V211/[1]Manure!$I$2</f>
        <v>0</v>
      </c>
      <c r="Y211" s="96">
        <f>W211/[1]Manure!$I$2</f>
        <v>560.92156819446325</v>
      </c>
      <c r="Z211" s="96"/>
      <c r="AA211" s="96"/>
      <c r="AB211" s="95"/>
      <c r="AC211" s="11"/>
    </row>
    <row r="212" spans="1:29" ht="15.75" thickBot="1" x14ac:dyDescent="0.3">
      <c r="A212" s="97">
        <v>45588</v>
      </c>
      <c r="B212" s="92">
        <v>0.41666666666666669</v>
      </c>
      <c r="C212" s="91"/>
      <c r="D212" s="91"/>
      <c r="E212" s="91" t="s">
        <v>60</v>
      </c>
      <c r="F212" s="91">
        <v>20</v>
      </c>
      <c r="G212" s="91">
        <v>303845</v>
      </c>
      <c r="H212" s="91">
        <v>27.9</v>
      </c>
      <c r="I212" s="91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>
        <f t="shared" si="2"/>
        <v>27.9</v>
      </c>
      <c r="T212" s="95">
        <f t="shared" si="82"/>
        <v>867</v>
      </c>
      <c r="U212" s="95">
        <f t="shared" si="75"/>
        <v>0</v>
      </c>
      <c r="V212" s="95">
        <f t="shared" si="77"/>
        <v>0</v>
      </c>
      <c r="W212" s="96">
        <f t="shared" si="72"/>
        <v>786.61016949152554</v>
      </c>
      <c r="X212" s="96">
        <f>V212/[1]Manure!$I$2</f>
        <v>0</v>
      </c>
      <c r="Y212" s="96">
        <f>W212/[1]Manure!$I$2</f>
        <v>560.98774321922178</v>
      </c>
      <c r="Z212" s="96"/>
      <c r="AA212" s="96"/>
      <c r="AB212" s="95"/>
      <c r="AC212" s="11"/>
    </row>
    <row r="213" spans="1:29" ht="15.75" thickBot="1" x14ac:dyDescent="0.3">
      <c r="A213" s="97">
        <v>45589</v>
      </c>
      <c r="B213" s="92">
        <v>0.41666666666666669</v>
      </c>
      <c r="C213" s="91"/>
      <c r="D213" s="91"/>
      <c r="E213" s="91" t="s">
        <v>60</v>
      </c>
      <c r="F213" s="91">
        <v>20</v>
      </c>
      <c r="G213" s="91">
        <v>304732</v>
      </c>
      <c r="H213" s="91">
        <v>29.1</v>
      </c>
      <c r="I213" s="91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>
        <f t="shared" si="2"/>
        <v>29.1</v>
      </c>
      <c r="T213" s="95">
        <f t="shared" si="82"/>
        <v>887</v>
      </c>
      <c r="U213" s="95">
        <f t="shared" si="76"/>
        <v>0</v>
      </c>
      <c r="V213" s="95">
        <f t="shared" si="77"/>
        <v>0</v>
      </c>
      <c r="W213" s="96">
        <f t="shared" si="72"/>
        <v>801.55908639523329</v>
      </c>
      <c r="X213" s="96">
        <f>V213/[1]Manure!$I$2</f>
        <v>0</v>
      </c>
      <c r="Y213" s="96">
        <f>W213/[1]Manure!$I$2</f>
        <v>571.64888069574795</v>
      </c>
      <c r="Z213" s="96"/>
      <c r="AA213" s="96"/>
      <c r="AB213" s="95"/>
      <c r="AC213" s="11"/>
    </row>
    <row r="214" spans="1:29" ht="15.75" thickBot="1" x14ac:dyDescent="0.3">
      <c r="A214" s="97">
        <v>45590</v>
      </c>
      <c r="B214" s="92">
        <v>0.41666666666666669</v>
      </c>
      <c r="C214" s="91"/>
      <c r="D214" s="91"/>
      <c r="E214" s="91" t="s">
        <v>60</v>
      </c>
      <c r="F214" s="91">
        <v>20</v>
      </c>
      <c r="G214" s="91">
        <v>305642</v>
      </c>
      <c r="H214" s="91">
        <v>25.9</v>
      </c>
      <c r="I214" s="91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>
        <f t="shared" si="2"/>
        <v>25.9</v>
      </c>
      <c r="T214" s="95">
        <f t="shared" si="82"/>
        <v>910</v>
      </c>
      <c r="U214" s="95">
        <f t="shared" si="76"/>
        <v>0</v>
      </c>
      <c r="V214" s="95">
        <f t="shared" si="77"/>
        <v>0</v>
      </c>
      <c r="W214" s="96">
        <f t="shared" si="72"/>
        <v>831.14754098360652</v>
      </c>
      <c r="X214" s="96">
        <f>V214/[1]Manure!$I$2</f>
        <v>0</v>
      </c>
      <c r="Y214" s="96">
        <f>W214/[1]Manure!$I$2</f>
        <v>592.75051529018185</v>
      </c>
      <c r="Z214" s="96"/>
      <c r="AA214" s="96"/>
      <c r="AB214" s="95"/>
      <c r="AC214" s="11"/>
    </row>
    <row r="215" spans="1:29" ht="15.75" thickBot="1" x14ac:dyDescent="0.3">
      <c r="A215" s="97">
        <v>45591</v>
      </c>
      <c r="B215" s="92">
        <v>0.41666666666666669</v>
      </c>
      <c r="C215" s="91"/>
      <c r="D215" s="91"/>
      <c r="E215" s="91" t="s">
        <v>60</v>
      </c>
      <c r="F215" s="91">
        <v>20</v>
      </c>
      <c r="G215" s="91">
        <v>306313</v>
      </c>
      <c r="H215" s="91">
        <v>27.1</v>
      </c>
      <c r="I215" s="91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>
        <f t="shared" si="2"/>
        <v>27.1</v>
      </c>
      <c r="T215" s="95">
        <f t="shared" si="82"/>
        <v>671</v>
      </c>
      <c r="U215" s="95">
        <f t="shared" si="78"/>
        <v>0</v>
      </c>
      <c r="V215" s="95">
        <f t="shared" si="77"/>
        <v>0</v>
      </c>
      <c r="W215" s="96">
        <f t="shared" si="72"/>
        <v>610.40653115628118</v>
      </c>
      <c r="X215" s="96">
        <f>V215/[1]Manure!$I$2</f>
        <v>0</v>
      </c>
      <c r="Y215" s="96">
        <f>W215/[1]Manure!$I$2</f>
        <v>435.32437748800919</v>
      </c>
      <c r="Z215" s="96"/>
      <c r="AA215" s="96"/>
      <c r="AB215" s="95"/>
      <c r="AC215" s="11"/>
    </row>
    <row r="216" spans="1:29" ht="15.75" thickBot="1" x14ac:dyDescent="0.3">
      <c r="A216" s="97">
        <v>45593</v>
      </c>
      <c r="B216" s="92">
        <v>0.41666666666666669</v>
      </c>
      <c r="C216" s="91"/>
      <c r="D216" s="91"/>
      <c r="E216" s="91" t="s">
        <v>60</v>
      </c>
      <c r="F216" s="91">
        <v>20</v>
      </c>
      <c r="G216" s="91">
        <v>308092</v>
      </c>
      <c r="H216" s="91">
        <v>24.9</v>
      </c>
      <c r="I216" s="91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>
        <f t="shared" si="2"/>
        <v>24.9</v>
      </c>
      <c r="T216" s="95">
        <f t="shared" si="82"/>
        <v>1779</v>
      </c>
      <c r="U216" s="95">
        <f t="shared" si="79"/>
        <v>0</v>
      </c>
      <c r="V216" s="95">
        <f t="shared" si="77"/>
        <v>0</v>
      </c>
      <c r="W216" s="96">
        <f t="shared" si="72"/>
        <v>1630.3021148036255</v>
      </c>
      <c r="X216" s="96">
        <f>V216/[1]Manure!$I$2</f>
        <v>0</v>
      </c>
      <c r="Y216" s="96">
        <f>W216/[1]Manure!$I$2</f>
        <v>1162.6845667917132</v>
      </c>
      <c r="Z216" s="96"/>
      <c r="AA216" s="96"/>
      <c r="AB216" s="95"/>
      <c r="AC216" s="11"/>
    </row>
    <row r="217" spans="1:29" ht="15.75" thickBot="1" x14ac:dyDescent="0.3">
      <c r="A217" s="97">
        <v>45594</v>
      </c>
      <c r="B217" s="92">
        <v>0.41666666666666669</v>
      </c>
      <c r="C217" s="91"/>
      <c r="D217" s="91"/>
      <c r="E217" s="91" t="s">
        <v>60</v>
      </c>
      <c r="F217" s="91">
        <v>20</v>
      </c>
      <c r="G217" s="91">
        <v>308943</v>
      </c>
      <c r="H217" s="91">
        <v>27.6</v>
      </c>
      <c r="I217" s="91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>
        <f t="shared" si="2"/>
        <v>27.6</v>
      </c>
      <c r="T217" s="95">
        <f t="shared" si="82"/>
        <v>851</v>
      </c>
      <c r="U217" s="95">
        <f t="shared" si="79"/>
        <v>0</v>
      </c>
      <c r="V217" s="95">
        <f t="shared" si="77"/>
        <v>0</v>
      </c>
      <c r="W217" s="96">
        <f t="shared" si="72"/>
        <v>772.86427145708569</v>
      </c>
      <c r="X217" s="96">
        <f>V217/[1]Manure!$I$2</f>
        <v>0</v>
      </c>
      <c r="Y217" s="96">
        <f>W217/[1]Manure!$I$2</f>
        <v>551.18456419110601</v>
      </c>
      <c r="Z217" s="96"/>
      <c r="AA217" s="96"/>
      <c r="AB217" s="95"/>
      <c r="AC217" s="11"/>
    </row>
    <row r="218" spans="1:29" ht="15.75" thickBot="1" x14ac:dyDescent="0.3">
      <c r="A218" s="97">
        <v>45595</v>
      </c>
      <c r="B218" s="92">
        <v>0.41666666666666669</v>
      </c>
      <c r="C218" s="91"/>
      <c r="D218" s="91"/>
      <c r="E218" s="91" t="s">
        <v>60</v>
      </c>
      <c r="F218" s="91">
        <v>20</v>
      </c>
      <c r="G218" s="91">
        <v>309831</v>
      </c>
      <c r="H218" s="91">
        <v>31.3</v>
      </c>
      <c r="I218" s="91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>
        <f t="shared" si="2"/>
        <v>31.3</v>
      </c>
      <c r="T218" s="95">
        <f t="shared" si="82"/>
        <v>888</v>
      </c>
      <c r="U218" s="95">
        <f t="shared" ref="U218" si="83">T218*(I218/100)</f>
        <v>0</v>
      </c>
      <c r="V218" s="95">
        <f t="shared" si="77"/>
        <v>0</v>
      </c>
      <c r="W218" s="96">
        <f t="shared" si="72"/>
        <v>796.66118961551103</v>
      </c>
      <c r="X218" s="96">
        <f>V218/[1]Manure!$I$2</f>
        <v>0</v>
      </c>
      <c r="Y218" s="96">
        <f>W218/[1]Manure!$I$2</f>
        <v>568.1558416180136</v>
      </c>
      <c r="Z218" s="96"/>
      <c r="AA218" s="96"/>
      <c r="AB218" s="95"/>
      <c r="AC218" s="11"/>
    </row>
    <row r="219" spans="1:29" ht="15.75" thickBot="1" x14ac:dyDescent="0.3">
      <c r="A219" s="97">
        <v>45596</v>
      </c>
      <c r="B219" s="92">
        <v>0.41666666666666669</v>
      </c>
      <c r="C219" s="91"/>
      <c r="D219" s="91"/>
      <c r="E219" s="91" t="s">
        <v>60</v>
      </c>
      <c r="F219" s="91">
        <v>20</v>
      </c>
      <c r="G219" s="91">
        <v>310719</v>
      </c>
      <c r="H219" s="91">
        <v>27.8</v>
      </c>
      <c r="I219" s="91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>
        <f t="shared" si="2"/>
        <v>27.8</v>
      </c>
      <c r="T219" s="95">
        <f t="shared" si="82"/>
        <v>888</v>
      </c>
      <c r="U219" s="95">
        <f t="shared" ref="U219:U220" si="84">T219*(P219/100)</f>
        <v>0</v>
      </c>
      <c r="V219" s="95">
        <f t="shared" si="77"/>
        <v>0</v>
      </c>
      <c r="W219" s="96">
        <f t="shared" si="72"/>
        <v>805.93085106382978</v>
      </c>
      <c r="X219" s="96">
        <f>V219/[1]Manure!$I$2</f>
        <v>0</v>
      </c>
      <c r="Y219" s="96">
        <f>W219/[1]Manure!$I$2</f>
        <v>574.76669748790403</v>
      </c>
      <c r="Z219" s="96"/>
      <c r="AA219" s="96"/>
      <c r="AB219" s="95"/>
      <c r="AC219" s="11"/>
    </row>
    <row r="220" spans="1:29" ht="15.75" thickBot="1" x14ac:dyDescent="0.3">
      <c r="A220" s="97">
        <v>45597</v>
      </c>
      <c r="B220" s="92">
        <v>0.41666666666666669</v>
      </c>
      <c r="C220" s="91"/>
      <c r="D220" s="91"/>
      <c r="E220" s="91" t="s">
        <v>60</v>
      </c>
      <c r="F220" s="91">
        <v>20</v>
      </c>
      <c r="G220" s="91">
        <v>311572</v>
      </c>
      <c r="H220" s="91">
        <v>26.1</v>
      </c>
      <c r="I220" s="91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>
        <f t="shared" si="2"/>
        <v>26.1</v>
      </c>
      <c r="T220" s="95">
        <f t="shared" si="82"/>
        <v>853</v>
      </c>
      <c r="U220" s="95">
        <f t="shared" si="84"/>
        <v>0</v>
      </c>
      <c r="V220" s="95">
        <f t="shared" si="77"/>
        <v>0</v>
      </c>
      <c r="W220" s="96">
        <f t="shared" si="72"/>
        <v>778.56569709127371</v>
      </c>
      <c r="X220" s="96">
        <f>V220/[1]Manure!$I$2</f>
        <v>0</v>
      </c>
      <c r="Y220" s="96">
        <f>W220/[1]Manure!$I$2</f>
        <v>555.25065693145643</v>
      </c>
      <c r="Z220" s="96"/>
      <c r="AA220" s="96"/>
      <c r="AB220" s="95"/>
      <c r="AC220" s="11"/>
    </row>
    <row r="221" spans="1:29" ht="15.75" thickBot="1" x14ac:dyDescent="0.3">
      <c r="A221" s="97">
        <v>45598</v>
      </c>
      <c r="B221" s="92">
        <v>0.41666666666666669</v>
      </c>
      <c r="C221" s="91"/>
      <c r="D221" s="91"/>
      <c r="E221" s="91" t="s">
        <v>60</v>
      </c>
      <c r="F221" s="91">
        <v>20</v>
      </c>
      <c r="G221" s="91">
        <v>312467</v>
      </c>
      <c r="H221" s="91">
        <v>25.9</v>
      </c>
      <c r="I221" s="91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>
        <f t="shared" si="2"/>
        <v>25.9</v>
      </c>
      <c r="T221" s="95">
        <f t="shared" si="82"/>
        <v>895</v>
      </c>
      <c r="U221" s="95">
        <f t="shared" si="64"/>
        <v>0</v>
      </c>
      <c r="V221" s="95">
        <f t="shared" si="77"/>
        <v>0</v>
      </c>
      <c r="W221" s="96">
        <f t="shared" si="72"/>
        <v>817.44730679156908</v>
      </c>
      <c r="X221" s="96">
        <f>V221/[1]Manure!$I$2</f>
        <v>0</v>
      </c>
      <c r="Y221" s="96">
        <f>W221/[1]Manure!$I$2</f>
        <v>582.97990240078332</v>
      </c>
      <c r="Z221" s="96"/>
      <c r="AA221" s="96"/>
      <c r="AB221" s="95"/>
      <c r="AC221" s="11"/>
    </row>
    <row r="222" spans="1:29" ht="15.75" thickBot="1" x14ac:dyDescent="0.3">
      <c r="A222" s="97">
        <v>45601</v>
      </c>
      <c r="B222" s="92">
        <v>0.41666666666666669</v>
      </c>
      <c r="C222" s="91"/>
      <c r="D222" s="91"/>
      <c r="E222" s="91" t="s">
        <v>60</v>
      </c>
      <c r="F222" s="91">
        <v>20</v>
      </c>
      <c r="G222" s="91">
        <v>314944</v>
      </c>
      <c r="H222" s="91">
        <v>24</v>
      </c>
      <c r="I222" s="91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>
        <f t="shared" si="2"/>
        <v>24</v>
      </c>
      <c r="T222" s="95">
        <f t="shared" si="82"/>
        <v>2477</v>
      </c>
      <c r="U222" s="95">
        <f t="shared" si="65"/>
        <v>0</v>
      </c>
      <c r="V222" s="95">
        <f t="shared" si="77"/>
        <v>0</v>
      </c>
      <c r="W222" s="96">
        <f t="shared" si="72"/>
        <v>2276.8383838383838</v>
      </c>
      <c r="X222" s="96">
        <f>V222/[1]Manure!$I$2</f>
        <v>0</v>
      </c>
      <c r="Y222" s="96">
        <f>W222/[1]Manure!$I$2</f>
        <v>1623.7756339331891</v>
      </c>
      <c r="Z222" s="96"/>
      <c r="AA222" s="96"/>
      <c r="AB222" s="95"/>
      <c r="AC222" s="11"/>
    </row>
    <row r="223" spans="1:29" ht="15.75" thickBot="1" x14ac:dyDescent="0.3">
      <c r="A223" s="97">
        <v>45602</v>
      </c>
      <c r="B223" s="92">
        <v>0.41666666666666669</v>
      </c>
      <c r="C223" s="91"/>
      <c r="D223" s="91"/>
      <c r="E223" s="91" t="s">
        <v>60</v>
      </c>
      <c r="F223" s="91">
        <v>20</v>
      </c>
      <c r="G223" s="91">
        <v>315614</v>
      </c>
      <c r="H223" s="91">
        <v>22.6</v>
      </c>
      <c r="I223" s="91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>
        <f t="shared" si="2"/>
        <v>22.6</v>
      </c>
      <c r="T223" s="95">
        <f t="shared" si="82"/>
        <v>670</v>
      </c>
      <c r="U223" s="95">
        <f t="shared" si="65"/>
        <v>0</v>
      </c>
      <c r="V223" s="95">
        <f t="shared" si="77"/>
        <v>0</v>
      </c>
      <c r="W223" s="96">
        <f t="shared" si="72"/>
        <v>618.77537212449249</v>
      </c>
      <c r="X223" s="96">
        <f>V223/[1]Manure!$I$2</f>
        <v>0</v>
      </c>
      <c r="Y223" s="96">
        <f>W223/[1]Manure!$I$2</f>
        <v>441.29279410681823</v>
      </c>
      <c r="Z223" s="96"/>
      <c r="AA223" s="96"/>
      <c r="AB223" s="95"/>
      <c r="AC223" s="11"/>
    </row>
    <row r="224" spans="1:29" ht="15.75" thickBot="1" x14ac:dyDescent="0.3">
      <c r="A224" s="97">
        <v>45603</v>
      </c>
      <c r="B224" s="92">
        <v>0.41666666666666669</v>
      </c>
      <c r="C224" s="91"/>
      <c r="D224" s="91"/>
      <c r="E224" s="91" t="s">
        <v>60</v>
      </c>
      <c r="F224" s="91">
        <v>20</v>
      </c>
      <c r="G224" s="91">
        <v>316596</v>
      </c>
      <c r="H224" s="91">
        <v>24.4</v>
      </c>
      <c r="I224" s="91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>
        <f t="shared" si="2"/>
        <v>24.4</v>
      </c>
      <c r="T224" s="95">
        <f t="shared" si="82"/>
        <v>982</v>
      </c>
      <c r="U224" s="95">
        <f t="shared" si="66"/>
        <v>0</v>
      </c>
      <c r="V224" s="95">
        <f t="shared" si="77"/>
        <v>0</v>
      </c>
      <c r="W224" s="96">
        <f t="shared" si="72"/>
        <v>901.43241425689314</v>
      </c>
      <c r="X224" s="96">
        <f>V224/[1]Manure!$I$2</f>
        <v>0</v>
      </c>
      <c r="Y224" s="96">
        <f>W224/[1]Manure!$I$2</f>
        <v>642.87566491228426</v>
      </c>
      <c r="Z224" s="96"/>
      <c r="AA224" s="96"/>
      <c r="AB224" s="95"/>
      <c r="AC224" s="11"/>
    </row>
    <row r="225" spans="1:29" ht="15.75" thickBot="1" x14ac:dyDescent="0.3">
      <c r="A225" s="97">
        <v>45604</v>
      </c>
      <c r="B225" s="92">
        <v>0.41666666666666669</v>
      </c>
      <c r="C225" s="91"/>
      <c r="D225" s="91"/>
      <c r="E225" s="91" t="s">
        <v>60</v>
      </c>
      <c r="F225" s="91">
        <v>20</v>
      </c>
      <c r="G225" s="91">
        <v>317274</v>
      </c>
      <c r="H225" s="91">
        <v>25.1</v>
      </c>
      <c r="I225" s="91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>
        <f t="shared" si="2"/>
        <v>25.1</v>
      </c>
      <c r="T225" s="95">
        <f t="shared" si="82"/>
        <v>678</v>
      </c>
      <c r="U225" s="95">
        <f t="shared" si="67"/>
        <v>0</v>
      </c>
      <c r="V225" s="95">
        <f t="shared" si="77"/>
        <v>0</v>
      </c>
      <c r="W225" s="96">
        <f t="shared" si="72"/>
        <v>620.91244548809118</v>
      </c>
      <c r="X225" s="96">
        <f>V225/[1]Manure!$I$2</f>
        <v>0</v>
      </c>
      <c r="Y225" s="96">
        <f>W225/[1]Manure!$I$2</f>
        <v>442.81689334915848</v>
      </c>
      <c r="Z225" s="96"/>
      <c r="AA225" s="96"/>
      <c r="AB225" s="95"/>
      <c r="AC225" s="11"/>
    </row>
    <row r="226" spans="1:29" ht="15.75" thickBot="1" x14ac:dyDescent="0.3">
      <c r="A226" s="97">
        <v>45607</v>
      </c>
      <c r="B226" s="92">
        <v>0.41666666666666669</v>
      </c>
      <c r="C226" s="91"/>
      <c r="D226" s="91"/>
      <c r="E226" s="91" t="s">
        <v>60</v>
      </c>
      <c r="F226" s="91">
        <v>20</v>
      </c>
      <c r="G226" s="91">
        <v>318181</v>
      </c>
      <c r="H226" s="91">
        <v>26.8</v>
      </c>
      <c r="I226" s="91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>
        <f t="shared" si="2"/>
        <v>26.8</v>
      </c>
      <c r="T226" s="95">
        <f t="shared" si="82"/>
        <v>907</v>
      </c>
      <c r="U226" s="95">
        <f t="shared" si="67"/>
        <v>0</v>
      </c>
      <c r="V226" s="95">
        <f t="shared" si="77"/>
        <v>0</v>
      </c>
      <c r="W226" s="96">
        <f t="shared" si="72"/>
        <v>825.92061374249499</v>
      </c>
      <c r="X226" s="96">
        <f>V226/[1]Manure!$I$2</f>
        <v>0</v>
      </c>
      <c r="Y226" s="96">
        <f>W226/[1]Manure!$I$2</f>
        <v>589.02282115312585</v>
      </c>
      <c r="Z226" s="96"/>
      <c r="AA226" s="96"/>
      <c r="AB226" s="95"/>
      <c r="AC226" s="11"/>
    </row>
    <row r="227" spans="1:29" ht="15.75" thickBot="1" x14ac:dyDescent="0.3">
      <c r="A227" s="97">
        <v>45608</v>
      </c>
      <c r="B227" s="92">
        <v>0.41666666666666669</v>
      </c>
      <c r="C227" s="91"/>
      <c r="D227" s="91"/>
      <c r="E227" s="91" t="s">
        <v>60</v>
      </c>
      <c r="F227" s="91">
        <v>20</v>
      </c>
      <c r="G227" s="91">
        <v>318206</v>
      </c>
      <c r="H227" s="91">
        <v>22.1</v>
      </c>
      <c r="I227" s="91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>
        <f t="shared" si="2"/>
        <v>22.1</v>
      </c>
      <c r="T227" s="95">
        <f t="shared" si="82"/>
        <v>25</v>
      </c>
      <c r="U227" s="95">
        <f t="shared" si="68"/>
        <v>0</v>
      </c>
      <c r="V227" s="95">
        <f t="shared" si="77"/>
        <v>0</v>
      </c>
      <c r="W227" s="96">
        <f t="shared" si="72"/>
        <v>23.127753303964756</v>
      </c>
      <c r="X227" s="96">
        <f>V227/[1]Manure!$I$2</f>
        <v>0</v>
      </c>
      <c r="Y227" s="96">
        <f>W227/[1]Manure!$I$2</f>
        <v>16.494048303632905</v>
      </c>
      <c r="Z227" s="96"/>
      <c r="AA227" s="96"/>
      <c r="AB227" s="95"/>
      <c r="AC227" s="11"/>
    </row>
    <row r="228" spans="1:29" ht="15.75" thickBot="1" x14ac:dyDescent="0.3">
      <c r="A228" s="97">
        <v>45609</v>
      </c>
      <c r="B228" s="92">
        <v>0.41666666666666669</v>
      </c>
      <c r="C228" s="91"/>
      <c r="D228" s="91"/>
      <c r="E228" s="91" t="s">
        <v>60</v>
      </c>
      <c r="F228" s="91">
        <v>20</v>
      </c>
      <c r="G228" s="91">
        <v>318288</v>
      </c>
      <c r="H228" s="91">
        <v>20.9</v>
      </c>
      <c r="I228" s="91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>
        <f t="shared" si="2"/>
        <v>20.9</v>
      </c>
      <c r="T228" s="95">
        <f t="shared" si="82"/>
        <v>82</v>
      </c>
      <c r="U228" s="95">
        <f t="shared" si="69"/>
        <v>0</v>
      </c>
      <c r="V228" s="95">
        <f t="shared" si="77"/>
        <v>0</v>
      </c>
      <c r="W228" s="96">
        <f t="shared" si="72"/>
        <v>76.168764886015666</v>
      </c>
      <c r="X228" s="96">
        <f>V228/[1]Manure!$I$2</f>
        <v>0</v>
      </c>
      <c r="Y228" s="96">
        <f>W228/[1]Manure!$I$2</f>
        <v>54.321371849060206</v>
      </c>
      <c r="Z228" s="96"/>
      <c r="AA228" s="96"/>
      <c r="AB228" s="95"/>
      <c r="AC228" s="11"/>
    </row>
    <row r="229" spans="1:29" ht="15.75" thickBot="1" x14ac:dyDescent="0.3">
      <c r="A229" s="97">
        <v>45610</v>
      </c>
      <c r="B229" s="92">
        <v>0.41666666666666669</v>
      </c>
      <c r="C229" s="91"/>
      <c r="D229" s="91"/>
      <c r="E229" s="91" t="s">
        <v>60</v>
      </c>
      <c r="F229" s="91">
        <v>20</v>
      </c>
      <c r="G229" s="91">
        <v>318802</v>
      </c>
      <c r="H229" s="91">
        <v>18.7</v>
      </c>
      <c r="I229" s="91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>
        <f t="shared" si="2"/>
        <v>18.7</v>
      </c>
      <c r="T229" s="95">
        <f t="shared" si="82"/>
        <v>514</v>
      </c>
      <c r="U229" s="95">
        <f t="shared" si="69"/>
        <v>0</v>
      </c>
      <c r="V229" s="95">
        <f t="shared" si="77"/>
        <v>0</v>
      </c>
      <c r="W229" s="96">
        <f t="shared" si="72"/>
        <v>481.04902296880363</v>
      </c>
      <c r="X229" s="96">
        <f>V229/[1]Manure!$I$2</f>
        <v>0</v>
      </c>
      <c r="Y229" s="96">
        <f>W229/[1]Manure!$I$2</f>
        <v>343.07032408127043</v>
      </c>
      <c r="Z229" s="96"/>
      <c r="AA229" s="96"/>
      <c r="AB229" s="95"/>
      <c r="AC229" s="11"/>
    </row>
    <row r="230" spans="1:29" ht="15.75" thickBot="1" x14ac:dyDescent="0.3">
      <c r="A230" s="97">
        <v>45611</v>
      </c>
      <c r="B230" s="92">
        <v>0.41666666666666669</v>
      </c>
      <c r="C230" s="91"/>
      <c r="D230" s="91"/>
      <c r="E230" s="91" t="s">
        <v>60</v>
      </c>
      <c r="F230" s="91">
        <v>20</v>
      </c>
      <c r="G230" s="91">
        <v>319389</v>
      </c>
      <c r="H230" s="91">
        <v>16.899999999999999</v>
      </c>
      <c r="I230" s="91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>
        <f t="shared" si="2"/>
        <v>16.899999999999999</v>
      </c>
      <c r="T230" s="95">
        <f t="shared" si="82"/>
        <v>587</v>
      </c>
      <c r="U230" s="95">
        <f t="shared" si="70"/>
        <v>0</v>
      </c>
      <c r="V230" s="95">
        <f t="shared" si="77"/>
        <v>0</v>
      </c>
      <c r="W230" s="96">
        <f t="shared" si="72"/>
        <v>552.78026905829597</v>
      </c>
      <c r="X230" s="96">
        <f>V230/[1]Manure!$I$2</f>
        <v>0</v>
      </c>
      <c r="Y230" s="96">
        <f>W230/[1]Manure!$I$2</f>
        <v>394.22698518579034</v>
      </c>
      <c r="Z230" s="96"/>
      <c r="AA230" s="96"/>
      <c r="AB230" s="95"/>
      <c r="AC230" s="11"/>
    </row>
    <row r="231" spans="1:29" ht="15.75" thickBot="1" x14ac:dyDescent="0.3">
      <c r="A231" s="97">
        <v>45612</v>
      </c>
      <c r="B231" s="92">
        <v>0.41666666666666669</v>
      </c>
      <c r="C231" s="91"/>
      <c r="D231" s="91"/>
      <c r="E231" s="91" t="s">
        <v>60</v>
      </c>
      <c r="F231" s="91">
        <v>20</v>
      </c>
      <c r="G231" s="91">
        <v>320152</v>
      </c>
      <c r="H231" s="91">
        <v>27.2</v>
      </c>
      <c r="I231" s="91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>
        <f t="shared" si="2"/>
        <v>27.2</v>
      </c>
      <c r="T231" s="95">
        <f t="shared" si="82"/>
        <v>763</v>
      </c>
      <c r="U231" s="95">
        <f t="shared" si="71"/>
        <v>0</v>
      </c>
      <c r="V231" s="95">
        <f t="shared" si="77"/>
        <v>0</v>
      </c>
      <c r="W231" s="96">
        <f t="shared" si="72"/>
        <v>693.86742171885419</v>
      </c>
      <c r="X231" s="96">
        <f>V231/[1]Manure!$I$2</f>
        <v>0</v>
      </c>
      <c r="Y231" s="96">
        <f>W231/[1]Manure!$I$2</f>
        <v>494.84628358544705</v>
      </c>
      <c r="Z231" s="96"/>
      <c r="AA231" s="96"/>
      <c r="AB231" s="95"/>
      <c r="AC231" s="11"/>
    </row>
    <row r="232" spans="1:29" ht="15.75" thickBot="1" x14ac:dyDescent="0.3">
      <c r="A232" s="97">
        <v>45614</v>
      </c>
      <c r="B232" s="92">
        <v>0.41666666666666669</v>
      </c>
      <c r="C232" s="91"/>
      <c r="D232" s="91"/>
      <c r="E232" s="91" t="s">
        <v>60</v>
      </c>
      <c r="F232" s="91">
        <v>20</v>
      </c>
      <c r="G232" s="91">
        <v>320758</v>
      </c>
      <c r="H232" s="91">
        <v>27.3</v>
      </c>
      <c r="I232" s="91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>
        <f t="shared" si="2"/>
        <v>27.3</v>
      </c>
      <c r="T232" s="95">
        <f t="shared" si="82"/>
        <v>606</v>
      </c>
      <c r="U232" s="95">
        <f t="shared" si="71"/>
        <v>0</v>
      </c>
      <c r="V232" s="95">
        <f t="shared" si="77"/>
        <v>0</v>
      </c>
      <c r="W232" s="96">
        <f t="shared" si="72"/>
        <v>550.90909090909088</v>
      </c>
      <c r="X232" s="96">
        <f>V232/[1]Manure!$I$2</f>
        <v>0</v>
      </c>
      <c r="Y232" s="96">
        <f>W232/[1]Manure!$I$2</f>
        <v>392.89251476092636</v>
      </c>
      <c r="Z232" s="96"/>
      <c r="AA232" s="96"/>
      <c r="AB232" s="95"/>
      <c r="AC232" s="11"/>
    </row>
    <row r="233" spans="1:29" ht="15.75" thickBot="1" x14ac:dyDescent="0.3">
      <c r="A233" s="97">
        <v>45615</v>
      </c>
      <c r="B233" s="92">
        <v>0.41666666666666669</v>
      </c>
      <c r="C233" s="91"/>
      <c r="D233" s="91"/>
      <c r="E233" s="91" t="s">
        <v>60</v>
      </c>
      <c r="F233" s="91">
        <v>20</v>
      </c>
      <c r="G233" s="91">
        <v>321418</v>
      </c>
      <c r="H233" s="91">
        <v>22.6</v>
      </c>
      <c r="I233" s="91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>
        <f t="shared" si="2"/>
        <v>22.6</v>
      </c>
      <c r="T233" s="95">
        <f t="shared" si="82"/>
        <v>660</v>
      </c>
      <c r="U233" s="95">
        <f t="shared" si="73"/>
        <v>0</v>
      </c>
      <c r="V233" s="95">
        <f t="shared" si="77"/>
        <v>0</v>
      </c>
      <c r="W233" s="96">
        <f t="shared" si="72"/>
        <v>609.53991880920159</v>
      </c>
      <c r="X233" s="96">
        <f>V233/[1]Manure!$I$2</f>
        <v>0</v>
      </c>
      <c r="Y233" s="96">
        <f>W233/[1]Manure!$I$2</f>
        <v>434.70633449328369</v>
      </c>
      <c r="Z233" s="96"/>
      <c r="AA233" s="96"/>
      <c r="AB233" s="95"/>
      <c r="AC233" s="11"/>
    </row>
    <row r="234" spans="1:29" ht="15.75" thickBot="1" x14ac:dyDescent="0.3">
      <c r="A234" s="97">
        <v>45616</v>
      </c>
      <c r="B234" s="92">
        <v>0.41666666666666669</v>
      </c>
      <c r="C234" s="91"/>
      <c r="D234" s="91"/>
      <c r="E234" s="91" t="s">
        <v>60</v>
      </c>
      <c r="F234" s="91">
        <v>20</v>
      </c>
      <c r="G234" s="91">
        <v>321875</v>
      </c>
      <c r="H234" s="91">
        <v>24.6</v>
      </c>
      <c r="I234" s="91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>
        <f t="shared" si="2"/>
        <v>24.6</v>
      </c>
      <c r="T234" s="95">
        <f t="shared" si="82"/>
        <v>457</v>
      </c>
      <c r="U234" s="95">
        <f t="shared" si="74"/>
        <v>0</v>
      </c>
      <c r="V234" s="95">
        <f t="shared" si="77"/>
        <v>0</v>
      </c>
      <c r="W234" s="96">
        <f t="shared" si="72"/>
        <v>419.22379032258061</v>
      </c>
      <c r="X234" s="96">
        <f>V234/[1]Manure!$I$2</f>
        <v>0</v>
      </c>
      <c r="Y234" s="96">
        <f>W234/[1]Manure!$I$2</f>
        <v>298.97834678249274</v>
      </c>
      <c r="Z234" s="96"/>
      <c r="AA234" s="96"/>
      <c r="AB234" s="95"/>
      <c r="AC234" s="11"/>
    </row>
    <row r="235" spans="1:29" ht="15.75" thickBot="1" x14ac:dyDescent="0.3">
      <c r="A235" s="97">
        <v>45617</v>
      </c>
      <c r="B235" s="92">
        <v>0.41666666666666669</v>
      </c>
      <c r="C235" s="91"/>
      <c r="D235" s="91"/>
      <c r="E235" s="91" t="s">
        <v>60</v>
      </c>
      <c r="F235" s="91">
        <v>20</v>
      </c>
      <c r="G235" s="91">
        <v>322349</v>
      </c>
      <c r="H235" s="91">
        <v>23.6</v>
      </c>
      <c r="I235" s="91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>
        <f t="shared" si="2"/>
        <v>23.6</v>
      </c>
      <c r="T235" s="95">
        <f t="shared" si="82"/>
        <v>474</v>
      </c>
      <c r="U235" s="95">
        <f t="shared" si="74"/>
        <v>0</v>
      </c>
      <c r="V235" s="95">
        <f t="shared" si="77"/>
        <v>0</v>
      </c>
      <c r="W235" s="96">
        <f t="shared" si="72"/>
        <v>436.28455832771408</v>
      </c>
      <c r="X235" s="96">
        <f>V235/[1]Manure!$I$2</f>
        <v>0</v>
      </c>
      <c r="Y235" s="96">
        <f>W235/[1]Manure!$I$2</f>
        <v>311.14559570958613</v>
      </c>
      <c r="Z235" s="96"/>
      <c r="AA235" s="96"/>
      <c r="AB235" s="95"/>
      <c r="AC235" s="11"/>
    </row>
    <row r="236" spans="1:29" ht="15.75" thickBot="1" x14ac:dyDescent="0.3">
      <c r="A236" s="97">
        <v>45618</v>
      </c>
      <c r="B236" s="92">
        <v>0.41666666666666669</v>
      </c>
      <c r="C236" s="91"/>
      <c r="D236" s="91"/>
      <c r="E236" s="91" t="s">
        <v>60</v>
      </c>
      <c r="F236" s="91">
        <v>20</v>
      </c>
      <c r="G236" s="91">
        <v>323051</v>
      </c>
      <c r="H236" s="91">
        <v>26.7</v>
      </c>
      <c r="I236" s="91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>
        <f t="shared" si="2"/>
        <v>26.7</v>
      </c>
      <c r="T236" s="95">
        <f t="shared" si="82"/>
        <v>702</v>
      </c>
      <c r="U236" s="95">
        <f t="shared" si="75"/>
        <v>0</v>
      </c>
      <c r="V236" s="95">
        <f t="shared" si="77"/>
        <v>0</v>
      </c>
      <c r="W236" s="96">
        <f t="shared" si="72"/>
        <v>639.45945945945948</v>
      </c>
      <c r="X236" s="96">
        <f>V236/[1]Manure!$I$2</f>
        <v>0</v>
      </c>
      <c r="Y236" s="96">
        <f>W236/[1]Manure!$I$2</f>
        <v>456.044090142176</v>
      </c>
      <c r="Z236" s="96"/>
      <c r="AA236" s="96"/>
      <c r="AB236" s="95"/>
      <c r="AC236" s="11"/>
    </row>
    <row r="237" spans="1:29" ht="15.75" thickBot="1" x14ac:dyDescent="0.3">
      <c r="A237" s="97">
        <v>45619</v>
      </c>
      <c r="B237" s="92">
        <v>0.41666666666666669</v>
      </c>
      <c r="C237" s="91"/>
      <c r="D237" s="91"/>
      <c r="E237" s="91" t="s">
        <v>60</v>
      </c>
      <c r="F237" s="91">
        <v>20</v>
      </c>
      <c r="G237" s="91">
        <v>324115</v>
      </c>
      <c r="H237" s="91">
        <v>23</v>
      </c>
      <c r="I237" s="91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>
        <f t="shared" si="2"/>
        <v>23</v>
      </c>
      <c r="T237" s="95">
        <f t="shared" si="82"/>
        <v>1064</v>
      </c>
      <c r="U237" s="95">
        <f t="shared" si="76"/>
        <v>0</v>
      </c>
      <c r="V237" s="95">
        <f t="shared" si="77"/>
        <v>0</v>
      </c>
      <c r="W237" s="96">
        <f t="shared" si="72"/>
        <v>981.32432432432427</v>
      </c>
      <c r="X237" s="96">
        <f>V237/[1]Manure!$I$2</f>
        <v>0</v>
      </c>
      <c r="Y237" s="96">
        <f>W237/[1]Manure!$I$2</f>
        <v>699.85227679510842</v>
      </c>
      <c r="Z237" s="96"/>
      <c r="AA237" s="96"/>
      <c r="AB237" s="95"/>
      <c r="AC237" s="11"/>
    </row>
    <row r="238" spans="1:29" ht="15.75" thickBot="1" x14ac:dyDescent="0.3">
      <c r="A238" s="97">
        <v>45621</v>
      </c>
      <c r="B238" s="92">
        <v>0.41666666666666669</v>
      </c>
      <c r="C238" s="91"/>
      <c r="D238" s="91"/>
      <c r="E238" s="91" t="s">
        <v>60</v>
      </c>
      <c r="F238" s="91">
        <v>20</v>
      </c>
      <c r="G238" s="91">
        <v>324673</v>
      </c>
      <c r="H238" s="91">
        <v>23.9</v>
      </c>
      <c r="I238" s="91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>
        <f t="shared" si="2"/>
        <v>23.9</v>
      </c>
      <c r="T238" s="95">
        <f t="shared" si="82"/>
        <v>558</v>
      </c>
      <c r="U238" s="95">
        <f t="shared" si="76"/>
        <v>0</v>
      </c>
      <c r="V238" s="95">
        <f t="shared" si="77"/>
        <v>0</v>
      </c>
      <c r="W238" s="96">
        <f t="shared" si="72"/>
        <v>513.08184573930612</v>
      </c>
      <c r="X238" s="96">
        <f>V238/[1]Manure!$I$2</f>
        <v>0</v>
      </c>
      <c r="Y238" s="96">
        <f>W238/[1]Manure!$I$2</f>
        <v>365.91521174218326</v>
      </c>
      <c r="Z238" s="96"/>
      <c r="AA238" s="96"/>
      <c r="AB238" s="95"/>
      <c r="AC238" s="11"/>
    </row>
    <row r="239" spans="1:29" ht="15.75" thickBot="1" x14ac:dyDescent="0.3">
      <c r="A239" s="97">
        <v>45622</v>
      </c>
      <c r="B239" s="92">
        <v>0.41666666666666669</v>
      </c>
      <c r="C239" s="91"/>
      <c r="D239" s="91"/>
      <c r="E239" s="91" t="s">
        <v>60</v>
      </c>
      <c r="F239" s="91">
        <v>20</v>
      </c>
      <c r="G239" s="91">
        <v>325465</v>
      </c>
      <c r="H239" s="91">
        <v>21.2</v>
      </c>
      <c r="I239" s="91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>
        <f t="shared" si="2"/>
        <v>21.2</v>
      </c>
      <c r="T239" s="95">
        <f t="shared" si="82"/>
        <v>792</v>
      </c>
      <c r="U239" s="95">
        <f t="shared" si="78"/>
        <v>0</v>
      </c>
      <c r="V239" s="95">
        <f t="shared" si="77"/>
        <v>0</v>
      </c>
      <c r="W239" s="96">
        <f t="shared" si="72"/>
        <v>734.92861998640387</v>
      </c>
      <c r="X239" s="96">
        <f>V239/[1]Manure!$I$2</f>
        <v>0</v>
      </c>
      <c r="Y239" s="96">
        <f>W239/[1]Manure!$I$2</f>
        <v>524.12994891725907</v>
      </c>
      <c r="Z239" s="96"/>
      <c r="AA239" s="96"/>
      <c r="AB239" s="95"/>
      <c r="AC239" s="11"/>
    </row>
    <row r="240" spans="1:29" ht="15.75" thickBot="1" x14ac:dyDescent="0.3">
      <c r="A240" s="97">
        <v>45623</v>
      </c>
      <c r="B240" s="92">
        <v>0.41666666666666669</v>
      </c>
      <c r="C240" s="91"/>
      <c r="D240" s="91"/>
      <c r="E240" s="91" t="s">
        <v>60</v>
      </c>
      <c r="F240" s="91">
        <v>20</v>
      </c>
      <c r="G240" s="91">
        <v>326134</v>
      </c>
      <c r="H240" s="91">
        <v>25.9</v>
      </c>
      <c r="I240" s="91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>
        <f t="shared" si="2"/>
        <v>25.9</v>
      </c>
      <c r="T240" s="95">
        <f t="shared" si="82"/>
        <v>669</v>
      </c>
      <c r="U240" s="95">
        <f t="shared" si="79"/>
        <v>0</v>
      </c>
      <c r="V240" s="95">
        <f t="shared" si="77"/>
        <v>0</v>
      </c>
      <c r="W240" s="96">
        <f t="shared" si="72"/>
        <v>611.03044496487121</v>
      </c>
      <c r="X240" s="96">
        <f>V240/[1]Manure!$I$2</f>
        <v>0</v>
      </c>
      <c r="Y240" s="96">
        <f>W240/[1]Manure!$I$2</f>
        <v>435.76933486717769</v>
      </c>
      <c r="Z240" s="96"/>
      <c r="AA240" s="96"/>
      <c r="AB240" s="95"/>
      <c r="AC240" s="11"/>
    </row>
    <row r="241" spans="1:29" ht="15.75" thickBot="1" x14ac:dyDescent="0.3">
      <c r="A241" s="97">
        <v>45624</v>
      </c>
      <c r="B241" s="92">
        <v>0.41666666666666669</v>
      </c>
      <c r="C241" s="91"/>
      <c r="D241" s="91"/>
      <c r="E241" s="91" t="s">
        <v>60</v>
      </c>
      <c r="F241" s="91">
        <v>20</v>
      </c>
      <c r="G241" s="91">
        <v>326892</v>
      </c>
      <c r="H241" s="91">
        <v>28.3</v>
      </c>
      <c r="I241" s="91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>
        <f t="shared" si="2"/>
        <v>28.3</v>
      </c>
      <c r="T241" s="95">
        <f t="shared" si="82"/>
        <v>758</v>
      </c>
      <c r="U241" s="95">
        <f t="shared" si="79"/>
        <v>0</v>
      </c>
      <c r="V241" s="95">
        <f t="shared" si="77"/>
        <v>0</v>
      </c>
      <c r="W241" s="96">
        <f t="shared" si="72"/>
        <v>686.80384998340526</v>
      </c>
      <c r="X241" s="96">
        <f>V241/[1]Manure!$I$2</f>
        <v>0</v>
      </c>
      <c r="Y241" s="96">
        <f>W241/[1]Manure!$I$2</f>
        <v>489.80874743269425</v>
      </c>
      <c r="Z241" s="96"/>
      <c r="AA241" s="96"/>
      <c r="AB241" s="95"/>
      <c r="AC241" s="11"/>
    </row>
    <row r="242" spans="1:29" ht="15.75" thickBot="1" x14ac:dyDescent="0.3">
      <c r="A242" s="97">
        <v>45625</v>
      </c>
      <c r="B242" s="92">
        <v>0.41666666666666669</v>
      </c>
      <c r="C242" s="91"/>
      <c r="D242" s="91"/>
      <c r="E242" s="91" t="s">
        <v>60</v>
      </c>
      <c r="F242" s="91">
        <v>20</v>
      </c>
      <c r="G242" s="91">
        <v>327694</v>
      </c>
      <c r="H242" s="91">
        <v>25.5</v>
      </c>
      <c r="I242" s="91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>
        <f t="shared" si="2"/>
        <v>25.5</v>
      </c>
      <c r="T242" s="95">
        <f t="shared" si="82"/>
        <v>802</v>
      </c>
      <c r="U242" s="95">
        <f t="shared" ref="U242" si="85">T242*(I242/100)</f>
        <v>0</v>
      </c>
      <c r="V242" s="95">
        <f t="shared" si="77"/>
        <v>0</v>
      </c>
      <c r="W242" s="96">
        <f t="shared" si="72"/>
        <v>733.48743718592959</v>
      </c>
      <c r="X242" s="96">
        <f>V242/[1]Manure!$I$2</f>
        <v>0</v>
      </c>
      <c r="Y242" s="96">
        <f>W242/[1]Manure!$I$2</f>
        <v>523.1021388047518</v>
      </c>
      <c r="Z242" s="96"/>
      <c r="AA242" s="96"/>
      <c r="AB242" s="95"/>
      <c r="AC242" s="11"/>
    </row>
    <row r="243" spans="1:29" ht="15.75" thickBot="1" x14ac:dyDescent="0.3">
      <c r="A243" s="97">
        <v>45626</v>
      </c>
      <c r="B243" s="92">
        <v>0.41666666666666669</v>
      </c>
      <c r="C243" s="91"/>
      <c r="D243" s="91"/>
      <c r="E243" s="91" t="s">
        <v>60</v>
      </c>
      <c r="F243" s="91">
        <v>20</v>
      </c>
      <c r="G243" s="91">
        <v>329185</v>
      </c>
      <c r="H243" s="91">
        <v>22.4</v>
      </c>
      <c r="I243" s="91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>
        <f t="shared" si="2"/>
        <v>22.4</v>
      </c>
      <c r="T243" s="95">
        <f t="shared" si="82"/>
        <v>1491</v>
      </c>
      <c r="U243" s="95">
        <f t="shared" ref="U243:U244" si="86">T243*(P243/100)</f>
        <v>0</v>
      </c>
      <c r="V243" s="95">
        <f t="shared" si="77"/>
        <v>0</v>
      </c>
      <c r="W243" s="96">
        <f t="shared" si="72"/>
        <v>1377.9383886255926</v>
      </c>
      <c r="X243" s="96">
        <f>V243/[1]Manure!$I$2</f>
        <v>0</v>
      </c>
      <c r="Y243" s="96">
        <f>W243/[1]Manure!$I$2</f>
        <v>982.70601742904375</v>
      </c>
      <c r="Z243" s="96"/>
      <c r="AA243" s="96"/>
      <c r="AB243" s="95"/>
      <c r="AC243" s="11"/>
    </row>
    <row r="244" spans="1:29" ht="15.75" thickBot="1" x14ac:dyDescent="0.3">
      <c r="A244" s="97">
        <v>45629</v>
      </c>
      <c r="B244" s="92">
        <v>0.41666666666666669</v>
      </c>
      <c r="C244" s="91"/>
      <c r="D244" s="91"/>
      <c r="E244" s="91" t="s">
        <v>60</v>
      </c>
      <c r="F244" s="91">
        <v>20</v>
      </c>
      <c r="G244" s="91">
        <v>33096</v>
      </c>
      <c r="H244" s="91">
        <v>26.3</v>
      </c>
      <c r="I244" s="91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>
        <f t="shared" si="2"/>
        <v>26.3</v>
      </c>
      <c r="T244" s="95">
        <f t="shared" si="82"/>
        <v>-296089</v>
      </c>
      <c r="U244" s="95">
        <f t="shared" si="86"/>
        <v>0</v>
      </c>
      <c r="V244" s="95">
        <f t="shared" si="77"/>
        <v>0</v>
      </c>
      <c r="W244" s="96">
        <f t="shared" si="72"/>
        <v>-270071.15603073838</v>
      </c>
      <c r="X244" s="96">
        <f>V244/[1]Manure!$I$2</f>
        <v>0</v>
      </c>
      <c r="Y244" s="96">
        <f>W244/[1]Manure!$I$2</f>
        <v>-192606.97891590439</v>
      </c>
      <c r="Z244" s="96"/>
      <c r="AA244" s="96"/>
      <c r="AB244" s="95"/>
      <c r="AC244" s="11"/>
    </row>
    <row r="245" spans="1:29" ht="15.75" thickBot="1" x14ac:dyDescent="0.3">
      <c r="A245" s="97">
        <v>45630</v>
      </c>
      <c r="B245" s="92">
        <v>0.41666666666666669</v>
      </c>
      <c r="C245" s="91"/>
      <c r="D245" s="91"/>
      <c r="E245" s="91" t="s">
        <v>60</v>
      </c>
      <c r="F245" s="91">
        <v>20</v>
      </c>
      <c r="G245" s="91">
        <v>330858</v>
      </c>
      <c r="H245" s="91">
        <v>27.3</v>
      </c>
      <c r="I245" s="91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>
        <f t="shared" si="2"/>
        <v>27.3</v>
      </c>
      <c r="T245" s="95">
        <f t="shared" si="82"/>
        <v>297762</v>
      </c>
      <c r="U245" s="95">
        <f t="shared" ref="U245:U269" si="87">T245*(I245/100)</f>
        <v>0</v>
      </c>
      <c r="V245" s="95">
        <f t="shared" si="77"/>
        <v>0</v>
      </c>
      <c r="W245" s="96">
        <f t="shared" si="72"/>
        <v>270692.72727272724</v>
      </c>
      <c r="X245" s="96">
        <f>V245/[1]Manure!$I$2</f>
        <v>0</v>
      </c>
      <c r="Y245" s="96">
        <f>W245/[1]Manure!$I$2</f>
        <v>193050.26564396525</v>
      </c>
      <c r="Z245" s="96"/>
      <c r="AA245" s="96"/>
      <c r="AB245" s="95"/>
      <c r="AC245" s="11"/>
    </row>
    <row r="246" spans="1:29" ht="15.75" thickBot="1" x14ac:dyDescent="0.3">
      <c r="A246" s="97">
        <v>45631</v>
      </c>
      <c r="B246" s="92">
        <v>0.41666666666666669</v>
      </c>
      <c r="C246" s="91"/>
      <c r="D246" s="91"/>
      <c r="E246" s="91" t="s">
        <v>60</v>
      </c>
      <c r="F246" s="91">
        <v>20</v>
      </c>
      <c r="G246" s="91">
        <v>331623</v>
      </c>
      <c r="H246" s="91">
        <v>26.5</v>
      </c>
      <c r="I246" s="91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>
        <f t="shared" si="2"/>
        <v>26.5</v>
      </c>
      <c r="T246" s="95">
        <f t="shared" si="82"/>
        <v>765</v>
      </c>
      <c r="U246" s="95">
        <f t="shared" ref="U246:U271" si="88">T246*(P246/100)</f>
        <v>0</v>
      </c>
      <c r="V246" s="95">
        <f t="shared" si="77"/>
        <v>0</v>
      </c>
      <c r="W246" s="96">
        <f t="shared" si="72"/>
        <v>697.31218697829718</v>
      </c>
      <c r="X246" s="96">
        <f>V246/[1]Manure!$I$2</f>
        <v>0</v>
      </c>
      <c r="Y246" s="96">
        <f>W246/[1]Manure!$I$2</f>
        <v>497.30299106745696</v>
      </c>
      <c r="Z246" s="96"/>
      <c r="AA246" s="96"/>
      <c r="AB246" s="95"/>
      <c r="AC246" s="11"/>
    </row>
    <row r="247" spans="1:29" ht="15.75" thickBot="1" x14ac:dyDescent="0.3">
      <c r="A247" s="97">
        <v>45632</v>
      </c>
      <c r="B247" s="92">
        <v>0.41666666666666669</v>
      </c>
      <c r="C247" s="91"/>
      <c r="D247" s="91"/>
      <c r="E247" s="91" t="s">
        <v>60</v>
      </c>
      <c r="F247" s="91">
        <v>20</v>
      </c>
      <c r="G247" s="91">
        <v>332436</v>
      </c>
      <c r="H247" s="91">
        <v>26.9</v>
      </c>
      <c r="I247" s="91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>
        <f t="shared" si="2"/>
        <v>26.9</v>
      </c>
      <c r="T247" s="95">
        <f t="shared" si="82"/>
        <v>813</v>
      </c>
      <c r="U247" s="95">
        <f t="shared" si="88"/>
        <v>0</v>
      </c>
      <c r="V247" s="95">
        <f t="shared" si="77"/>
        <v>0</v>
      </c>
      <c r="W247" s="96">
        <f t="shared" si="72"/>
        <v>740.07669223074356</v>
      </c>
      <c r="X247" s="96">
        <f>V247/[1]Manure!$I$2</f>
        <v>0</v>
      </c>
      <c r="Y247" s="96">
        <f>W247/[1]Manure!$I$2</f>
        <v>527.80140593916417</v>
      </c>
      <c r="Z247" s="96"/>
      <c r="AA247" s="96"/>
      <c r="AB247" s="95"/>
      <c r="AC247" s="11"/>
    </row>
    <row r="248" spans="1:29" ht="15.75" thickBot="1" x14ac:dyDescent="0.3">
      <c r="A248" s="97">
        <v>45633</v>
      </c>
      <c r="B248" s="92">
        <v>0.41666666666666669</v>
      </c>
      <c r="C248" s="91"/>
      <c r="D248" s="91"/>
      <c r="E248" s="91" t="s">
        <v>60</v>
      </c>
      <c r="F248" s="91">
        <v>20</v>
      </c>
      <c r="G248" s="91">
        <v>333455</v>
      </c>
      <c r="H248" s="91">
        <v>27.2</v>
      </c>
      <c r="I248" s="91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>
        <f t="shared" si="2"/>
        <v>27.2</v>
      </c>
      <c r="T248" s="95">
        <f t="shared" si="82"/>
        <v>1019</v>
      </c>
      <c r="U248" s="95">
        <f t="shared" ref="U248:U272" si="89">T248*(I248/100)</f>
        <v>0</v>
      </c>
      <c r="V248" s="95">
        <f t="shared" si="77"/>
        <v>0</v>
      </c>
      <c r="W248" s="96">
        <f t="shared" ref="W248:W280" si="90">T248*(273/(273+S248))</f>
        <v>926.67221852098612</v>
      </c>
      <c r="X248" s="96">
        <f>V248/[1]Manure!$I$2</f>
        <v>0</v>
      </c>
      <c r="Y248" s="96">
        <f>W248/[1]Manure!$I$2</f>
        <v>660.87596719996145</v>
      </c>
      <c r="Z248" s="96"/>
      <c r="AA248" s="96"/>
      <c r="AB248" s="95"/>
      <c r="AC248" s="11"/>
    </row>
    <row r="249" spans="1:29" ht="15.75" thickBot="1" x14ac:dyDescent="0.3">
      <c r="A249" s="97">
        <v>45635</v>
      </c>
      <c r="B249" s="92">
        <v>0.41666666666666669</v>
      </c>
      <c r="C249" s="91"/>
      <c r="D249" s="91"/>
      <c r="E249" s="91" t="s">
        <v>60</v>
      </c>
      <c r="F249" s="91">
        <v>20</v>
      </c>
      <c r="G249" s="91">
        <v>335521</v>
      </c>
      <c r="H249" s="91">
        <v>27.4</v>
      </c>
      <c r="I249" s="91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>
        <f t="shared" si="2"/>
        <v>27.4</v>
      </c>
      <c r="T249" s="95">
        <f t="shared" si="82"/>
        <v>2066</v>
      </c>
      <c r="U249" s="95">
        <f t="shared" ref="U249:U274" si="91">T249*(P249/100)</f>
        <v>0</v>
      </c>
      <c r="V249" s="95">
        <f t="shared" si="77"/>
        <v>0</v>
      </c>
      <c r="W249" s="96">
        <f t="shared" si="90"/>
        <v>1877.5565912117179</v>
      </c>
      <c r="X249" s="96">
        <f>V249/[1]Manure!$I$2</f>
        <v>0</v>
      </c>
      <c r="Y249" s="96">
        <f>W249/[1]Manure!$I$2</f>
        <v>1339.0193462043515</v>
      </c>
      <c r="Z249" s="96"/>
      <c r="AA249" s="96"/>
      <c r="AB249" s="95"/>
      <c r="AC249" s="11"/>
    </row>
    <row r="250" spans="1:29" ht="15.75" thickBot="1" x14ac:dyDescent="0.3">
      <c r="A250" s="97">
        <v>45636</v>
      </c>
      <c r="B250" s="92">
        <v>0.41666666666666669</v>
      </c>
      <c r="C250" s="91"/>
      <c r="D250" s="91"/>
      <c r="E250" s="91" t="s">
        <v>60</v>
      </c>
      <c r="F250" s="91">
        <v>20</v>
      </c>
      <c r="G250" s="91">
        <v>336502</v>
      </c>
      <c r="H250" s="91">
        <v>27.7</v>
      </c>
      <c r="I250" s="91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>
        <f t="shared" si="2"/>
        <v>27.7</v>
      </c>
      <c r="T250" s="95">
        <f t="shared" si="82"/>
        <v>981</v>
      </c>
      <c r="U250" s="95">
        <f t="shared" si="91"/>
        <v>0</v>
      </c>
      <c r="V250" s="95">
        <f t="shared" si="77"/>
        <v>0</v>
      </c>
      <c r="W250" s="96">
        <f t="shared" si="90"/>
        <v>890.63185899567679</v>
      </c>
      <c r="X250" s="96">
        <f>V250/[1]Manure!$I$2</f>
        <v>0</v>
      </c>
      <c r="Y250" s="96">
        <f>W250/[1]Manure!$I$2</f>
        <v>635.17301961668522</v>
      </c>
      <c r="Z250" s="96"/>
      <c r="AA250" s="96"/>
      <c r="AB250" s="95"/>
      <c r="AC250" s="11"/>
    </row>
    <row r="251" spans="1:29" ht="15.75" thickBot="1" x14ac:dyDescent="0.3">
      <c r="A251" s="97">
        <v>45637</v>
      </c>
      <c r="B251" s="92">
        <v>0.41666666666666669</v>
      </c>
      <c r="C251" s="91"/>
      <c r="D251" s="91"/>
      <c r="E251" s="91" t="s">
        <v>60</v>
      </c>
      <c r="F251" s="91">
        <v>20</v>
      </c>
      <c r="G251" s="91">
        <v>337500</v>
      </c>
      <c r="H251" s="91">
        <v>24.9</v>
      </c>
      <c r="I251" s="91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>
        <f t="shared" si="2"/>
        <v>24.9</v>
      </c>
      <c r="T251" s="95">
        <f t="shared" si="82"/>
        <v>998</v>
      </c>
      <c r="U251" s="95">
        <f t="shared" ref="U251:U275" si="92">T251*(I251/100)</f>
        <v>0</v>
      </c>
      <c r="V251" s="95">
        <f t="shared" si="77"/>
        <v>0</v>
      </c>
      <c r="W251" s="96">
        <f t="shared" si="90"/>
        <v>914.58207452165163</v>
      </c>
      <c r="X251" s="96">
        <f>V251/[1]Manure!$I$2</f>
        <v>0</v>
      </c>
      <c r="Y251" s="96">
        <f>W251/[1]Manure!$I$2</f>
        <v>652.2536243159808</v>
      </c>
      <c r="Z251" s="96"/>
      <c r="AA251" s="96"/>
      <c r="AB251" s="95"/>
      <c r="AC251" s="11"/>
    </row>
    <row r="252" spans="1:29" ht="15.75" thickBot="1" x14ac:dyDescent="0.3">
      <c r="A252" s="97">
        <v>45638</v>
      </c>
      <c r="B252" s="92">
        <v>0.41666666666666669</v>
      </c>
      <c r="C252" s="91"/>
      <c r="D252" s="91"/>
      <c r="E252" s="91" t="s">
        <v>60</v>
      </c>
      <c r="F252" s="91">
        <v>20</v>
      </c>
      <c r="G252" s="91">
        <v>338496</v>
      </c>
      <c r="H252" s="91">
        <v>25</v>
      </c>
      <c r="I252" s="91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>
        <f t="shared" si="2"/>
        <v>25</v>
      </c>
      <c r="T252" s="95">
        <f t="shared" si="82"/>
        <v>996</v>
      </c>
      <c r="U252" s="95">
        <f t="shared" ref="U252:U277" si="93">T252*(P252/100)</f>
        <v>0</v>
      </c>
      <c r="V252" s="95">
        <f t="shared" si="77"/>
        <v>0</v>
      </c>
      <c r="W252" s="96">
        <f t="shared" si="90"/>
        <v>912.44295302013415</v>
      </c>
      <c r="X252" s="96">
        <f>V252/[1]Manure!$I$2</f>
        <v>0</v>
      </c>
      <c r="Y252" s="96">
        <f>W252/[1]Manure!$I$2</f>
        <v>650.7280644005989</v>
      </c>
      <c r="Z252" s="96"/>
      <c r="AA252" s="96"/>
      <c r="AB252" s="95"/>
      <c r="AC252" s="11"/>
    </row>
    <row r="253" spans="1:29" ht="15.75" thickBot="1" x14ac:dyDescent="0.3">
      <c r="A253" s="97">
        <v>45639</v>
      </c>
      <c r="B253" s="92">
        <v>0.41666666666666669</v>
      </c>
      <c r="C253" s="91"/>
      <c r="D253" s="91"/>
      <c r="E253" s="91" t="s">
        <v>60</v>
      </c>
      <c r="F253" s="91">
        <v>20</v>
      </c>
      <c r="G253" s="91">
        <v>339441</v>
      </c>
      <c r="H253" s="91">
        <v>27.4</v>
      </c>
      <c r="I253" s="91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>
        <f t="shared" si="2"/>
        <v>27.4</v>
      </c>
      <c r="T253" s="95">
        <f t="shared" si="82"/>
        <v>945</v>
      </c>
      <c r="U253" s="95">
        <f t="shared" si="93"/>
        <v>0</v>
      </c>
      <c r="V253" s="95">
        <f t="shared" si="77"/>
        <v>0</v>
      </c>
      <c r="W253" s="96">
        <f t="shared" si="90"/>
        <v>858.80492676431436</v>
      </c>
      <c r="X253" s="96">
        <f>V253/[1]Manure!$I$2</f>
        <v>0</v>
      </c>
      <c r="Y253" s="96">
        <f>W253/[1]Manure!$I$2</f>
        <v>612.4749671651075</v>
      </c>
      <c r="Z253" s="96"/>
      <c r="AA253" s="96"/>
      <c r="AB253" s="95"/>
      <c r="AC253" s="11"/>
    </row>
    <row r="254" spans="1:29" ht="15.75" thickBot="1" x14ac:dyDescent="0.3">
      <c r="A254" s="97">
        <v>45640</v>
      </c>
      <c r="B254" s="92">
        <v>0.41666666666666669</v>
      </c>
      <c r="C254" s="91"/>
      <c r="D254" s="91"/>
      <c r="E254" s="91" t="s">
        <v>60</v>
      </c>
      <c r="F254" s="91">
        <v>20</v>
      </c>
      <c r="G254" s="91">
        <v>340498</v>
      </c>
      <c r="H254" s="91">
        <v>30.5</v>
      </c>
      <c r="I254" s="91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>
        <f t="shared" si="2"/>
        <v>30.5</v>
      </c>
      <c r="T254" s="95">
        <f t="shared" si="82"/>
        <v>1057</v>
      </c>
      <c r="U254" s="95">
        <f t="shared" ref="U254:U278" si="94">T254*(I254/100)</f>
        <v>0</v>
      </c>
      <c r="V254" s="95">
        <f t="shared" ref="V254:V280" si="95">U254*(273/(273+S254))</f>
        <v>0</v>
      </c>
      <c r="W254" s="96">
        <f t="shared" si="90"/>
        <v>950.77759472817138</v>
      </c>
      <c r="X254" s="96">
        <f>V254/[1]Manure!$I$2</f>
        <v>0</v>
      </c>
      <c r="Y254" s="96">
        <f>W254/[1]Manure!$I$2</f>
        <v>678.06722803334287</v>
      </c>
      <c r="Z254" s="96"/>
      <c r="AA254" s="96"/>
      <c r="AB254" s="95"/>
      <c r="AC254" s="11"/>
    </row>
    <row r="255" spans="1:29" ht="15.75" thickBot="1" x14ac:dyDescent="0.3">
      <c r="A255" s="97">
        <v>45642</v>
      </c>
      <c r="B255" s="92">
        <v>0.41666666666666669</v>
      </c>
      <c r="C255" s="91"/>
      <c r="D255" s="91"/>
      <c r="E255" s="91" t="s">
        <v>60</v>
      </c>
      <c r="F255" s="91">
        <v>20</v>
      </c>
      <c r="G255" s="91">
        <v>342701</v>
      </c>
      <c r="H255" s="91">
        <v>28.3</v>
      </c>
      <c r="I255" s="91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>
        <f t="shared" si="2"/>
        <v>28.3</v>
      </c>
      <c r="T255" s="95">
        <f t="shared" si="82"/>
        <v>2203</v>
      </c>
      <c r="U255" s="95">
        <f t="shared" ref="U255:U280" si="96">T255*(P255/100)</f>
        <v>0</v>
      </c>
      <c r="V255" s="95">
        <f t="shared" si="95"/>
        <v>0</v>
      </c>
      <c r="W255" s="96">
        <f t="shared" si="90"/>
        <v>1996.0803186193161</v>
      </c>
      <c r="X255" s="96">
        <f>V255/[1]Manure!$I$2</f>
        <v>0</v>
      </c>
      <c r="Y255" s="96">
        <f>W255/[1]Manure!$I$2</f>
        <v>1423.5470588314317</v>
      </c>
      <c r="Z255" s="96"/>
      <c r="AA255" s="96"/>
      <c r="AB255" s="95"/>
      <c r="AC255" s="11"/>
    </row>
    <row r="256" spans="1:29" ht="15.75" thickBot="1" x14ac:dyDescent="0.3">
      <c r="A256" s="97">
        <v>45643</v>
      </c>
      <c r="B256" s="92">
        <v>0.41666666666666669</v>
      </c>
      <c r="C256" s="91"/>
      <c r="D256" s="91"/>
      <c r="E256" s="91" t="s">
        <v>60</v>
      </c>
      <c r="F256" s="91">
        <v>20</v>
      </c>
      <c r="G256" s="91">
        <v>343705</v>
      </c>
      <c r="H256" s="91">
        <v>27</v>
      </c>
      <c r="I256" s="91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>
        <f t="shared" si="2"/>
        <v>27</v>
      </c>
      <c r="T256" s="95">
        <f t="shared" si="82"/>
        <v>1004</v>
      </c>
      <c r="U256" s="95">
        <f t="shared" si="96"/>
        <v>0</v>
      </c>
      <c r="V256" s="95">
        <f t="shared" si="95"/>
        <v>0</v>
      </c>
      <c r="W256" s="96">
        <f t="shared" si="90"/>
        <v>913.64</v>
      </c>
      <c r="X256" s="96">
        <f>V256/[1]Manure!$I$2</f>
        <v>0</v>
      </c>
      <c r="Y256" s="96">
        <f>W256/[1]Manure!$I$2</f>
        <v>651.58176386929051</v>
      </c>
      <c r="Z256" s="96"/>
      <c r="AA256" s="96"/>
      <c r="AB256" s="95"/>
      <c r="AC256" s="11"/>
    </row>
    <row r="257" spans="1:29" ht="15.75" thickBot="1" x14ac:dyDescent="0.3">
      <c r="A257" s="97">
        <v>45644</v>
      </c>
      <c r="B257" s="92">
        <v>0.41666666666666669</v>
      </c>
      <c r="C257" s="91"/>
      <c r="D257" s="91"/>
      <c r="E257" s="91" t="s">
        <v>60</v>
      </c>
      <c r="F257" s="91">
        <v>20</v>
      </c>
      <c r="G257" s="91">
        <v>344748</v>
      </c>
      <c r="H257" s="91">
        <v>24.7</v>
      </c>
      <c r="I257" s="91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>
        <f t="shared" si="2"/>
        <v>24.7</v>
      </c>
      <c r="T257" s="95">
        <f t="shared" si="82"/>
        <v>1043</v>
      </c>
      <c r="U257" s="95">
        <f t="shared" ref="U257" si="97">T257*(I257/100)</f>
        <v>0</v>
      </c>
      <c r="V257" s="95">
        <f t="shared" si="95"/>
        <v>0</v>
      </c>
      <c r="W257" s="96">
        <f t="shared" si="90"/>
        <v>956.46288209606985</v>
      </c>
      <c r="X257" s="96">
        <f>V257/[1]Manure!$I$2</f>
        <v>0</v>
      </c>
      <c r="Y257" s="96">
        <f>W257/[1]Manure!$I$2</f>
        <v>682.12181142645068</v>
      </c>
      <c r="Z257" s="96"/>
      <c r="AA257" s="96"/>
      <c r="AB257" s="95"/>
      <c r="AC257" s="11"/>
    </row>
    <row r="258" spans="1:29" ht="15.75" thickBot="1" x14ac:dyDescent="0.3">
      <c r="A258" s="97">
        <v>45645</v>
      </c>
      <c r="B258" s="92">
        <v>0.41666666666666669</v>
      </c>
      <c r="C258" s="91"/>
      <c r="D258" s="91"/>
      <c r="E258" s="91" t="s">
        <v>60</v>
      </c>
      <c r="F258" s="91">
        <v>20</v>
      </c>
      <c r="G258" s="91">
        <v>345526</v>
      </c>
      <c r="H258" s="91">
        <v>22</v>
      </c>
      <c r="I258" s="91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>
        <f t="shared" si="2"/>
        <v>22</v>
      </c>
      <c r="T258" s="95">
        <f t="shared" si="82"/>
        <v>778</v>
      </c>
      <c r="U258" s="95">
        <f t="shared" ref="U258:U259" si="98">T258*(P258/100)</f>
        <v>0</v>
      </c>
      <c r="V258" s="95">
        <f t="shared" si="95"/>
        <v>0</v>
      </c>
      <c r="W258" s="96">
        <f t="shared" si="90"/>
        <v>719.97966101694908</v>
      </c>
      <c r="X258" s="96">
        <f>V258/[1]Manure!$I$2</f>
        <v>0</v>
      </c>
      <c r="Y258" s="96">
        <f>W258/[1]Manure!$I$2</f>
        <v>513.46878144065226</v>
      </c>
      <c r="Z258" s="96"/>
      <c r="AA258" s="96"/>
      <c r="AB258" s="95"/>
      <c r="AC258" s="11"/>
    </row>
    <row r="259" spans="1:29" ht="15.75" thickBot="1" x14ac:dyDescent="0.3">
      <c r="A259" s="97">
        <v>45646</v>
      </c>
      <c r="B259" s="92">
        <v>0.41666666666666669</v>
      </c>
      <c r="C259" s="91"/>
      <c r="D259" s="91"/>
      <c r="E259" s="91" t="s">
        <v>60</v>
      </c>
      <c r="F259" s="91">
        <v>20</v>
      </c>
      <c r="G259" s="91">
        <v>346390</v>
      </c>
      <c r="H259" s="91">
        <v>23.1</v>
      </c>
      <c r="I259" s="91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>
        <f t="shared" ref="S259:S280" si="99">H259</f>
        <v>23.1</v>
      </c>
      <c r="T259" s="95">
        <f t="shared" si="82"/>
        <v>864</v>
      </c>
      <c r="U259" s="95">
        <f t="shared" si="98"/>
        <v>0</v>
      </c>
      <c r="V259" s="95">
        <f t="shared" si="95"/>
        <v>0</v>
      </c>
      <c r="W259" s="96">
        <f t="shared" si="90"/>
        <v>796.595744680851</v>
      </c>
      <c r="X259" s="96">
        <f>V259/[1]Manure!$I$2</f>
        <v>0</v>
      </c>
      <c r="Y259" s="96">
        <f>W259/[1]Manure!$I$2</f>
        <v>568.10916817337227</v>
      </c>
      <c r="Z259" s="96"/>
      <c r="AA259" s="96"/>
      <c r="AB259" s="95"/>
      <c r="AC259" s="11"/>
    </row>
    <row r="260" spans="1:29" ht="15.75" thickBot="1" x14ac:dyDescent="0.3">
      <c r="A260" s="97">
        <v>45647</v>
      </c>
      <c r="B260" s="92">
        <v>0.41666666666666669</v>
      </c>
      <c r="C260" s="91"/>
      <c r="D260" s="91"/>
      <c r="E260" s="91" t="s">
        <v>60</v>
      </c>
      <c r="F260" s="91">
        <v>20</v>
      </c>
      <c r="G260" s="91">
        <v>347284</v>
      </c>
      <c r="H260" s="91">
        <v>22.3</v>
      </c>
      <c r="I260" s="91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>
        <f t="shared" si="99"/>
        <v>22.3</v>
      </c>
      <c r="T260" s="95">
        <f t="shared" si="82"/>
        <v>894</v>
      </c>
      <c r="U260" s="95">
        <f t="shared" ref="U260" si="100">T260*(I260/100)</f>
        <v>0</v>
      </c>
      <c r="V260" s="95">
        <f t="shared" si="95"/>
        <v>0</v>
      </c>
      <c r="W260" s="96">
        <f t="shared" si="90"/>
        <v>826.48831696579748</v>
      </c>
      <c r="X260" s="96">
        <f>V260/[1]Manure!$I$2</f>
        <v>0</v>
      </c>
      <c r="Y260" s="96">
        <f>W260/[1]Manure!$I$2</f>
        <v>589.42769075996625</v>
      </c>
      <c r="Z260" s="96"/>
      <c r="AA260" s="96"/>
      <c r="AB260" s="95"/>
      <c r="AC260" s="11"/>
    </row>
    <row r="261" spans="1:29" ht="15.75" thickBot="1" x14ac:dyDescent="0.3">
      <c r="A261" s="97">
        <v>45649</v>
      </c>
      <c r="B261" s="92">
        <v>0.41666666666666669</v>
      </c>
      <c r="C261" s="91"/>
      <c r="D261" s="91"/>
      <c r="E261" s="91" t="s">
        <v>60</v>
      </c>
      <c r="F261" s="91">
        <v>20</v>
      </c>
      <c r="G261" s="91">
        <v>347861</v>
      </c>
      <c r="H261" s="91">
        <v>24.6</v>
      </c>
      <c r="I261" s="91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>
        <f t="shared" si="99"/>
        <v>24.6</v>
      </c>
      <c r="T261" s="95">
        <f t="shared" ref="T261:T280" si="101">G261-G260</f>
        <v>577</v>
      </c>
      <c r="U261" s="95">
        <f t="shared" ref="U261:U262" si="102">T261*(P261/100)</f>
        <v>0</v>
      </c>
      <c r="V261" s="95">
        <f t="shared" si="95"/>
        <v>0</v>
      </c>
      <c r="W261" s="96">
        <f t="shared" si="90"/>
        <v>529.30443548387086</v>
      </c>
      <c r="X261" s="96">
        <f>V261/[1]Manure!$I$2</f>
        <v>0</v>
      </c>
      <c r="Y261" s="96">
        <f>W261/[1]Manure!$I$2</f>
        <v>377.48469604704223</v>
      </c>
      <c r="Z261" s="96"/>
      <c r="AA261" s="96"/>
      <c r="AB261" s="95"/>
      <c r="AC261" s="11"/>
    </row>
    <row r="262" spans="1:29" ht="15.75" thickBot="1" x14ac:dyDescent="0.3">
      <c r="A262" s="97">
        <v>45650</v>
      </c>
      <c r="B262" s="92">
        <v>0.41666666666666669</v>
      </c>
      <c r="C262" s="91"/>
      <c r="D262" s="91"/>
      <c r="E262" s="91" t="s">
        <v>60</v>
      </c>
      <c r="F262" s="91">
        <v>20</v>
      </c>
      <c r="G262" s="91">
        <v>348887</v>
      </c>
      <c r="H262" s="91">
        <v>24.3</v>
      </c>
      <c r="I262" s="91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>
        <f t="shared" si="99"/>
        <v>24.3</v>
      </c>
      <c r="T262" s="95">
        <f t="shared" si="101"/>
        <v>1026</v>
      </c>
      <c r="U262" s="95">
        <f t="shared" si="102"/>
        <v>0</v>
      </c>
      <c r="V262" s="95">
        <f t="shared" si="95"/>
        <v>0</v>
      </c>
      <c r="W262" s="96">
        <f t="shared" si="90"/>
        <v>942.13925327951563</v>
      </c>
      <c r="X262" s="96">
        <f>V262/[1]Manure!$I$2</f>
        <v>0</v>
      </c>
      <c r="Y262" s="96">
        <f>W262/[1]Manure!$I$2</f>
        <v>671.90661142502847</v>
      </c>
      <c r="Z262" s="96"/>
      <c r="AA262" s="96"/>
      <c r="AB262" s="95"/>
      <c r="AC262" s="11"/>
    </row>
    <row r="263" spans="1:29" ht="15.75" thickBot="1" x14ac:dyDescent="0.3">
      <c r="A263" s="97">
        <v>45651</v>
      </c>
      <c r="B263" s="92">
        <v>0.41666666666666669</v>
      </c>
      <c r="C263" s="91"/>
      <c r="D263" s="91"/>
      <c r="E263" s="91" t="s">
        <v>60</v>
      </c>
      <c r="F263" s="91">
        <v>20</v>
      </c>
      <c r="G263" s="91">
        <v>349862</v>
      </c>
      <c r="H263" s="91">
        <v>24.4</v>
      </c>
      <c r="I263" s="91"/>
      <c r="J263" s="90"/>
      <c r="K263" s="90"/>
      <c r="L263" s="90"/>
      <c r="M263" s="90"/>
      <c r="N263" s="90"/>
      <c r="O263" s="90"/>
      <c r="P263" s="90"/>
      <c r="Q263" s="90"/>
      <c r="R263" s="90"/>
      <c r="S263" s="113">
        <f t="shared" si="99"/>
        <v>24.4</v>
      </c>
      <c r="T263" s="95">
        <f t="shared" si="101"/>
        <v>975</v>
      </c>
      <c r="U263" s="95">
        <f t="shared" ref="U263" si="103">T263*(I263/100)</f>
        <v>0</v>
      </c>
      <c r="V263" s="95">
        <f t="shared" si="95"/>
        <v>0</v>
      </c>
      <c r="W263" s="96">
        <f t="shared" si="90"/>
        <v>895.00672494956291</v>
      </c>
      <c r="X263" s="96">
        <f>V263/[1]Manure!$I$2</f>
        <v>0</v>
      </c>
      <c r="Y263" s="96">
        <f>W263/[1]Manure!$I$2</f>
        <v>638.29304815629041</v>
      </c>
      <c r="Z263" s="96"/>
      <c r="AA263" s="96"/>
      <c r="AB263" s="90"/>
    </row>
    <row r="264" spans="1:29" ht="15.75" thickBot="1" x14ac:dyDescent="0.3">
      <c r="A264" s="97">
        <v>45652</v>
      </c>
      <c r="B264" s="92">
        <v>0.41666666666666669</v>
      </c>
      <c r="C264" s="91"/>
      <c r="D264" s="91"/>
      <c r="E264" s="91" t="s">
        <v>60</v>
      </c>
      <c r="F264" s="91">
        <v>20</v>
      </c>
      <c r="G264" s="91">
        <v>350798</v>
      </c>
      <c r="H264" s="91">
        <v>21.9</v>
      </c>
      <c r="I264" s="91"/>
      <c r="J264" s="90"/>
      <c r="K264" s="90"/>
      <c r="L264" s="90"/>
      <c r="M264" s="90"/>
      <c r="N264" s="90"/>
      <c r="O264" s="90"/>
      <c r="P264" s="90"/>
      <c r="Q264" s="90"/>
      <c r="R264" s="90"/>
      <c r="S264" s="113">
        <f t="shared" si="99"/>
        <v>21.9</v>
      </c>
      <c r="T264" s="95">
        <f t="shared" si="101"/>
        <v>936</v>
      </c>
      <c r="U264" s="95">
        <f t="shared" ref="U264:U265" si="104">T264*(P264/100)</f>
        <v>0</v>
      </c>
      <c r="V264" s="95">
        <f t="shared" si="95"/>
        <v>0</v>
      </c>
      <c r="W264" s="96">
        <f t="shared" si="90"/>
        <v>866.49033570701943</v>
      </c>
      <c r="X264" s="96">
        <f>V264/[1]Manure!$I$2</f>
        <v>0</v>
      </c>
      <c r="Y264" s="96">
        <f>W264/[1]Manure!$I$2</f>
        <v>617.9559797246983</v>
      </c>
      <c r="Z264" s="96"/>
      <c r="AA264" s="96"/>
      <c r="AB264" s="90"/>
    </row>
    <row r="265" spans="1:29" ht="15.75" thickBot="1" x14ac:dyDescent="0.3">
      <c r="A265" s="97">
        <v>45653</v>
      </c>
      <c r="B265" s="92">
        <v>0.41666666666666669</v>
      </c>
      <c r="C265" s="91"/>
      <c r="D265" s="91"/>
      <c r="E265" s="91" t="s">
        <v>60</v>
      </c>
      <c r="F265" s="91">
        <v>20</v>
      </c>
      <c r="G265" s="91">
        <v>351789</v>
      </c>
      <c r="H265" s="91">
        <v>25.2</v>
      </c>
      <c r="I265" s="91"/>
      <c r="J265" s="90"/>
      <c r="K265" s="90"/>
      <c r="L265" s="90"/>
      <c r="M265" s="90"/>
      <c r="N265" s="90"/>
      <c r="O265" s="90"/>
      <c r="P265" s="90"/>
      <c r="Q265" s="90"/>
      <c r="R265" s="90"/>
      <c r="S265" s="113">
        <f t="shared" si="99"/>
        <v>25.2</v>
      </c>
      <c r="T265" s="95">
        <f t="shared" si="101"/>
        <v>991</v>
      </c>
      <c r="U265" s="95">
        <f t="shared" si="104"/>
        <v>0</v>
      </c>
      <c r="V265" s="95">
        <f t="shared" si="95"/>
        <v>0</v>
      </c>
      <c r="W265" s="96">
        <f t="shared" si="90"/>
        <v>907.25352112676057</v>
      </c>
      <c r="X265" s="96">
        <f>V265/[1]Manure!$I$2</f>
        <v>0</v>
      </c>
      <c r="Y265" s="96">
        <f>W265/[1]Manure!$I$2</f>
        <v>647.02711086686145</v>
      </c>
      <c r="Z265" s="96"/>
      <c r="AA265" s="96"/>
      <c r="AB265" s="90"/>
    </row>
    <row r="266" spans="1:29" ht="15.75" thickBot="1" x14ac:dyDescent="0.3">
      <c r="A266" s="97">
        <v>45654</v>
      </c>
      <c r="B266" s="92">
        <v>0.41666666666666669</v>
      </c>
      <c r="C266" s="91"/>
      <c r="D266" s="91"/>
      <c r="E266" s="91" t="s">
        <v>60</v>
      </c>
      <c r="F266" s="91">
        <v>20</v>
      </c>
      <c r="G266" s="91">
        <v>352706</v>
      </c>
      <c r="H266" s="91">
        <v>28</v>
      </c>
      <c r="I266" s="91"/>
      <c r="J266" s="90"/>
      <c r="K266" s="90"/>
      <c r="L266" s="90"/>
      <c r="M266" s="90"/>
      <c r="N266" s="90"/>
      <c r="O266" s="90"/>
      <c r="P266" s="90"/>
      <c r="Q266" s="90"/>
      <c r="R266" s="90"/>
      <c r="S266" s="113">
        <f t="shared" si="99"/>
        <v>28</v>
      </c>
      <c r="T266" s="95">
        <f t="shared" si="101"/>
        <v>917</v>
      </c>
      <c r="U266" s="95">
        <f t="shared" ref="U266" si="105">T266*(I266/100)</f>
        <v>0</v>
      </c>
      <c r="V266" s="95">
        <f t="shared" si="95"/>
        <v>0</v>
      </c>
      <c r="W266" s="96">
        <f t="shared" si="90"/>
        <v>831.69767441860461</v>
      </c>
      <c r="X266" s="96">
        <f>V266/[1]Manure!$I$2</f>
        <v>0</v>
      </c>
      <c r="Y266" s="96">
        <f>W266/[1]Manure!$I$2</f>
        <v>593.14285462946157</v>
      </c>
      <c r="Z266" s="96"/>
      <c r="AA266" s="96"/>
      <c r="AB266" s="90"/>
    </row>
    <row r="267" spans="1:29" ht="15.75" thickBot="1" x14ac:dyDescent="0.3">
      <c r="A267" s="97">
        <v>45656</v>
      </c>
      <c r="B267" s="92">
        <v>0.41666666666666669</v>
      </c>
      <c r="C267" s="91"/>
      <c r="D267" s="91"/>
      <c r="E267" s="91" t="s">
        <v>60</v>
      </c>
      <c r="F267" s="91">
        <v>20</v>
      </c>
      <c r="G267" s="91">
        <v>354464</v>
      </c>
      <c r="H267" s="91">
        <v>30.9</v>
      </c>
      <c r="I267" s="91"/>
      <c r="J267" s="90"/>
      <c r="K267" s="90"/>
      <c r="L267" s="90"/>
      <c r="M267" s="90"/>
      <c r="N267" s="90"/>
      <c r="O267" s="90"/>
      <c r="P267" s="90"/>
      <c r="Q267" s="90"/>
      <c r="R267" s="90"/>
      <c r="S267" s="113">
        <f t="shared" si="99"/>
        <v>30.9</v>
      </c>
      <c r="T267" s="95">
        <f t="shared" si="101"/>
        <v>1758</v>
      </c>
      <c r="U267" s="95">
        <f t="shared" ref="U267:U268" si="106">T267*(P267/100)</f>
        <v>0</v>
      </c>
      <c r="V267" s="95">
        <f t="shared" si="95"/>
        <v>0</v>
      </c>
      <c r="W267" s="96">
        <f t="shared" si="90"/>
        <v>1579.2497532082923</v>
      </c>
      <c r="X267" s="96">
        <f>V267/[1]Manure!$I$2</f>
        <v>0</v>
      </c>
      <c r="Y267" s="96">
        <f>W267/[1]Manure!$I$2</f>
        <v>1126.2754912061653</v>
      </c>
      <c r="Z267" s="96"/>
      <c r="AA267" s="96"/>
      <c r="AB267" s="90"/>
    </row>
    <row r="268" spans="1:29" ht="15.75" thickBot="1" x14ac:dyDescent="0.3">
      <c r="A268" s="97">
        <v>45657</v>
      </c>
      <c r="B268" s="92">
        <v>0.41666666666666669</v>
      </c>
      <c r="C268" s="91"/>
      <c r="D268" s="91"/>
      <c r="E268" s="91" t="s">
        <v>60</v>
      </c>
      <c r="F268" s="91">
        <v>20</v>
      </c>
      <c r="G268" s="91">
        <v>355431</v>
      </c>
      <c r="H268" s="91">
        <v>28.2</v>
      </c>
      <c r="I268" s="91"/>
      <c r="J268" s="90"/>
      <c r="K268" s="90"/>
      <c r="L268" s="90"/>
      <c r="M268" s="90"/>
      <c r="N268" s="90"/>
      <c r="O268" s="90"/>
      <c r="P268" s="90"/>
      <c r="Q268" s="90"/>
      <c r="R268" s="90"/>
      <c r="S268" s="113">
        <f t="shared" si="99"/>
        <v>28.2</v>
      </c>
      <c r="T268" s="95">
        <f t="shared" si="101"/>
        <v>967</v>
      </c>
      <c r="U268" s="95">
        <f t="shared" si="106"/>
        <v>0</v>
      </c>
      <c r="V268" s="95">
        <f t="shared" si="95"/>
        <v>0</v>
      </c>
      <c r="W268" s="96">
        <f t="shared" si="90"/>
        <v>876.46414342629487</v>
      </c>
      <c r="X268" s="96">
        <f>V268/[1]Manure!$I$2</f>
        <v>0</v>
      </c>
      <c r="Y268" s="96">
        <f>W268/[1]Manure!$I$2</f>
        <v>625.0690124577427</v>
      </c>
      <c r="Z268" s="96"/>
      <c r="AA268" s="96"/>
      <c r="AB268" s="90"/>
    </row>
    <row r="269" spans="1:29" ht="15.75" thickBot="1" x14ac:dyDescent="0.3">
      <c r="A269" s="97">
        <v>45658</v>
      </c>
      <c r="B269" s="92">
        <v>0.41666666666666669</v>
      </c>
      <c r="C269" s="91"/>
      <c r="D269" s="91"/>
      <c r="E269" s="91" t="s">
        <v>60</v>
      </c>
      <c r="F269" s="91">
        <v>20</v>
      </c>
      <c r="G269" s="91">
        <v>356370</v>
      </c>
      <c r="H269" s="91">
        <v>28.3</v>
      </c>
      <c r="I269" s="91"/>
      <c r="J269" s="90"/>
      <c r="K269" s="90"/>
      <c r="L269" s="90"/>
      <c r="M269" s="90"/>
      <c r="N269" s="90"/>
      <c r="O269" s="90"/>
      <c r="P269" s="90"/>
      <c r="Q269" s="90"/>
      <c r="R269" s="90"/>
      <c r="S269" s="113">
        <f t="shared" si="99"/>
        <v>28.3</v>
      </c>
      <c r="T269" s="95">
        <f t="shared" si="101"/>
        <v>939</v>
      </c>
      <c r="U269" s="95">
        <f t="shared" si="87"/>
        <v>0</v>
      </c>
      <c r="V269" s="95">
        <f t="shared" si="95"/>
        <v>0</v>
      </c>
      <c r="W269" s="96">
        <f t="shared" si="90"/>
        <v>850.8031861931629</v>
      </c>
      <c r="X269" s="96">
        <f>V269/[1]Manure!$I$2</f>
        <v>0</v>
      </c>
      <c r="Y269" s="96">
        <f>W269/[1]Manure!$I$2</f>
        <v>606.76835598852222</v>
      </c>
      <c r="Z269" s="96"/>
      <c r="AA269" s="96"/>
      <c r="AB269" s="90"/>
    </row>
    <row r="270" spans="1:29" ht="15.75" thickBot="1" x14ac:dyDescent="0.3">
      <c r="A270" s="97">
        <v>45659</v>
      </c>
      <c r="B270" s="92">
        <v>0.41666666666666669</v>
      </c>
      <c r="C270" s="91"/>
      <c r="D270" s="91"/>
      <c r="E270" s="91" t="s">
        <v>60</v>
      </c>
      <c r="F270" s="91">
        <v>20</v>
      </c>
      <c r="G270" s="91">
        <v>357248</v>
      </c>
      <c r="H270" s="91">
        <v>27.8</v>
      </c>
      <c r="I270" s="91"/>
      <c r="J270" s="90"/>
      <c r="K270" s="90"/>
      <c r="L270" s="90"/>
      <c r="M270" s="90"/>
      <c r="N270" s="90"/>
      <c r="O270" s="90"/>
      <c r="P270" s="90"/>
      <c r="Q270" s="90"/>
      <c r="R270" s="90"/>
      <c r="S270" s="113">
        <f t="shared" si="99"/>
        <v>27.8</v>
      </c>
      <c r="T270" s="95">
        <f t="shared" si="101"/>
        <v>878</v>
      </c>
      <c r="U270" s="95">
        <f t="shared" si="88"/>
        <v>0</v>
      </c>
      <c r="V270" s="95">
        <f t="shared" si="95"/>
        <v>0</v>
      </c>
      <c r="W270" s="96">
        <f t="shared" si="90"/>
        <v>796.85505319148933</v>
      </c>
      <c r="X270" s="96">
        <f>V270/[1]Manure!$I$2</f>
        <v>0</v>
      </c>
      <c r="Y270" s="96">
        <f>W270/[1]Manure!$I$2</f>
        <v>568.29409954322045</v>
      </c>
      <c r="Z270" s="96"/>
      <c r="AA270" s="96"/>
      <c r="AB270" s="90"/>
    </row>
    <row r="271" spans="1:29" ht="15.75" thickBot="1" x14ac:dyDescent="0.3">
      <c r="A271" s="97">
        <v>45660</v>
      </c>
      <c r="B271" s="92">
        <v>0.41666666666666669</v>
      </c>
      <c r="C271" s="91"/>
      <c r="D271" s="91"/>
      <c r="E271" s="91" t="s">
        <v>60</v>
      </c>
      <c r="F271" s="91">
        <v>20</v>
      </c>
      <c r="G271" s="91">
        <v>358157</v>
      </c>
      <c r="H271" s="91">
        <v>26.5</v>
      </c>
      <c r="I271" s="91"/>
      <c r="J271" s="90"/>
      <c r="K271" s="90"/>
      <c r="L271" s="90"/>
      <c r="M271" s="90"/>
      <c r="N271" s="90"/>
      <c r="O271" s="90"/>
      <c r="P271" s="90"/>
      <c r="Q271" s="90"/>
      <c r="R271" s="90"/>
      <c r="S271" s="113">
        <f t="shared" si="99"/>
        <v>26.5</v>
      </c>
      <c r="T271" s="95">
        <f t="shared" si="101"/>
        <v>909</v>
      </c>
      <c r="U271" s="95">
        <f t="shared" si="88"/>
        <v>0</v>
      </c>
      <c r="V271" s="95">
        <f t="shared" si="95"/>
        <v>0</v>
      </c>
      <c r="W271" s="96">
        <f t="shared" si="90"/>
        <v>828.57095158597667</v>
      </c>
      <c r="X271" s="96">
        <f>V271/[1]Manure!$I$2</f>
        <v>0</v>
      </c>
      <c r="Y271" s="96">
        <f>W271/[1]Manure!$I$2</f>
        <v>590.91296585662531</v>
      </c>
      <c r="Z271" s="96"/>
      <c r="AA271" s="96"/>
      <c r="AB271" s="90"/>
    </row>
    <row r="272" spans="1:29" ht="15.75" thickBot="1" x14ac:dyDescent="0.3">
      <c r="A272" s="97">
        <v>45661</v>
      </c>
      <c r="B272" s="92">
        <v>0.41666666666666669</v>
      </c>
      <c r="C272" s="91"/>
      <c r="D272" s="91"/>
      <c r="E272" s="91" t="s">
        <v>60</v>
      </c>
      <c r="F272" s="91">
        <v>20</v>
      </c>
      <c r="G272" s="91">
        <v>359055</v>
      </c>
      <c r="H272" s="91">
        <v>25.8</v>
      </c>
      <c r="I272" s="91"/>
      <c r="J272" s="90"/>
      <c r="K272" s="90"/>
      <c r="L272" s="90"/>
      <c r="M272" s="90"/>
      <c r="N272" s="90"/>
      <c r="O272" s="90"/>
      <c r="P272" s="90"/>
      <c r="Q272" s="90"/>
      <c r="R272" s="90"/>
      <c r="S272" s="113">
        <f t="shared" si="99"/>
        <v>25.8</v>
      </c>
      <c r="T272" s="95">
        <f t="shared" si="101"/>
        <v>898</v>
      </c>
      <c r="U272" s="95">
        <f t="shared" si="89"/>
        <v>0</v>
      </c>
      <c r="V272" s="95">
        <f t="shared" si="95"/>
        <v>0</v>
      </c>
      <c r="W272" s="96">
        <f t="shared" si="90"/>
        <v>820.46184738955822</v>
      </c>
      <c r="X272" s="96">
        <f>V272/[1]Manure!$I$2</f>
        <v>0</v>
      </c>
      <c r="Y272" s="96">
        <f>W272/[1]Manure!$I$2</f>
        <v>585.12978603119939</v>
      </c>
      <c r="Z272" s="96"/>
      <c r="AA272" s="96"/>
      <c r="AB272" s="90"/>
    </row>
    <row r="273" spans="1:28" ht="15.75" thickBot="1" x14ac:dyDescent="0.3">
      <c r="A273" s="97">
        <v>45663</v>
      </c>
      <c r="B273" s="92">
        <v>0.41666666666666669</v>
      </c>
      <c r="C273" s="91"/>
      <c r="D273" s="91"/>
      <c r="E273" s="91" t="s">
        <v>60</v>
      </c>
      <c r="F273" s="91">
        <v>20</v>
      </c>
      <c r="G273" s="91">
        <v>360869</v>
      </c>
      <c r="H273" s="91">
        <v>25.6</v>
      </c>
      <c r="I273" s="91"/>
      <c r="J273" s="90"/>
      <c r="K273" s="90"/>
      <c r="L273" s="90"/>
      <c r="M273" s="90"/>
      <c r="N273" s="90"/>
      <c r="O273" s="90"/>
      <c r="P273" s="90"/>
      <c r="Q273" s="90"/>
      <c r="R273" s="90"/>
      <c r="S273" s="113">
        <f t="shared" si="99"/>
        <v>25.6</v>
      </c>
      <c r="T273" s="95">
        <f t="shared" si="101"/>
        <v>1814</v>
      </c>
      <c r="U273" s="95">
        <f t="shared" si="91"/>
        <v>0</v>
      </c>
      <c r="V273" s="95">
        <f t="shared" si="95"/>
        <v>0</v>
      </c>
      <c r="W273" s="96">
        <f t="shared" si="90"/>
        <v>1658.4795713328867</v>
      </c>
      <c r="X273" s="96">
        <f>V273/[1]Manure!$I$2</f>
        <v>0</v>
      </c>
      <c r="Y273" s="96">
        <f>W273/[1]Manure!$I$2</f>
        <v>1182.7799181628072</v>
      </c>
      <c r="Z273" s="96"/>
      <c r="AA273" s="96"/>
      <c r="AB273" s="90"/>
    </row>
    <row r="274" spans="1:28" ht="15.75" thickBot="1" x14ac:dyDescent="0.3">
      <c r="A274" s="97">
        <v>45664</v>
      </c>
      <c r="B274" s="92">
        <v>0.41666666666666669</v>
      </c>
      <c r="C274" s="91"/>
      <c r="D274" s="91"/>
      <c r="E274" s="91" t="s">
        <v>60</v>
      </c>
      <c r="F274" s="91">
        <v>20</v>
      </c>
      <c r="G274" s="91">
        <v>361743</v>
      </c>
      <c r="H274" s="91">
        <v>29.9</v>
      </c>
      <c r="I274" s="91"/>
      <c r="J274" s="90"/>
      <c r="K274" s="90"/>
      <c r="L274" s="90"/>
      <c r="M274" s="90"/>
      <c r="N274" s="90"/>
      <c r="O274" s="90"/>
      <c r="P274" s="90"/>
      <c r="Q274" s="90"/>
      <c r="R274" s="90"/>
      <c r="S274" s="113">
        <f t="shared" si="99"/>
        <v>29.9</v>
      </c>
      <c r="T274" s="95">
        <f t="shared" si="101"/>
        <v>874</v>
      </c>
      <c r="U274" s="95">
        <f t="shared" si="91"/>
        <v>0</v>
      </c>
      <c r="V274" s="95">
        <f t="shared" si="95"/>
        <v>0</v>
      </c>
      <c r="W274" s="96">
        <f t="shared" si="90"/>
        <v>787.72532188841217</v>
      </c>
      <c r="X274" s="96">
        <f>V274/[1]Manure!$I$2</f>
        <v>0</v>
      </c>
      <c r="Y274" s="96">
        <f>W274/[1]Manure!$I$2</f>
        <v>561.78303782732394</v>
      </c>
      <c r="Z274" s="96"/>
      <c r="AA274" s="96"/>
      <c r="AB274" s="90"/>
    </row>
    <row r="275" spans="1:28" ht="15.75" thickBot="1" x14ac:dyDescent="0.3">
      <c r="A275" s="97">
        <v>45665</v>
      </c>
      <c r="B275" s="92">
        <v>0.41666666666666669</v>
      </c>
      <c r="C275" s="91"/>
      <c r="D275" s="91"/>
      <c r="E275" s="91" t="s">
        <v>60</v>
      </c>
      <c r="F275" s="91">
        <v>20</v>
      </c>
      <c r="G275" s="91">
        <v>362709</v>
      </c>
      <c r="H275" s="91">
        <v>28.7</v>
      </c>
      <c r="I275" s="91"/>
      <c r="J275" s="90"/>
      <c r="K275" s="90"/>
      <c r="L275" s="90"/>
      <c r="M275" s="90"/>
      <c r="N275" s="90"/>
      <c r="O275" s="90"/>
      <c r="P275" s="90"/>
      <c r="Q275" s="90"/>
      <c r="R275" s="90"/>
      <c r="S275" s="113">
        <f t="shared" si="99"/>
        <v>28.7</v>
      </c>
      <c r="T275" s="95">
        <f t="shared" si="101"/>
        <v>966</v>
      </c>
      <c r="U275" s="95">
        <f t="shared" si="92"/>
        <v>0</v>
      </c>
      <c r="V275" s="95">
        <f t="shared" si="95"/>
        <v>0</v>
      </c>
      <c r="W275" s="96">
        <f t="shared" si="90"/>
        <v>874.10672853828305</v>
      </c>
      <c r="X275" s="96">
        <f>V275/[1]Manure!$I$2</f>
        <v>0</v>
      </c>
      <c r="Y275" s="96">
        <f>W275/[1]Manure!$I$2</f>
        <v>623.38777197910508</v>
      </c>
      <c r="Z275" s="96"/>
      <c r="AA275" s="96"/>
      <c r="AB275" s="90"/>
    </row>
    <row r="276" spans="1:28" ht="15.75" thickBot="1" x14ac:dyDescent="0.3">
      <c r="A276" s="97">
        <v>45666</v>
      </c>
      <c r="B276" s="92">
        <v>0.41666666666666669</v>
      </c>
      <c r="C276" s="91"/>
      <c r="D276" s="91"/>
      <c r="E276" s="91" t="s">
        <v>60</v>
      </c>
      <c r="F276" s="91">
        <v>20</v>
      </c>
      <c r="G276" s="91">
        <v>363588</v>
      </c>
      <c r="H276" s="91">
        <v>27.4</v>
      </c>
      <c r="I276" s="91"/>
      <c r="J276" s="90"/>
      <c r="K276" s="90"/>
      <c r="L276" s="90"/>
      <c r="M276" s="90"/>
      <c r="N276" s="90"/>
      <c r="O276" s="90"/>
      <c r="P276" s="90"/>
      <c r="Q276" s="90"/>
      <c r="R276" s="90"/>
      <c r="S276" s="113">
        <f t="shared" si="99"/>
        <v>27.4</v>
      </c>
      <c r="T276" s="95">
        <f t="shared" si="101"/>
        <v>879</v>
      </c>
      <c r="U276" s="95">
        <f t="shared" si="93"/>
        <v>0</v>
      </c>
      <c r="V276" s="95">
        <f t="shared" si="95"/>
        <v>0</v>
      </c>
      <c r="W276" s="96">
        <f t="shared" si="90"/>
        <v>798.82490013315589</v>
      </c>
      <c r="X276" s="96">
        <f>V276/[1]Manure!$I$2</f>
        <v>0</v>
      </c>
      <c r="Y276" s="96">
        <f>W276/[1]Manure!$I$2</f>
        <v>569.69893771230636</v>
      </c>
      <c r="Z276" s="96"/>
      <c r="AA276" s="96"/>
      <c r="AB276" s="90"/>
    </row>
    <row r="277" spans="1:28" ht="15.75" thickBot="1" x14ac:dyDescent="0.3">
      <c r="A277" s="97">
        <v>45667</v>
      </c>
      <c r="B277" s="92">
        <v>0.41666666666666669</v>
      </c>
      <c r="C277" s="91"/>
      <c r="D277" s="91"/>
      <c r="E277" s="91" t="s">
        <v>60</v>
      </c>
      <c r="F277" s="91">
        <v>20</v>
      </c>
      <c r="G277" s="91">
        <v>364559</v>
      </c>
      <c r="H277" s="91">
        <v>27</v>
      </c>
      <c r="I277" s="91"/>
      <c r="J277" s="90"/>
      <c r="K277" s="90"/>
      <c r="L277" s="90"/>
      <c r="M277" s="90"/>
      <c r="N277" s="90"/>
      <c r="O277" s="90"/>
      <c r="P277" s="90"/>
      <c r="Q277" s="90"/>
      <c r="R277" s="90"/>
      <c r="S277" s="113">
        <f t="shared" si="99"/>
        <v>27</v>
      </c>
      <c r="T277" s="95">
        <f t="shared" si="101"/>
        <v>971</v>
      </c>
      <c r="U277" s="95">
        <f t="shared" si="93"/>
        <v>0</v>
      </c>
      <c r="V277" s="95">
        <f t="shared" si="95"/>
        <v>0</v>
      </c>
      <c r="W277" s="96">
        <f t="shared" si="90"/>
        <v>883.61</v>
      </c>
      <c r="X277" s="96">
        <f>V277/[1]Manure!$I$2</f>
        <v>0</v>
      </c>
      <c r="Y277" s="96">
        <f>W277/[1]Manure!$I$2</f>
        <v>630.16523178992145</v>
      </c>
      <c r="Z277" s="96"/>
      <c r="AA277" s="96"/>
      <c r="AB277" s="90"/>
    </row>
    <row r="278" spans="1:28" ht="15.75" thickBot="1" x14ac:dyDescent="0.3">
      <c r="A278" s="97">
        <v>45668</v>
      </c>
      <c r="B278" s="92">
        <v>0.41666666666666669</v>
      </c>
      <c r="C278" s="91"/>
      <c r="D278" s="91"/>
      <c r="E278" s="91" t="s">
        <v>60</v>
      </c>
      <c r="F278" s="91">
        <v>20</v>
      </c>
      <c r="G278" s="91">
        <v>365438</v>
      </c>
      <c r="H278" s="91">
        <v>27.9</v>
      </c>
      <c r="I278" s="91"/>
      <c r="J278" s="90"/>
      <c r="K278" s="90"/>
      <c r="L278" s="90"/>
      <c r="M278" s="90"/>
      <c r="N278" s="90"/>
      <c r="O278" s="90"/>
      <c r="P278" s="90"/>
      <c r="Q278" s="90"/>
      <c r="R278" s="90"/>
      <c r="S278" s="113">
        <f t="shared" si="99"/>
        <v>27.9</v>
      </c>
      <c r="T278" s="95">
        <f t="shared" si="101"/>
        <v>879</v>
      </c>
      <c r="U278" s="95">
        <f t="shared" si="94"/>
        <v>0</v>
      </c>
      <c r="V278" s="95">
        <f t="shared" si="95"/>
        <v>0</v>
      </c>
      <c r="W278" s="96">
        <f t="shared" si="90"/>
        <v>797.49750747756741</v>
      </c>
      <c r="X278" s="96">
        <f>V278/[1]Manure!$I$2</f>
        <v>0</v>
      </c>
      <c r="Y278" s="96">
        <f>W278/[1]Manure!$I$2</f>
        <v>568.75227945755012</v>
      </c>
      <c r="Z278" s="96"/>
      <c r="AA278" s="96"/>
      <c r="AB278" s="90"/>
    </row>
    <row r="279" spans="1:28" ht="15.75" thickBot="1" x14ac:dyDescent="0.3">
      <c r="A279" s="97">
        <v>45670</v>
      </c>
      <c r="B279" s="92">
        <v>0.41666666666666669</v>
      </c>
      <c r="C279" s="91"/>
      <c r="D279" s="91"/>
      <c r="E279" s="91" t="s">
        <v>60</v>
      </c>
      <c r="F279" s="91">
        <v>20</v>
      </c>
      <c r="G279" s="91">
        <v>367225</v>
      </c>
      <c r="H279" s="91">
        <v>29.8</v>
      </c>
      <c r="I279" s="91"/>
      <c r="J279" s="90"/>
      <c r="K279" s="90"/>
      <c r="L279" s="90"/>
      <c r="M279" s="90"/>
      <c r="N279" s="90"/>
      <c r="O279" s="90"/>
      <c r="P279" s="90"/>
      <c r="Q279" s="90"/>
      <c r="R279" s="90"/>
      <c r="S279" s="113">
        <f t="shared" si="99"/>
        <v>29.8</v>
      </c>
      <c r="T279" s="95">
        <f t="shared" si="101"/>
        <v>1787</v>
      </c>
      <c r="U279" s="95">
        <f t="shared" si="96"/>
        <v>0</v>
      </c>
      <c r="V279" s="95">
        <f t="shared" si="95"/>
        <v>0</v>
      </c>
      <c r="W279" s="96">
        <f t="shared" si="90"/>
        <v>1611.1327608982826</v>
      </c>
      <c r="X279" s="96">
        <f>V279/[1]Manure!$I$2</f>
        <v>0</v>
      </c>
      <c r="Y279" s="96">
        <f>W279/[1]Manure!$I$2</f>
        <v>1149.0135350616247</v>
      </c>
      <c r="Z279" s="96"/>
      <c r="AA279" s="96"/>
      <c r="AB279" s="90"/>
    </row>
    <row r="280" spans="1:28" ht="15.75" thickBot="1" x14ac:dyDescent="0.3">
      <c r="A280" s="97">
        <v>45671</v>
      </c>
      <c r="B280" s="92">
        <v>0.41666666666666669</v>
      </c>
      <c r="C280" s="91"/>
      <c r="D280" s="91"/>
      <c r="E280" s="91" t="s">
        <v>60</v>
      </c>
      <c r="F280" s="91">
        <v>20</v>
      </c>
      <c r="G280" s="91">
        <v>368164</v>
      </c>
      <c r="H280" s="91">
        <v>27.5</v>
      </c>
      <c r="I280" s="91"/>
      <c r="J280" s="90"/>
      <c r="K280" s="90"/>
      <c r="L280" s="90"/>
      <c r="M280" s="90"/>
      <c r="N280" s="90"/>
      <c r="O280" s="90"/>
      <c r="P280" s="90"/>
      <c r="Q280" s="90"/>
      <c r="R280" s="90"/>
      <c r="S280" s="113">
        <f t="shared" si="99"/>
        <v>27.5</v>
      </c>
      <c r="T280" s="95">
        <f>G280-G279</f>
        <v>939</v>
      </c>
      <c r="U280" s="95">
        <f t="shared" si="96"/>
        <v>0</v>
      </c>
      <c r="V280" s="95">
        <f t="shared" si="95"/>
        <v>0</v>
      </c>
      <c r="W280" s="96">
        <f t="shared" si="90"/>
        <v>853.06821963394339</v>
      </c>
      <c r="X280" s="96">
        <f>V280/[1]Manure!$I$2</f>
        <v>0</v>
      </c>
      <c r="Y280" s="96">
        <f>W280/[1]Manure!$I$2</f>
        <v>608.3837126766781</v>
      </c>
      <c r="Z280" s="96"/>
      <c r="AA280" s="96"/>
      <c r="AB280" s="90"/>
    </row>
    <row r="281" spans="1:28" ht="15.75" thickBot="1" x14ac:dyDescent="0.3">
      <c r="A281" s="85"/>
      <c r="B281" s="89"/>
    </row>
    <row r="282" spans="1:28" ht="15.75" thickBot="1" x14ac:dyDescent="0.3">
      <c r="A282" s="85"/>
      <c r="B282" s="89"/>
    </row>
    <row r="283" spans="1:28" ht="15.75" thickBot="1" x14ac:dyDescent="0.3">
      <c r="A283" s="85"/>
      <c r="B283" s="89"/>
    </row>
    <row r="284" spans="1:28" ht="15.75" thickBot="1" x14ac:dyDescent="0.3">
      <c r="A284" s="85"/>
      <c r="B284" s="89"/>
    </row>
    <row r="285" spans="1:28" ht="15.75" thickBot="1" x14ac:dyDescent="0.3">
      <c r="A285" s="85"/>
      <c r="B285" s="89"/>
    </row>
    <row r="286" spans="1:28" x14ac:dyDescent="0.25">
      <c r="A286" s="85"/>
      <c r="B286" s="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C1C7-F3D3-4DF1-A2C1-E13FDCBC9127}">
  <dimension ref="A1:AC277"/>
  <sheetViews>
    <sheetView tabSelected="1" topLeftCell="A151" workbookViewId="0">
      <selection activeCell="K294" sqref="K294"/>
    </sheetView>
  </sheetViews>
  <sheetFormatPr defaultRowHeight="15" x14ac:dyDescent="0.25"/>
  <cols>
    <col min="1" max="1" width="11.140625" customWidth="1"/>
  </cols>
  <sheetData>
    <row r="1" spans="1:29" ht="64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5" t="s">
        <v>28</v>
      </c>
    </row>
    <row r="2" spans="1:29" ht="15.75" thickBot="1" x14ac:dyDescent="0.3">
      <c r="A2" s="97">
        <v>45566</v>
      </c>
      <c r="B2" s="92"/>
      <c r="C2" s="91"/>
      <c r="D2" s="91"/>
      <c r="E2" s="91"/>
      <c r="F2" s="91"/>
      <c r="G2" s="93">
        <v>106478</v>
      </c>
      <c r="H2" s="93">
        <v>29.9</v>
      </c>
      <c r="I2" s="93"/>
      <c r="J2" s="101"/>
      <c r="K2" s="102"/>
      <c r="L2" s="102"/>
      <c r="M2" s="102"/>
      <c r="N2" s="102"/>
      <c r="O2" s="101"/>
      <c r="P2" s="101"/>
      <c r="Q2" s="103"/>
      <c r="R2" s="103"/>
      <c r="S2" s="94">
        <f>H2</f>
        <v>29.9</v>
      </c>
      <c r="T2" s="95"/>
      <c r="U2" s="95">
        <f>T2*(I2/100)</f>
        <v>0</v>
      </c>
      <c r="V2" s="95">
        <f t="shared" ref="V2:V257" si="0">U2*(273/(273+S2))</f>
        <v>0</v>
      </c>
      <c r="W2" s="96"/>
      <c r="X2" s="96"/>
      <c r="Y2" s="96"/>
      <c r="Z2" s="96"/>
      <c r="AA2" s="96"/>
      <c r="AB2" s="95"/>
      <c r="AC2" s="11"/>
    </row>
    <row r="3" spans="1:29" ht="15.75" thickBot="1" x14ac:dyDescent="0.3">
      <c r="A3" s="97">
        <v>45475</v>
      </c>
      <c r="B3" s="92">
        <v>10</v>
      </c>
      <c r="C3" s="91"/>
      <c r="D3" s="91"/>
      <c r="E3" s="91"/>
      <c r="F3" s="91"/>
      <c r="G3" s="93">
        <v>106611</v>
      </c>
      <c r="H3" s="93">
        <v>25.5</v>
      </c>
      <c r="I3" s="93"/>
      <c r="J3" s="101"/>
      <c r="K3" s="102"/>
      <c r="L3" s="102"/>
      <c r="M3" s="102"/>
      <c r="N3" s="102"/>
      <c r="O3" s="101"/>
      <c r="P3" s="101"/>
      <c r="Q3" s="104"/>
      <c r="R3" s="103"/>
      <c r="S3" s="94">
        <f t="shared" ref="S3:S66" si="1">H3</f>
        <v>25.5</v>
      </c>
      <c r="T3" s="95">
        <f>G3-G2</f>
        <v>133</v>
      </c>
      <c r="U3" s="95">
        <f t="shared" ref="U3:U100" si="2">T3*(P3/100)</f>
        <v>0</v>
      </c>
      <c r="V3" s="95">
        <f t="shared" si="0"/>
        <v>0</v>
      </c>
      <c r="W3" s="96">
        <f t="shared" ref="W3:W164" si="3">T3*(273/(273+S3))</f>
        <v>121.63819095477386</v>
      </c>
      <c r="X3" s="96">
        <f>V3/[1]Manure!$I$2</f>
        <v>0</v>
      </c>
      <c r="Y3" s="96">
        <f>W3/[1]Manure!$I$2</f>
        <v>86.748858430214455</v>
      </c>
      <c r="Z3" s="96"/>
      <c r="AA3" s="96"/>
      <c r="AB3" s="95"/>
      <c r="AC3" s="11"/>
    </row>
    <row r="4" spans="1:29" ht="15.75" thickBot="1" x14ac:dyDescent="0.3">
      <c r="A4" s="97">
        <v>45506</v>
      </c>
      <c r="B4" s="92">
        <v>0.42499999999999999</v>
      </c>
      <c r="C4" s="91"/>
      <c r="D4" s="91"/>
      <c r="E4" s="91" t="s">
        <v>60</v>
      </c>
      <c r="F4" s="91">
        <v>30</v>
      </c>
      <c r="G4" s="93">
        <v>106978</v>
      </c>
      <c r="H4" s="93">
        <v>25.5</v>
      </c>
      <c r="I4" s="93"/>
      <c r="J4" s="101"/>
      <c r="K4" s="102"/>
      <c r="L4" s="102"/>
      <c r="M4" s="102"/>
      <c r="N4" s="102"/>
      <c r="O4" s="101"/>
      <c r="P4" s="101"/>
      <c r="Q4" s="104"/>
      <c r="R4" s="103"/>
      <c r="S4" s="94">
        <f t="shared" si="1"/>
        <v>25.5</v>
      </c>
      <c r="T4" s="95">
        <f t="shared" ref="T4:T67" si="4">G4-G3</f>
        <v>367</v>
      </c>
      <c r="U4" s="95">
        <f t="shared" si="2"/>
        <v>0</v>
      </c>
      <c r="V4" s="95">
        <f t="shared" si="0"/>
        <v>0</v>
      </c>
      <c r="W4" s="96">
        <f t="shared" si="3"/>
        <v>335.64824120603015</v>
      </c>
      <c r="X4" s="96">
        <f>V4/[1]Manure!$I$2</f>
        <v>0</v>
      </c>
      <c r="Y4" s="96">
        <f>W4/[1]Manure!$I$2</f>
        <v>239.37466950292259</v>
      </c>
      <c r="Z4" s="96"/>
      <c r="AA4" s="96"/>
      <c r="AB4" s="95"/>
      <c r="AC4" s="11"/>
    </row>
    <row r="5" spans="1:29" ht="15.75" thickBot="1" x14ac:dyDescent="0.3">
      <c r="A5" s="97">
        <v>45537</v>
      </c>
      <c r="B5" s="92">
        <v>0.4375</v>
      </c>
      <c r="C5" s="91"/>
      <c r="D5" s="91"/>
      <c r="E5" s="91" t="s">
        <v>62</v>
      </c>
      <c r="F5" s="91">
        <v>210</v>
      </c>
      <c r="G5" s="93">
        <v>107263</v>
      </c>
      <c r="H5" s="93">
        <v>23.6</v>
      </c>
      <c r="I5" s="93"/>
      <c r="J5" s="101"/>
      <c r="K5" s="102"/>
      <c r="L5" s="102"/>
      <c r="M5" s="102"/>
      <c r="N5" s="102"/>
      <c r="O5" s="101"/>
      <c r="P5" s="101"/>
      <c r="Q5" s="104"/>
      <c r="R5" s="103"/>
      <c r="S5" s="94">
        <f t="shared" si="1"/>
        <v>23.6</v>
      </c>
      <c r="T5" s="95">
        <f t="shared" si="4"/>
        <v>285</v>
      </c>
      <c r="U5" s="95">
        <f t="shared" si="2"/>
        <v>0</v>
      </c>
      <c r="V5" s="95">
        <f t="shared" si="0"/>
        <v>0</v>
      </c>
      <c r="W5" s="96">
        <f t="shared" si="3"/>
        <v>262.32299393122048</v>
      </c>
      <c r="X5" s="96">
        <f>V5/[1]Manure!$I$2</f>
        <v>0</v>
      </c>
      <c r="Y5" s="96">
        <f>W5/[1]Manure!$I$2</f>
        <v>187.0812126101942</v>
      </c>
      <c r="Z5" s="96"/>
      <c r="AA5" s="96"/>
      <c r="AB5" s="95"/>
      <c r="AC5" s="11"/>
    </row>
    <row r="6" spans="1:29" ht="15.75" thickBot="1" x14ac:dyDescent="0.3">
      <c r="A6" s="97">
        <v>45567</v>
      </c>
      <c r="B6" s="92">
        <v>0.41666666666666669</v>
      </c>
      <c r="C6" s="91"/>
      <c r="D6" s="91"/>
      <c r="E6" s="91" t="s">
        <v>60</v>
      </c>
      <c r="F6" s="91">
        <v>30</v>
      </c>
      <c r="G6" s="93">
        <v>107305</v>
      </c>
      <c r="H6" s="93">
        <v>26.9</v>
      </c>
      <c r="I6" s="93"/>
      <c r="J6" s="101"/>
      <c r="K6" s="102"/>
      <c r="L6" s="102"/>
      <c r="M6" s="102"/>
      <c r="N6" s="102"/>
      <c r="O6" s="101"/>
      <c r="P6" s="101"/>
      <c r="Q6" s="104"/>
      <c r="R6" s="103"/>
      <c r="S6" s="94">
        <f t="shared" si="1"/>
        <v>26.9</v>
      </c>
      <c r="T6" s="95">
        <f t="shared" si="4"/>
        <v>42</v>
      </c>
      <c r="U6" s="95">
        <f t="shared" si="2"/>
        <v>0</v>
      </c>
      <c r="V6" s="95">
        <f t="shared" si="0"/>
        <v>0</v>
      </c>
      <c r="W6" s="96">
        <f t="shared" si="3"/>
        <v>38.232744248082696</v>
      </c>
      <c r="X6" s="96">
        <f>V6/[1]Manure!$I$2</f>
        <v>0</v>
      </c>
      <c r="Y6" s="96">
        <f>W6/[1]Manure!$I$2</f>
        <v>27.26649329575018</v>
      </c>
      <c r="Z6" s="96"/>
      <c r="AA6" s="96"/>
      <c r="AB6" s="95"/>
      <c r="AC6" s="11"/>
    </row>
    <row r="7" spans="1:29" ht="15.75" thickBot="1" x14ac:dyDescent="0.3">
      <c r="A7" s="97">
        <v>45628</v>
      </c>
      <c r="B7" s="92">
        <v>0.41666666666666669</v>
      </c>
      <c r="C7" s="91"/>
      <c r="D7" s="91"/>
      <c r="E7" s="91" t="s">
        <v>60</v>
      </c>
      <c r="F7" s="91">
        <v>30</v>
      </c>
      <c r="G7" s="93">
        <v>107344</v>
      </c>
      <c r="H7" s="93">
        <v>32.799999999999997</v>
      </c>
      <c r="I7" s="93"/>
      <c r="J7" s="101"/>
      <c r="K7" s="102"/>
      <c r="L7" s="102"/>
      <c r="M7" s="102"/>
      <c r="N7" s="102"/>
      <c r="O7" s="101"/>
      <c r="P7" s="101"/>
      <c r="Q7" s="104"/>
      <c r="R7" s="103"/>
      <c r="S7" s="94">
        <f t="shared" si="1"/>
        <v>32.799999999999997</v>
      </c>
      <c r="T7" s="95">
        <f t="shared" si="4"/>
        <v>39</v>
      </c>
      <c r="U7" s="95">
        <f t="shared" si="2"/>
        <v>0</v>
      </c>
      <c r="V7" s="95">
        <f t="shared" si="0"/>
        <v>0</v>
      </c>
      <c r="W7" s="96">
        <f t="shared" si="3"/>
        <v>34.816873773708309</v>
      </c>
      <c r="X7" s="96">
        <f>V7/[1]Manure!$I$2</f>
        <v>0</v>
      </c>
      <c r="Y7" s="96">
        <f>W7/[1]Manure!$I$2</f>
        <v>24.830392743189112</v>
      </c>
      <c r="Z7" s="96"/>
      <c r="AA7" s="96"/>
      <c r="AB7" s="95"/>
      <c r="AC7" s="11"/>
    </row>
    <row r="8" spans="1:29" ht="15.75" thickBot="1" x14ac:dyDescent="0.3">
      <c r="A8" s="97" t="s">
        <v>63</v>
      </c>
      <c r="B8" s="92">
        <v>0.41666666666666669</v>
      </c>
      <c r="C8" s="91"/>
      <c r="D8" s="91"/>
      <c r="E8" s="91" t="s">
        <v>66</v>
      </c>
      <c r="F8" s="91" t="s">
        <v>66</v>
      </c>
      <c r="G8" s="93">
        <v>107344</v>
      </c>
      <c r="H8" s="93">
        <v>29.4</v>
      </c>
      <c r="I8" s="93"/>
      <c r="J8" s="101"/>
      <c r="K8" s="102"/>
      <c r="L8" s="102"/>
      <c r="M8" s="102"/>
      <c r="N8" s="102" t="s">
        <v>92</v>
      </c>
      <c r="O8" s="101"/>
      <c r="P8" s="101"/>
      <c r="Q8" s="104"/>
      <c r="R8" s="103"/>
      <c r="S8" s="94">
        <f t="shared" si="1"/>
        <v>29.4</v>
      </c>
      <c r="T8" s="95">
        <f t="shared" si="4"/>
        <v>0</v>
      </c>
      <c r="U8" s="95">
        <f t="shared" si="2"/>
        <v>0</v>
      </c>
      <c r="V8" s="95">
        <f t="shared" si="0"/>
        <v>0</v>
      </c>
      <c r="W8" s="96">
        <f t="shared" si="3"/>
        <v>0</v>
      </c>
      <c r="X8" s="96">
        <f>V8/[1]Manure!$I$2</f>
        <v>0</v>
      </c>
      <c r="Y8" s="96">
        <f>W8/[1]Manure!$I$2</f>
        <v>0</v>
      </c>
      <c r="Z8" s="96"/>
      <c r="AA8" s="96"/>
      <c r="AB8" s="95"/>
      <c r="AC8" s="11"/>
    </row>
    <row r="9" spans="1:29" ht="15.75" thickBot="1" x14ac:dyDescent="0.3">
      <c r="A9" s="97" t="s">
        <v>64</v>
      </c>
      <c r="B9" s="92">
        <v>0.41666666666666669</v>
      </c>
      <c r="C9" s="92"/>
      <c r="D9" s="91"/>
      <c r="E9" s="91" t="s">
        <v>66</v>
      </c>
      <c r="F9" s="91" t="s">
        <v>66</v>
      </c>
      <c r="G9" s="93">
        <v>107344</v>
      </c>
      <c r="H9" s="93">
        <v>30.8</v>
      </c>
      <c r="I9" s="93"/>
      <c r="J9" s="101"/>
      <c r="K9" s="102"/>
      <c r="L9" s="102"/>
      <c r="M9" s="102"/>
      <c r="N9" s="102"/>
      <c r="O9" s="101"/>
      <c r="P9" s="101"/>
      <c r="Q9" s="104"/>
      <c r="R9" s="103"/>
      <c r="S9" s="94">
        <f t="shared" si="1"/>
        <v>30.8</v>
      </c>
      <c r="T9" s="95">
        <f t="shared" si="4"/>
        <v>0</v>
      </c>
      <c r="U9" s="95">
        <f t="shared" si="2"/>
        <v>0</v>
      </c>
      <c r="V9" s="95">
        <f t="shared" si="0"/>
        <v>0</v>
      </c>
      <c r="W9" s="96">
        <f t="shared" si="3"/>
        <v>0</v>
      </c>
      <c r="X9" s="96">
        <f>V9/[1]Manure!$I$2</f>
        <v>0</v>
      </c>
      <c r="Y9" s="96">
        <f>W9/[1]Manure!$I$2</f>
        <v>0</v>
      </c>
      <c r="Z9" s="96"/>
      <c r="AA9" s="96"/>
      <c r="AB9" s="95"/>
      <c r="AC9" s="11"/>
    </row>
    <row r="10" spans="1:29" ht="15.75" thickBot="1" x14ac:dyDescent="0.3">
      <c r="A10" s="97" t="s">
        <v>65</v>
      </c>
      <c r="B10" s="92">
        <v>0.41666666666666669</v>
      </c>
      <c r="C10" s="92"/>
      <c r="D10" s="91"/>
      <c r="E10" s="91" t="s">
        <v>66</v>
      </c>
      <c r="F10" s="91" t="s">
        <v>66</v>
      </c>
      <c r="G10" s="93">
        <v>107346</v>
      </c>
      <c r="H10" s="93">
        <v>27.2</v>
      </c>
      <c r="I10" s="93"/>
      <c r="J10" s="101"/>
      <c r="K10" s="102"/>
      <c r="L10" s="102"/>
      <c r="M10" s="102"/>
      <c r="N10" s="102"/>
      <c r="O10" s="101"/>
      <c r="P10" s="101"/>
      <c r="Q10" s="104"/>
      <c r="R10" s="103"/>
      <c r="S10" s="94">
        <f t="shared" si="1"/>
        <v>27.2</v>
      </c>
      <c r="T10" s="95">
        <f t="shared" si="4"/>
        <v>2</v>
      </c>
      <c r="U10" s="95">
        <f t="shared" si="2"/>
        <v>0</v>
      </c>
      <c r="V10" s="95">
        <f t="shared" si="0"/>
        <v>0</v>
      </c>
      <c r="W10" s="96">
        <f t="shared" si="3"/>
        <v>1.8187874750166557</v>
      </c>
      <c r="X10" s="96">
        <f>V10/[1]Manure!$I$2</f>
        <v>0</v>
      </c>
      <c r="Y10" s="96">
        <f>W10/[1]Manure!$I$2</f>
        <v>1.2971069032383933</v>
      </c>
      <c r="Z10" s="96"/>
      <c r="AA10" s="96"/>
      <c r="AB10" s="95"/>
      <c r="AC10" s="11"/>
    </row>
    <row r="11" spans="1:29" ht="15.75" thickBot="1" x14ac:dyDescent="0.3">
      <c r="A11" s="97" t="s">
        <v>70</v>
      </c>
      <c r="B11" s="92">
        <v>0.41666666666666669</v>
      </c>
      <c r="C11" s="92"/>
      <c r="D11" s="91"/>
      <c r="E11" s="91" t="s">
        <v>60</v>
      </c>
      <c r="F11" s="91">
        <v>30</v>
      </c>
      <c r="G11" s="93">
        <v>107352</v>
      </c>
      <c r="H11" s="93">
        <v>29.8</v>
      </c>
      <c r="I11" s="93"/>
      <c r="J11" s="101"/>
      <c r="K11" s="105"/>
      <c r="L11" s="105"/>
      <c r="M11" s="105"/>
      <c r="N11" s="105"/>
      <c r="O11" s="101"/>
      <c r="P11" s="101"/>
      <c r="Q11" s="104"/>
      <c r="R11" s="103"/>
      <c r="S11" s="94">
        <f t="shared" si="1"/>
        <v>29.8</v>
      </c>
      <c r="T11" s="95">
        <f t="shared" si="4"/>
        <v>6</v>
      </c>
      <c r="U11" s="95">
        <f t="shared" si="2"/>
        <v>0</v>
      </c>
      <c r="V11" s="95">
        <f t="shared" si="0"/>
        <v>0</v>
      </c>
      <c r="W11" s="96">
        <f t="shared" si="3"/>
        <v>5.4095112285336855</v>
      </c>
      <c r="X11" s="96">
        <f>V11/[1]Manure!$I$2</f>
        <v>0</v>
      </c>
      <c r="Y11" s="96">
        <f>W11/[1]Manure!$I$2</f>
        <v>3.8579077842024336</v>
      </c>
      <c r="Z11" s="96"/>
      <c r="AA11" s="96"/>
      <c r="AB11" s="95"/>
      <c r="AC11" s="11"/>
    </row>
    <row r="12" spans="1:29" ht="15.75" thickBot="1" x14ac:dyDescent="0.3">
      <c r="A12" s="97" t="s">
        <v>71</v>
      </c>
      <c r="B12" s="92">
        <v>0.41666666666666669</v>
      </c>
      <c r="C12" s="92"/>
      <c r="D12" s="91"/>
      <c r="E12" s="91" t="s">
        <v>60</v>
      </c>
      <c r="F12" s="91">
        <v>30</v>
      </c>
      <c r="G12" s="93">
        <v>107369</v>
      </c>
      <c r="H12" s="93">
        <v>37.700000000000003</v>
      </c>
      <c r="I12" s="93"/>
      <c r="J12" s="101"/>
      <c r="K12" s="105"/>
      <c r="L12" s="105"/>
      <c r="M12" s="105"/>
      <c r="N12" s="105"/>
      <c r="O12" s="101"/>
      <c r="P12" s="101"/>
      <c r="Q12" s="104"/>
      <c r="R12" s="103"/>
      <c r="S12" s="94">
        <f t="shared" si="1"/>
        <v>37.700000000000003</v>
      </c>
      <c r="T12" s="95">
        <f t="shared" si="4"/>
        <v>17</v>
      </c>
      <c r="U12" s="95">
        <f t="shared" si="2"/>
        <v>0</v>
      </c>
      <c r="V12" s="95">
        <f t="shared" si="0"/>
        <v>0</v>
      </c>
      <c r="W12" s="96">
        <f t="shared" si="3"/>
        <v>14.93723849372385</v>
      </c>
      <c r="X12" s="96">
        <f>V12/[1]Manure!$I$2</f>
        <v>0</v>
      </c>
      <c r="Y12" s="96">
        <f>W12/[1]Manure!$I$2</f>
        <v>10.652808770496968</v>
      </c>
      <c r="Z12" s="96"/>
      <c r="AA12" s="96"/>
      <c r="AB12" s="95"/>
      <c r="AC12" s="11"/>
    </row>
    <row r="13" spans="1:29" ht="15.75" thickBot="1" x14ac:dyDescent="0.3">
      <c r="A13" s="97" t="s">
        <v>67</v>
      </c>
      <c r="B13" s="92">
        <v>0.41666666666666669</v>
      </c>
      <c r="C13" s="92"/>
      <c r="D13" s="91"/>
      <c r="E13" s="91" t="s">
        <v>60</v>
      </c>
      <c r="F13" s="91">
        <v>30</v>
      </c>
      <c r="G13" s="93">
        <v>107540</v>
      </c>
      <c r="H13" s="93">
        <v>27.4</v>
      </c>
      <c r="I13" s="93"/>
      <c r="J13" s="101"/>
      <c r="K13" s="105"/>
      <c r="L13" s="105"/>
      <c r="M13" s="105"/>
      <c r="N13" s="105"/>
      <c r="O13" s="101"/>
      <c r="P13" s="101"/>
      <c r="Q13" s="104"/>
      <c r="R13" s="103"/>
      <c r="S13" s="94">
        <f t="shared" si="1"/>
        <v>27.4</v>
      </c>
      <c r="T13" s="95">
        <f t="shared" si="4"/>
        <v>171</v>
      </c>
      <c r="U13" s="95">
        <f t="shared" si="2"/>
        <v>0</v>
      </c>
      <c r="V13" s="95">
        <f t="shared" si="0"/>
        <v>0</v>
      </c>
      <c r="W13" s="96">
        <f t="shared" si="3"/>
        <v>155.40279627163784</v>
      </c>
      <c r="X13" s="96">
        <f>V13/[1]Manure!$I$2</f>
        <v>0</v>
      </c>
      <c r="Y13" s="96">
        <f>W13/[1]Manure!$I$2</f>
        <v>110.82880358225755</v>
      </c>
      <c r="Z13" s="96"/>
      <c r="AA13" s="96"/>
      <c r="AB13" s="95"/>
      <c r="AC13" s="11"/>
    </row>
    <row r="14" spans="1:29" ht="15.75" thickBot="1" x14ac:dyDescent="0.3">
      <c r="A14" s="97" t="s">
        <v>68</v>
      </c>
      <c r="B14" s="92">
        <v>0.41666666666666669</v>
      </c>
      <c r="C14" s="92"/>
      <c r="D14" s="91"/>
      <c r="E14" s="91" t="s">
        <v>60</v>
      </c>
      <c r="F14" s="91">
        <v>30</v>
      </c>
      <c r="G14" s="93">
        <v>107698</v>
      </c>
      <c r="H14" s="93">
        <v>26.4</v>
      </c>
      <c r="I14" s="93"/>
      <c r="J14" s="101"/>
      <c r="K14" s="105"/>
      <c r="L14" s="105"/>
      <c r="M14" s="105"/>
      <c r="N14" s="105"/>
      <c r="O14" s="101"/>
      <c r="P14" s="101"/>
      <c r="Q14" s="104"/>
      <c r="R14" s="103"/>
      <c r="S14" s="94">
        <f t="shared" si="1"/>
        <v>26.4</v>
      </c>
      <c r="T14" s="95">
        <f t="shared" si="4"/>
        <v>158</v>
      </c>
      <c r="U14" s="95">
        <f t="shared" si="2"/>
        <v>0</v>
      </c>
      <c r="V14" s="95">
        <f t="shared" si="0"/>
        <v>0</v>
      </c>
      <c r="W14" s="96">
        <f t="shared" si="3"/>
        <v>144.0681362725451</v>
      </c>
      <c r="X14" s="96">
        <f>V14/[1]Manure!$I$2</f>
        <v>0</v>
      </c>
      <c r="Y14" s="96">
        <f>W14/[1]Manure!$I$2</f>
        <v>102.74525015304305</v>
      </c>
      <c r="Z14" s="96"/>
      <c r="AA14" s="96"/>
      <c r="AB14" s="95"/>
      <c r="AC14" s="11"/>
    </row>
    <row r="15" spans="1:29" ht="15.75" thickBot="1" x14ac:dyDescent="0.3">
      <c r="A15" s="91" t="s">
        <v>69</v>
      </c>
      <c r="B15" s="92">
        <v>0.41666666666666669</v>
      </c>
      <c r="C15" s="92"/>
      <c r="D15" s="91"/>
      <c r="E15" s="91" t="s">
        <v>60</v>
      </c>
      <c r="F15" s="91">
        <v>30</v>
      </c>
      <c r="G15" s="93">
        <v>107798</v>
      </c>
      <c r="H15" s="93">
        <v>24.7</v>
      </c>
      <c r="I15" s="93"/>
      <c r="J15" s="101"/>
      <c r="K15" s="105"/>
      <c r="L15" s="105"/>
      <c r="M15" s="105"/>
      <c r="N15" s="105"/>
      <c r="O15" s="101"/>
      <c r="P15" s="101"/>
      <c r="Q15" s="104"/>
      <c r="R15" s="103"/>
      <c r="S15" s="94">
        <f t="shared" si="1"/>
        <v>24.7</v>
      </c>
      <c r="T15" s="95">
        <f t="shared" si="4"/>
        <v>100</v>
      </c>
      <c r="U15" s="95">
        <f t="shared" si="2"/>
        <v>0</v>
      </c>
      <c r="V15" s="95">
        <f t="shared" si="0"/>
        <v>0</v>
      </c>
      <c r="W15" s="96">
        <f t="shared" si="3"/>
        <v>91.703056768558952</v>
      </c>
      <c r="X15" s="96">
        <f>V15/[1]Manure!$I$2</f>
        <v>0</v>
      </c>
      <c r="Y15" s="96">
        <f>W15/[1]Manure!$I$2</f>
        <v>65.399981920081558</v>
      </c>
      <c r="Z15" s="96"/>
      <c r="AA15" s="96"/>
      <c r="AB15" s="95"/>
      <c r="AC15" s="11"/>
    </row>
    <row r="16" spans="1:29" ht="15.75" thickBot="1" x14ac:dyDescent="0.3">
      <c r="A16" s="91" t="s">
        <v>72</v>
      </c>
      <c r="B16" s="92">
        <v>0.41666666666666669</v>
      </c>
      <c r="C16" s="92"/>
      <c r="D16" s="91"/>
      <c r="E16" s="91" t="s">
        <v>60</v>
      </c>
      <c r="F16" s="91">
        <v>30</v>
      </c>
      <c r="G16" s="93">
        <v>107845</v>
      </c>
      <c r="H16" s="93">
        <v>24.3</v>
      </c>
      <c r="I16" s="93"/>
      <c r="J16" s="101"/>
      <c r="K16" s="105"/>
      <c r="L16" s="105"/>
      <c r="M16" s="105"/>
      <c r="N16" s="105"/>
      <c r="O16" s="101"/>
      <c r="P16" s="101"/>
      <c r="Q16" s="104"/>
      <c r="R16" s="103"/>
      <c r="S16" s="94">
        <f t="shared" si="1"/>
        <v>24.3</v>
      </c>
      <c r="T16" s="95">
        <f t="shared" si="4"/>
        <v>47</v>
      </c>
      <c r="U16" s="95">
        <f t="shared" si="2"/>
        <v>0</v>
      </c>
      <c r="V16" s="95">
        <f t="shared" si="0"/>
        <v>0</v>
      </c>
      <c r="W16" s="96">
        <f t="shared" si="3"/>
        <v>43.158425832492433</v>
      </c>
      <c r="X16" s="96">
        <f>V16/[1]Manure!$I$2</f>
        <v>0</v>
      </c>
      <c r="Y16" s="96">
        <f>W16/[1]Manure!$I$2</f>
        <v>30.779347696858032</v>
      </c>
      <c r="Z16" s="96"/>
      <c r="AA16" s="96"/>
      <c r="AB16" s="95"/>
      <c r="AC16" s="11"/>
    </row>
    <row r="17" spans="1:29" ht="15.75" thickBot="1" x14ac:dyDescent="0.3">
      <c r="A17" s="91" t="s">
        <v>73</v>
      </c>
      <c r="B17" s="92">
        <v>0.41666666666666669</v>
      </c>
      <c r="C17" s="92"/>
      <c r="D17" s="91"/>
      <c r="E17" s="91" t="s">
        <v>60</v>
      </c>
      <c r="F17" s="91">
        <v>30</v>
      </c>
      <c r="G17" s="93">
        <v>107869</v>
      </c>
      <c r="H17" s="93">
        <v>23.6</v>
      </c>
      <c r="I17" s="93"/>
      <c r="J17" s="101"/>
      <c r="K17" s="105"/>
      <c r="L17" s="105"/>
      <c r="M17" s="105"/>
      <c r="N17" s="105"/>
      <c r="O17" s="101"/>
      <c r="P17" s="101"/>
      <c r="Q17" s="104"/>
      <c r="R17" s="103"/>
      <c r="S17" s="94">
        <f t="shared" si="1"/>
        <v>23.6</v>
      </c>
      <c r="T17" s="95">
        <f t="shared" si="4"/>
        <v>24</v>
      </c>
      <c r="U17" s="95">
        <f t="shared" si="2"/>
        <v>0</v>
      </c>
      <c r="V17" s="95">
        <f t="shared" si="0"/>
        <v>0</v>
      </c>
      <c r="W17" s="96">
        <f t="shared" si="3"/>
        <v>22.090357383681727</v>
      </c>
      <c r="X17" s="96">
        <f>V17/[1]Manure!$I$2</f>
        <v>0</v>
      </c>
      <c r="Y17" s="96">
        <f>W17/[1]Manure!$I$2</f>
        <v>15.754207377700567</v>
      </c>
      <c r="Z17" s="96"/>
      <c r="AA17" s="96"/>
      <c r="AB17" s="98"/>
      <c r="AC17" s="11"/>
    </row>
    <row r="18" spans="1:29" ht="15.75" thickBot="1" x14ac:dyDescent="0.3">
      <c r="A18" s="91" t="s">
        <v>74</v>
      </c>
      <c r="B18" s="92">
        <v>0.41666666666666669</v>
      </c>
      <c r="C18" s="92"/>
      <c r="D18" s="91"/>
      <c r="E18" s="91" t="s">
        <v>60</v>
      </c>
      <c r="F18" s="91">
        <v>30</v>
      </c>
      <c r="G18" s="93">
        <v>107893</v>
      </c>
      <c r="H18" s="93">
        <v>24.1</v>
      </c>
      <c r="I18" s="93"/>
      <c r="J18" s="101"/>
      <c r="K18" s="105"/>
      <c r="L18" s="105"/>
      <c r="M18" s="105"/>
      <c r="N18" s="105"/>
      <c r="O18" s="101"/>
      <c r="P18" s="101"/>
      <c r="Q18" s="104"/>
      <c r="R18" s="103"/>
      <c r="S18" s="94">
        <f t="shared" si="1"/>
        <v>24.1</v>
      </c>
      <c r="T18" s="95">
        <f t="shared" si="4"/>
        <v>24</v>
      </c>
      <c r="U18" s="95">
        <f t="shared" si="2"/>
        <v>0</v>
      </c>
      <c r="V18" s="95">
        <f t="shared" si="0"/>
        <v>0</v>
      </c>
      <c r="W18" s="96">
        <f t="shared" si="3"/>
        <v>22.053180747223156</v>
      </c>
      <c r="X18" s="96">
        <f>V18/[1]Manure!$I$2</f>
        <v>0</v>
      </c>
      <c r="Y18" s="96">
        <f>W18/[1]Manure!$I$2</f>
        <v>15.727694070097568</v>
      </c>
      <c r="Z18" s="96"/>
      <c r="AA18" s="96"/>
      <c r="AB18" s="98"/>
      <c r="AC18" s="11"/>
    </row>
    <row r="19" spans="1:29" ht="15.75" thickBot="1" x14ac:dyDescent="0.3">
      <c r="A19" s="91" t="s">
        <v>75</v>
      </c>
      <c r="B19" s="92">
        <v>0.41666666666666669</v>
      </c>
      <c r="C19" s="92"/>
      <c r="D19" s="91"/>
      <c r="E19" s="91" t="s">
        <v>60</v>
      </c>
      <c r="F19" s="91">
        <v>30</v>
      </c>
      <c r="G19" s="93">
        <v>107938</v>
      </c>
      <c r="H19" s="93">
        <v>27.5</v>
      </c>
      <c r="I19" s="93"/>
      <c r="J19" s="101"/>
      <c r="K19" s="105"/>
      <c r="L19" s="105"/>
      <c r="M19" s="105"/>
      <c r="N19" s="105"/>
      <c r="O19" s="101"/>
      <c r="P19" s="101"/>
      <c r="Q19" s="104"/>
      <c r="R19" s="103"/>
      <c r="S19" s="94">
        <f t="shared" si="1"/>
        <v>27.5</v>
      </c>
      <c r="T19" s="95">
        <f t="shared" si="4"/>
        <v>45</v>
      </c>
      <c r="U19" s="95">
        <f t="shared" si="2"/>
        <v>0</v>
      </c>
      <c r="V19" s="95">
        <f t="shared" si="0"/>
        <v>0</v>
      </c>
      <c r="W19" s="96">
        <f t="shared" si="3"/>
        <v>40.881863560732114</v>
      </c>
      <c r="X19" s="96">
        <f>V19/[1]Manure!$I$2</f>
        <v>0</v>
      </c>
      <c r="Y19" s="96">
        <f>W19/[1]Manure!$I$2</f>
        <v>29.155768978115564</v>
      </c>
      <c r="Z19" s="96"/>
      <c r="AA19" s="96"/>
      <c r="AB19" s="95"/>
      <c r="AC19" s="11"/>
    </row>
    <row r="20" spans="1:29" ht="15.75" thickBot="1" x14ac:dyDescent="0.3">
      <c r="A20" s="91" t="s">
        <v>76</v>
      </c>
      <c r="B20" s="92">
        <v>0.41666666666666669</v>
      </c>
      <c r="C20" s="92"/>
      <c r="D20" s="91"/>
      <c r="E20" s="91" t="s">
        <v>60</v>
      </c>
      <c r="F20" s="91">
        <v>30</v>
      </c>
      <c r="G20" s="93">
        <v>108055</v>
      </c>
      <c r="H20" s="93">
        <v>27.4</v>
      </c>
      <c r="I20" s="93"/>
      <c r="J20" s="101"/>
      <c r="K20" s="105"/>
      <c r="L20" s="105"/>
      <c r="M20" s="105"/>
      <c r="N20" s="105"/>
      <c r="O20" s="101"/>
      <c r="P20" s="101"/>
      <c r="Q20" s="104"/>
      <c r="R20" s="103"/>
      <c r="S20" s="94">
        <f t="shared" si="1"/>
        <v>27.4</v>
      </c>
      <c r="T20" s="95">
        <f t="shared" si="4"/>
        <v>117</v>
      </c>
      <c r="U20" s="95">
        <f t="shared" si="2"/>
        <v>0</v>
      </c>
      <c r="V20" s="95">
        <f t="shared" si="0"/>
        <v>0</v>
      </c>
      <c r="W20" s="96">
        <f t="shared" si="3"/>
        <v>106.32822902796273</v>
      </c>
      <c r="X20" s="96">
        <f>V20/[1]Manure!$I$2</f>
        <v>0</v>
      </c>
      <c r="Y20" s="96">
        <f>W20/[1]Manure!$I$2</f>
        <v>75.830234029965695</v>
      </c>
      <c r="Z20" s="96"/>
      <c r="AA20" s="96"/>
      <c r="AB20" s="95"/>
      <c r="AC20" s="11"/>
    </row>
    <row r="21" spans="1:29" ht="15.75" thickBot="1" x14ac:dyDescent="0.3">
      <c r="A21" s="91" t="s">
        <v>77</v>
      </c>
      <c r="B21" s="92">
        <v>0.41666666666666669</v>
      </c>
      <c r="C21" s="92"/>
      <c r="D21" s="91"/>
      <c r="E21" s="91" t="s">
        <v>60</v>
      </c>
      <c r="F21" s="91">
        <v>30</v>
      </c>
      <c r="G21" s="93">
        <v>108813</v>
      </c>
      <c r="H21" s="93">
        <v>32.4</v>
      </c>
      <c r="I21" s="93"/>
      <c r="J21" s="101"/>
      <c r="K21" s="105"/>
      <c r="L21" s="105"/>
      <c r="M21" s="105"/>
      <c r="N21" s="105"/>
      <c r="O21" s="101"/>
      <c r="P21" s="101"/>
      <c r="Q21" s="104"/>
      <c r="R21" s="103"/>
      <c r="S21" s="94">
        <f t="shared" si="1"/>
        <v>32.4</v>
      </c>
      <c r="T21" s="95">
        <f t="shared" si="4"/>
        <v>758</v>
      </c>
      <c r="U21" s="95">
        <f t="shared" si="2"/>
        <v>0</v>
      </c>
      <c r="V21" s="95">
        <f t="shared" si="0"/>
        <v>0</v>
      </c>
      <c r="W21" s="96">
        <f t="shared" si="3"/>
        <v>677.58349705304522</v>
      </c>
      <c r="X21" s="96">
        <f>V21/[1]Manure!$I$2</f>
        <v>0</v>
      </c>
      <c r="Y21" s="96">
        <f>W21/[1]Manure!$I$2</f>
        <v>483.23305697927566</v>
      </c>
      <c r="Z21" s="96"/>
      <c r="AA21" s="96"/>
      <c r="AB21" s="95"/>
      <c r="AC21" s="11"/>
    </row>
    <row r="22" spans="1:29" ht="15.75" thickBot="1" x14ac:dyDescent="0.3">
      <c r="A22" s="91" t="s">
        <v>78</v>
      </c>
      <c r="B22" s="92">
        <v>0.41666666666666669</v>
      </c>
      <c r="C22" s="92"/>
      <c r="D22" s="91"/>
      <c r="E22" s="91" t="s">
        <v>60</v>
      </c>
      <c r="F22" s="91">
        <v>30</v>
      </c>
      <c r="G22" s="93">
        <v>109471</v>
      </c>
      <c r="H22" s="93">
        <v>31</v>
      </c>
      <c r="I22" s="93"/>
      <c r="J22" s="101"/>
      <c r="K22" s="105"/>
      <c r="L22" s="105"/>
      <c r="M22" s="105"/>
      <c r="N22" s="105"/>
      <c r="O22" s="101"/>
      <c r="P22" s="101"/>
      <c r="Q22" s="104"/>
      <c r="R22" s="103"/>
      <c r="S22" s="94">
        <f t="shared" si="1"/>
        <v>31</v>
      </c>
      <c r="T22" s="95">
        <f t="shared" si="4"/>
        <v>658</v>
      </c>
      <c r="U22" s="95">
        <f t="shared" si="2"/>
        <v>0</v>
      </c>
      <c r="V22" s="95">
        <f t="shared" si="0"/>
        <v>0</v>
      </c>
      <c r="W22" s="96">
        <f t="shared" si="3"/>
        <v>590.90131578947364</v>
      </c>
      <c r="X22" s="96">
        <f>V22/[1]Manure!$I$2</f>
        <v>0</v>
      </c>
      <c r="Y22" s="96">
        <f>W22/[1]Manure!$I$2</f>
        <v>421.41381902586346</v>
      </c>
      <c r="Z22" s="96"/>
      <c r="AA22" s="96"/>
      <c r="AB22" s="95"/>
      <c r="AC22" s="11"/>
    </row>
    <row r="23" spans="1:29" ht="15.75" thickBot="1" x14ac:dyDescent="0.3">
      <c r="A23" s="97">
        <v>45294</v>
      </c>
      <c r="B23" s="92">
        <v>0.41666666666666669</v>
      </c>
      <c r="C23" s="92"/>
      <c r="D23" s="91"/>
      <c r="E23" s="91" t="s">
        <v>60</v>
      </c>
      <c r="F23" s="91">
        <v>30</v>
      </c>
      <c r="G23" s="93">
        <v>109989</v>
      </c>
      <c r="H23" s="93">
        <v>26</v>
      </c>
      <c r="I23" s="93"/>
      <c r="J23" s="101"/>
      <c r="K23" s="102"/>
      <c r="L23" s="102"/>
      <c r="M23" s="102"/>
      <c r="N23" s="102"/>
      <c r="O23" s="101"/>
      <c r="P23" s="101"/>
      <c r="Q23" s="104"/>
      <c r="R23" s="103"/>
      <c r="S23" s="94">
        <f t="shared" si="1"/>
        <v>26</v>
      </c>
      <c r="T23" s="95">
        <f t="shared" si="4"/>
        <v>518</v>
      </c>
      <c r="U23" s="95">
        <f t="shared" si="2"/>
        <v>0</v>
      </c>
      <c r="V23" s="95">
        <f t="shared" si="0"/>
        <v>0</v>
      </c>
      <c r="W23" s="96">
        <f t="shared" si="3"/>
        <v>472.95652173913038</v>
      </c>
      <c r="X23" s="96">
        <f>V23/[1]Manure!$I$2</f>
        <v>0</v>
      </c>
      <c r="Y23" s="96">
        <f>W23/[1]Manure!$I$2</f>
        <v>337.29898501408326</v>
      </c>
      <c r="Z23" s="96"/>
      <c r="AA23" s="96"/>
      <c r="AB23" s="95"/>
      <c r="AC23" s="11"/>
    </row>
    <row r="24" spans="1:29" ht="15.75" thickBot="1" x14ac:dyDescent="0.3">
      <c r="A24" s="97">
        <v>45325</v>
      </c>
      <c r="B24" s="92">
        <v>0.41666666666666669</v>
      </c>
      <c r="C24" s="92"/>
      <c r="D24" s="91"/>
      <c r="E24" s="91" t="s">
        <v>60</v>
      </c>
      <c r="F24" s="91">
        <v>30</v>
      </c>
      <c r="G24" s="93">
        <v>110938</v>
      </c>
      <c r="H24" s="93">
        <v>27</v>
      </c>
      <c r="I24" s="93"/>
      <c r="J24" s="101"/>
      <c r="K24" s="102"/>
      <c r="L24" s="102"/>
      <c r="M24" s="102"/>
      <c r="N24" s="102"/>
      <c r="O24" s="101"/>
      <c r="P24" s="101"/>
      <c r="Q24" s="104"/>
      <c r="R24" s="103"/>
      <c r="S24" s="94">
        <f t="shared" si="1"/>
        <v>27</v>
      </c>
      <c r="T24" s="95">
        <f t="shared" si="4"/>
        <v>949</v>
      </c>
      <c r="U24" s="95">
        <f t="shared" si="2"/>
        <v>0</v>
      </c>
      <c r="V24" s="95">
        <f t="shared" si="0"/>
        <v>0</v>
      </c>
      <c r="W24" s="96">
        <f t="shared" si="3"/>
        <v>863.59</v>
      </c>
      <c r="X24" s="96">
        <f>V24/[1]Manure!$I$2</f>
        <v>0</v>
      </c>
      <c r="Y24" s="96">
        <f>W24/[1]Manure!$I$2</f>
        <v>615.88754373700863</v>
      </c>
      <c r="Z24" s="96"/>
      <c r="AA24" s="96"/>
      <c r="AB24" s="95"/>
      <c r="AC24" s="11"/>
    </row>
    <row r="25" spans="1:29" ht="15.75" thickBot="1" x14ac:dyDescent="0.3">
      <c r="A25" s="97">
        <v>45385</v>
      </c>
      <c r="B25" s="92">
        <v>0.41666666666666669</v>
      </c>
      <c r="C25" s="92"/>
      <c r="D25" s="91"/>
      <c r="E25" s="91" t="s">
        <v>60</v>
      </c>
      <c r="F25" s="91">
        <v>30</v>
      </c>
      <c r="G25" s="93">
        <v>111766</v>
      </c>
      <c r="H25" s="93">
        <v>27</v>
      </c>
      <c r="I25" s="93"/>
      <c r="J25" s="103"/>
      <c r="K25" s="106"/>
      <c r="L25" s="106"/>
      <c r="M25" s="106"/>
      <c r="N25" s="106"/>
      <c r="O25" s="103"/>
      <c r="P25" s="109">
        <v>0.60499999999999998</v>
      </c>
      <c r="Q25" s="110">
        <v>0.441</v>
      </c>
      <c r="R25" s="103"/>
      <c r="S25" s="94">
        <f t="shared" si="1"/>
        <v>27</v>
      </c>
      <c r="T25" s="95">
        <f t="shared" si="4"/>
        <v>828</v>
      </c>
      <c r="U25" s="95">
        <f t="shared" si="2"/>
        <v>5.0093999999999994</v>
      </c>
      <c r="V25" s="95">
        <f t="shared" si="0"/>
        <v>4.558554</v>
      </c>
      <c r="W25" s="96">
        <f t="shared" si="3"/>
        <v>753.48</v>
      </c>
      <c r="X25" s="96">
        <f>V25/[1]Manure!$I$2</f>
        <v>3.2510295696482308</v>
      </c>
      <c r="Y25" s="96">
        <f>W25/[1]Manure!$I$2</f>
        <v>537.36025944598862</v>
      </c>
      <c r="Z25" s="96"/>
      <c r="AA25" s="96"/>
      <c r="AB25" s="95"/>
      <c r="AC25" s="11"/>
    </row>
    <row r="26" spans="1:29" ht="15.75" thickBot="1" x14ac:dyDescent="0.3">
      <c r="A26" s="97">
        <v>45415</v>
      </c>
      <c r="B26" s="92">
        <v>0.41666666666666669</v>
      </c>
      <c r="C26" s="92"/>
      <c r="D26" s="91"/>
      <c r="E26" s="91" t="s">
        <v>60</v>
      </c>
      <c r="F26" s="91">
        <v>30</v>
      </c>
      <c r="G26" s="93">
        <v>112316</v>
      </c>
      <c r="H26" s="93">
        <v>26.6</v>
      </c>
      <c r="I26" s="93"/>
      <c r="J26" s="103"/>
      <c r="K26" s="106"/>
      <c r="L26" s="106"/>
      <c r="M26" s="106"/>
      <c r="N26" s="106"/>
      <c r="O26" s="103"/>
      <c r="P26" s="103"/>
      <c r="Q26" s="104"/>
      <c r="R26" s="103"/>
      <c r="S26" s="94">
        <f t="shared" si="1"/>
        <v>26.6</v>
      </c>
      <c r="T26" s="95">
        <f t="shared" si="4"/>
        <v>550</v>
      </c>
      <c r="U26" s="95">
        <f t="shared" si="2"/>
        <v>0</v>
      </c>
      <c r="V26" s="95">
        <f t="shared" si="0"/>
        <v>0</v>
      </c>
      <c r="W26" s="96">
        <f t="shared" si="3"/>
        <v>501.1682242990654</v>
      </c>
      <c r="X26" s="96">
        <f>V26/[1]Manure!$I$2</f>
        <v>0</v>
      </c>
      <c r="Y26" s="96">
        <f>W26/[1]Manure!$I$2</f>
        <v>357.41875966904388</v>
      </c>
      <c r="Z26" s="96"/>
      <c r="AA26" s="96"/>
      <c r="AB26" s="95"/>
      <c r="AC26" s="11"/>
    </row>
    <row r="27" spans="1:29" ht="15.75" thickBot="1" x14ac:dyDescent="0.3">
      <c r="A27" s="97">
        <v>45446</v>
      </c>
      <c r="B27" s="92">
        <v>0.41666666666666669</v>
      </c>
      <c r="C27" s="92"/>
      <c r="D27" s="91"/>
      <c r="E27" s="91" t="s">
        <v>60</v>
      </c>
      <c r="F27" s="91">
        <v>30</v>
      </c>
      <c r="G27" s="93">
        <v>112933</v>
      </c>
      <c r="H27" s="93">
        <v>29.7</v>
      </c>
      <c r="I27" s="93"/>
      <c r="J27" s="103"/>
      <c r="K27" s="106"/>
      <c r="L27" s="106"/>
      <c r="M27" s="106"/>
      <c r="N27" s="106"/>
      <c r="O27" s="103"/>
      <c r="P27" s="103"/>
      <c r="Q27" s="104"/>
      <c r="R27" s="103"/>
      <c r="S27" s="94">
        <f t="shared" si="1"/>
        <v>29.7</v>
      </c>
      <c r="T27" s="95">
        <f t="shared" si="4"/>
        <v>617</v>
      </c>
      <c r="U27" s="95">
        <f t="shared" si="2"/>
        <v>0</v>
      </c>
      <c r="V27" s="95">
        <f t="shared" si="0"/>
        <v>0</v>
      </c>
      <c r="W27" s="96">
        <f t="shared" si="3"/>
        <v>556.4618434093162</v>
      </c>
      <c r="X27" s="96">
        <f>V27/[1]Manure!$I$2</f>
        <v>0</v>
      </c>
      <c r="Y27" s="96">
        <f>W27/[1]Manure!$I$2</f>
        <v>396.85257809925042</v>
      </c>
      <c r="Z27" s="96"/>
      <c r="AA27" s="96"/>
      <c r="AB27" s="95"/>
      <c r="AC27" s="11"/>
    </row>
    <row r="28" spans="1:29" ht="15.75" thickBot="1" x14ac:dyDescent="0.3">
      <c r="A28" s="97">
        <v>45476</v>
      </c>
      <c r="B28" s="92">
        <v>0.41666666666666702</v>
      </c>
      <c r="C28" s="92"/>
      <c r="D28" s="91"/>
      <c r="E28" s="91" t="s">
        <v>60</v>
      </c>
      <c r="F28" s="91">
        <v>30</v>
      </c>
      <c r="G28" s="93">
        <v>113601</v>
      </c>
      <c r="H28" s="93">
        <v>25.6</v>
      </c>
      <c r="I28" s="93"/>
      <c r="J28" s="103"/>
      <c r="K28" s="106"/>
      <c r="L28" s="106"/>
      <c r="M28" s="106"/>
      <c r="N28" s="106"/>
      <c r="O28" s="103"/>
      <c r="P28" s="103"/>
      <c r="Q28" s="104"/>
      <c r="R28" s="103"/>
      <c r="S28" s="94">
        <f t="shared" si="1"/>
        <v>25.6</v>
      </c>
      <c r="T28" s="95">
        <f t="shared" si="4"/>
        <v>668</v>
      </c>
      <c r="U28" s="95">
        <f t="shared" si="2"/>
        <v>0</v>
      </c>
      <c r="V28" s="95">
        <f t="shared" si="0"/>
        <v>0</v>
      </c>
      <c r="W28" s="96">
        <f t="shared" si="3"/>
        <v>610.73007367716002</v>
      </c>
      <c r="X28" s="96">
        <f>V28/[1]Manure!$I$2</f>
        <v>0</v>
      </c>
      <c r="Y28" s="96">
        <f>W28/[1]Manure!$I$2</f>
        <v>435.5551187060392</v>
      </c>
      <c r="Z28" s="96"/>
      <c r="AA28" s="96"/>
      <c r="AB28" s="95"/>
      <c r="AC28" s="11"/>
    </row>
    <row r="29" spans="1:29" ht="15.75" thickBot="1" x14ac:dyDescent="0.3">
      <c r="A29" s="97">
        <v>45507</v>
      </c>
      <c r="B29" s="92">
        <v>0.41666666666666702</v>
      </c>
      <c r="C29" s="93"/>
      <c r="D29" s="91"/>
      <c r="E29" s="91" t="s">
        <v>60</v>
      </c>
      <c r="F29" s="91">
        <v>30</v>
      </c>
      <c r="G29" s="93">
        <v>216515</v>
      </c>
      <c r="H29" s="93"/>
      <c r="I29" s="93"/>
      <c r="J29" s="103"/>
      <c r="K29" s="106"/>
      <c r="L29" s="106"/>
      <c r="M29" s="106"/>
      <c r="N29" s="106"/>
      <c r="O29" s="103"/>
      <c r="P29" s="103"/>
      <c r="Q29" s="104"/>
      <c r="R29" s="103"/>
      <c r="S29" s="94">
        <f t="shared" si="1"/>
        <v>0</v>
      </c>
      <c r="T29" s="95">
        <f t="shared" si="4"/>
        <v>102914</v>
      </c>
      <c r="U29" s="95">
        <f t="shared" si="2"/>
        <v>0</v>
      </c>
      <c r="V29" s="95">
        <f t="shared" si="0"/>
        <v>0</v>
      </c>
      <c r="W29" s="96">
        <f t="shared" si="3"/>
        <v>102914</v>
      </c>
      <c r="X29" s="96">
        <f>V29/[1]Manure!$I$2</f>
        <v>0</v>
      </c>
      <c r="Y29" s="96">
        <f>W29/[1]Manure!$I$2</f>
        <v>73395.304109763325</v>
      </c>
      <c r="Z29" s="96"/>
      <c r="AA29" s="96"/>
      <c r="AB29" s="95"/>
      <c r="AC29" s="11"/>
    </row>
    <row r="30" spans="1:29" ht="15.75" thickBot="1" x14ac:dyDescent="0.3">
      <c r="A30" s="97">
        <v>45538</v>
      </c>
      <c r="B30" s="92">
        <v>0.41666666666666702</v>
      </c>
      <c r="C30" s="92"/>
      <c r="D30" s="91"/>
      <c r="E30" s="91" t="s">
        <v>60</v>
      </c>
      <c r="F30" s="91">
        <v>30</v>
      </c>
      <c r="G30" s="93">
        <v>217443</v>
      </c>
      <c r="H30" s="93">
        <v>26</v>
      </c>
      <c r="I30" s="93"/>
      <c r="J30" s="103"/>
      <c r="K30" s="106"/>
      <c r="L30" s="106"/>
      <c r="M30" s="106"/>
      <c r="N30" s="106"/>
      <c r="O30" s="103"/>
      <c r="P30" s="103"/>
      <c r="Q30" s="104"/>
      <c r="R30" s="103"/>
      <c r="S30" s="94">
        <f t="shared" si="1"/>
        <v>26</v>
      </c>
      <c r="T30" s="95">
        <f t="shared" si="4"/>
        <v>928</v>
      </c>
      <c r="U30" s="95">
        <f t="shared" si="2"/>
        <v>0</v>
      </c>
      <c r="V30" s="95">
        <f t="shared" si="0"/>
        <v>0</v>
      </c>
      <c r="W30" s="96">
        <f t="shared" si="3"/>
        <v>847.30434782608688</v>
      </c>
      <c r="X30" s="96">
        <f>V30/[1]Manure!$I$2</f>
        <v>0</v>
      </c>
      <c r="Y30" s="96">
        <f>W30/[1]Manure!$I$2</f>
        <v>604.27308512175534</v>
      </c>
      <c r="Z30" s="96"/>
      <c r="AA30" s="96"/>
      <c r="AB30" s="95"/>
      <c r="AC30" s="11"/>
    </row>
    <row r="31" spans="1:29" ht="15.75" thickBot="1" x14ac:dyDescent="0.3">
      <c r="A31" s="97">
        <v>45362</v>
      </c>
      <c r="B31" s="92">
        <v>0.41666666666666702</v>
      </c>
      <c r="C31" s="92"/>
      <c r="D31" s="91"/>
      <c r="E31" s="91" t="s">
        <v>60</v>
      </c>
      <c r="F31" s="91">
        <v>30</v>
      </c>
      <c r="G31" s="93">
        <v>218335</v>
      </c>
      <c r="H31" s="93">
        <v>28.4</v>
      </c>
      <c r="I31" s="93"/>
      <c r="J31" s="103"/>
      <c r="K31" s="106"/>
      <c r="L31" s="106"/>
      <c r="M31" s="106"/>
      <c r="N31" s="106"/>
      <c r="O31" s="103"/>
      <c r="P31" s="103"/>
      <c r="Q31" s="104"/>
      <c r="R31" s="103"/>
      <c r="S31" s="94">
        <f t="shared" si="1"/>
        <v>28.4</v>
      </c>
      <c r="T31" s="95">
        <f t="shared" si="4"/>
        <v>892</v>
      </c>
      <c r="U31" s="95">
        <f t="shared" si="2"/>
        <v>0</v>
      </c>
      <c r="V31" s="95">
        <f t="shared" si="0"/>
        <v>0</v>
      </c>
      <c r="W31" s="96">
        <f t="shared" si="3"/>
        <v>807.94956867949577</v>
      </c>
      <c r="X31" s="96">
        <f>V31/[1]Manure!$I$2</f>
        <v>0</v>
      </c>
      <c r="Y31" s="96">
        <f>W31/[1]Manure!$I$2</f>
        <v>576.20638881574621</v>
      </c>
      <c r="Z31" s="96"/>
      <c r="AA31" s="96"/>
      <c r="AB31" s="95"/>
      <c r="AC31" s="11"/>
    </row>
    <row r="32" spans="1:29" ht="15.75" thickBot="1" x14ac:dyDescent="0.3">
      <c r="A32" s="97">
        <v>45363</v>
      </c>
      <c r="B32" s="92">
        <v>0.41666666666666702</v>
      </c>
      <c r="C32" s="92"/>
      <c r="D32" s="91"/>
      <c r="E32" s="91" t="s">
        <v>60</v>
      </c>
      <c r="F32" s="91">
        <v>30</v>
      </c>
      <c r="G32" s="93">
        <v>219671</v>
      </c>
      <c r="H32" s="93">
        <v>31.1</v>
      </c>
      <c r="I32" s="93"/>
      <c r="J32" s="103"/>
      <c r="K32" s="106"/>
      <c r="L32" s="106"/>
      <c r="M32" s="106"/>
      <c r="N32" s="106"/>
      <c r="O32" s="103"/>
      <c r="P32" s="103"/>
      <c r="Q32" s="104"/>
      <c r="R32" s="103"/>
      <c r="S32" s="94">
        <f t="shared" si="1"/>
        <v>31.1</v>
      </c>
      <c r="T32" s="95">
        <f t="shared" si="4"/>
        <v>1336</v>
      </c>
      <c r="U32" s="95">
        <f t="shared" si="2"/>
        <v>0</v>
      </c>
      <c r="V32" s="95">
        <f t="shared" si="0"/>
        <v>0</v>
      </c>
      <c r="W32" s="96">
        <f t="shared" si="3"/>
        <v>1199.3686287405458</v>
      </c>
      <c r="X32" s="96">
        <f>V32/[1]Manure!$I$2</f>
        <v>0</v>
      </c>
      <c r="Y32" s="96">
        <f>W32/[1]Manure!$I$2</f>
        <v>855.35520187848283</v>
      </c>
      <c r="Z32" s="96"/>
      <c r="AA32" s="96"/>
      <c r="AB32" s="95"/>
      <c r="AC32" s="11"/>
    </row>
    <row r="33" spans="1:29" ht="15.75" thickBot="1" x14ac:dyDescent="0.3">
      <c r="A33" s="97">
        <v>45364</v>
      </c>
      <c r="B33" s="92">
        <v>0.41666666666666702</v>
      </c>
      <c r="C33" s="92"/>
      <c r="D33" s="91"/>
      <c r="E33" s="91" t="s">
        <v>60</v>
      </c>
      <c r="F33" s="91">
        <v>30</v>
      </c>
      <c r="G33" s="93">
        <v>220715</v>
      </c>
      <c r="H33" s="93">
        <v>31.1</v>
      </c>
      <c r="I33" s="93"/>
      <c r="J33" s="103"/>
      <c r="K33" s="106"/>
      <c r="L33" s="106"/>
      <c r="M33" s="106"/>
      <c r="N33" s="106"/>
      <c r="O33" s="103"/>
      <c r="P33" s="103"/>
      <c r="Q33" s="104"/>
      <c r="R33" s="103"/>
      <c r="S33" s="94">
        <f t="shared" si="1"/>
        <v>31.1</v>
      </c>
      <c r="T33" s="95">
        <f t="shared" si="4"/>
        <v>1044</v>
      </c>
      <c r="U33" s="95">
        <f t="shared" si="2"/>
        <v>0</v>
      </c>
      <c r="V33" s="95">
        <f t="shared" si="0"/>
        <v>0</v>
      </c>
      <c r="W33" s="96">
        <f t="shared" si="3"/>
        <v>937.23117395593545</v>
      </c>
      <c r="X33" s="96">
        <f>V33/[1]Manure!$I$2</f>
        <v>0</v>
      </c>
      <c r="Y33" s="96">
        <f>W33/[1]Manure!$I$2</f>
        <v>668.40631044995212</v>
      </c>
      <c r="Z33" s="96"/>
      <c r="AA33" s="96"/>
      <c r="AB33" s="95"/>
      <c r="AC33" s="11"/>
    </row>
    <row r="34" spans="1:29" ht="15.75" thickBot="1" x14ac:dyDescent="0.3">
      <c r="A34" s="97">
        <v>45365</v>
      </c>
      <c r="B34" s="92">
        <v>0.41666666666666702</v>
      </c>
      <c r="C34" s="92"/>
      <c r="D34" s="91"/>
      <c r="E34" s="91" t="s">
        <v>60</v>
      </c>
      <c r="F34" s="91">
        <v>30</v>
      </c>
      <c r="G34" s="93">
        <v>221998</v>
      </c>
      <c r="H34" s="93">
        <v>31.1</v>
      </c>
      <c r="I34" s="93"/>
      <c r="J34" s="103"/>
      <c r="K34" s="107"/>
      <c r="L34" s="107"/>
      <c r="M34" s="107"/>
      <c r="N34" s="107"/>
      <c r="O34" s="103"/>
      <c r="P34" s="103"/>
      <c r="Q34" s="104"/>
      <c r="R34" s="103"/>
      <c r="S34" s="94">
        <f t="shared" si="1"/>
        <v>31.1</v>
      </c>
      <c r="T34" s="95">
        <f t="shared" si="4"/>
        <v>1283</v>
      </c>
      <c r="U34" s="95">
        <f t="shared" si="2"/>
        <v>0</v>
      </c>
      <c r="V34" s="95">
        <f t="shared" si="0"/>
        <v>0</v>
      </c>
      <c r="W34" s="96">
        <f t="shared" si="3"/>
        <v>1151.78888523512</v>
      </c>
      <c r="X34" s="96">
        <f>V34/[1]Manure!$I$2</f>
        <v>0</v>
      </c>
      <c r="Y34" s="96">
        <f>W34/[1]Manure!$I$2</f>
        <v>821.42269761234547</v>
      </c>
      <c r="Z34" s="96"/>
      <c r="AA34" s="96"/>
      <c r="AB34" s="95"/>
      <c r="AC34" s="11"/>
    </row>
    <row r="35" spans="1:29" ht="15.75" thickBot="1" x14ac:dyDescent="0.3">
      <c r="A35" s="97">
        <v>45366</v>
      </c>
      <c r="B35" s="92">
        <v>0.41666666666666702</v>
      </c>
      <c r="C35" s="92"/>
      <c r="D35" s="91"/>
      <c r="E35" s="91" t="s">
        <v>60</v>
      </c>
      <c r="F35" s="91">
        <v>30</v>
      </c>
      <c r="G35" s="93">
        <v>222679</v>
      </c>
      <c r="H35" s="100">
        <v>24.7</v>
      </c>
      <c r="I35" s="100"/>
      <c r="J35" s="103"/>
      <c r="K35" s="107"/>
      <c r="L35" s="107"/>
      <c r="M35" s="107"/>
      <c r="N35" s="107"/>
      <c r="O35" s="103"/>
      <c r="P35" s="103"/>
      <c r="Q35" s="104"/>
      <c r="R35" s="103"/>
      <c r="S35" s="94">
        <f t="shared" si="1"/>
        <v>24.7</v>
      </c>
      <c r="T35" s="95">
        <f t="shared" si="4"/>
        <v>681</v>
      </c>
      <c r="U35" s="95">
        <f t="shared" si="2"/>
        <v>0</v>
      </c>
      <c r="V35" s="95">
        <f t="shared" si="0"/>
        <v>0</v>
      </c>
      <c r="W35" s="96">
        <f t="shared" si="3"/>
        <v>624.49781659388645</v>
      </c>
      <c r="X35" s="96">
        <f>V35/[1]Manure!$I$2</f>
        <v>0</v>
      </c>
      <c r="Y35" s="96">
        <f>W35/[1]Manure!$I$2</f>
        <v>445.37387687575546</v>
      </c>
      <c r="Z35" s="96"/>
      <c r="AA35" s="96"/>
      <c r="AB35" s="95"/>
      <c r="AC35" s="11"/>
    </row>
    <row r="36" spans="1:29" ht="15.75" thickBot="1" x14ac:dyDescent="0.3">
      <c r="A36" s="97">
        <v>45367</v>
      </c>
      <c r="B36" s="92">
        <v>0.41666666666666702</v>
      </c>
      <c r="C36" s="92"/>
      <c r="D36" s="91"/>
      <c r="E36" s="91" t="s">
        <v>60</v>
      </c>
      <c r="F36" s="91">
        <v>30</v>
      </c>
      <c r="G36" s="93">
        <v>224242</v>
      </c>
      <c r="H36" s="93">
        <v>29.1</v>
      </c>
      <c r="I36" s="93"/>
      <c r="J36" s="103"/>
      <c r="K36" s="107"/>
      <c r="L36" s="107"/>
      <c r="M36" s="107"/>
      <c r="N36" s="107"/>
      <c r="O36" s="103"/>
      <c r="P36" s="103"/>
      <c r="Q36" s="104"/>
      <c r="R36" s="103"/>
      <c r="S36" s="94">
        <f t="shared" si="1"/>
        <v>29.1</v>
      </c>
      <c r="T36" s="95">
        <f t="shared" si="4"/>
        <v>1563</v>
      </c>
      <c r="U36" s="95">
        <f t="shared" si="2"/>
        <v>0</v>
      </c>
      <c r="V36" s="95">
        <f t="shared" si="0"/>
        <v>0</v>
      </c>
      <c r="W36" s="96">
        <f t="shared" si="3"/>
        <v>1412.4428997020852</v>
      </c>
      <c r="X36" s="96">
        <f>V36/[1]Manure!$I$2</f>
        <v>0</v>
      </c>
      <c r="Y36" s="96">
        <f>W36/[1]Manure!$I$2</f>
        <v>1007.3136420828117</v>
      </c>
      <c r="Z36" s="96"/>
      <c r="AA36" s="96"/>
      <c r="AB36" s="95"/>
      <c r="AC36" s="11"/>
    </row>
    <row r="37" spans="1:29" ht="15.75" thickBot="1" x14ac:dyDescent="0.3">
      <c r="A37" s="97">
        <v>45369</v>
      </c>
      <c r="B37" s="92">
        <v>0.41666666666666702</v>
      </c>
      <c r="C37" s="92"/>
      <c r="D37" s="91"/>
      <c r="E37" s="91" t="s">
        <v>60</v>
      </c>
      <c r="F37" s="91">
        <v>30</v>
      </c>
      <c r="G37" s="93">
        <v>226509</v>
      </c>
      <c r="H37" s="93">
        <v>33.700000000000003</v>
      </c>
      <c r="I37" s="93"/>
      <c r="J37" s="103"/>
      <c r="K37" s="107"/>
      <c r="L37" s="107"/>
      <c r="M37" s="107"/>
      <c r="N37" s="107"/>
      <c r="O37" s="103"/>
      <c r="P37" s="103"/>
      <c r="Q37" s="104"/>
      <c r="R37" s="103"/>
      <c r="S37" s="94">
        <f t="shared" si="1"/>
        <v>33.700000000000003</v>
      </c>
      <c r="T37" s="95">
        <f t="shared" si="4"/>
        <v>2267</v>
      </c>
      <c r="U37" s="95">
        <f t="shared" si="2"/>
        <v>0</v>
      </c>
      <c r="V37" s="95">
        <f t="shared" si="0"/>
        <v>0</v>
      </c>
      <c r="W37" s="96">
        <f t="shared" si="3"/>
        <v>2017.903488751223</v>
      </c>
      <c r="X37" s="96">
        <f>V37/[1]Manure!$I$2</f>
        <v>0</v>
      </c>
      <c r="Y37" s="96">
        <f>W37/[1]Manure!$I$2</f>
        <v>1439.110715947766</v>
      </c>
      <c r="Z37" s="96"/>
      <c r="AA37" s="96"/>
      <c r="AB37" s="95"/>
      <c r="AC37" s="11"/>
    </row>
    <row r="38" spans="1:29" ht="15.75" thickBot="1" x14ac:dyDescent="0.3">
      <c r="A38" s="97">
        <v>45370</v>
      </c>
      <c r="B38" s="92">
        <v>0.41666666666666702</v>
      </c>
      <c r="C38" s="92"/>
      <c r="D38" s="91"/>
      <c r="E38" s="91" t="s">
        <v>60</v>
      </c>
      <c r="F38" s="91">
        <v>30</v>
      </c>
      <c r="G38" s="93">
        <v>227105</v>
      </c>
      <c r="H38" s="93">
        <v>27.8</v>
      </c>
      <c r="I38" s="93"/>
      <c r="J38" s="103"/>
      <c r="K38" s="107"/>
      <c r="L38" s="107"/>
      <c r="M38" s="107"/>
      <c r="N38" s="107"/>
      <c r="O38" s="103"/>
      <c r="P38" s="103"/>
      <c r="Q38" s="104"/>
      <c r="R38" s="103"/>
      <c r="S38" s="94">
        <f t="shared" si="1"/>
        <v>27.8</v>
      </c>
      <c r="T38" s="95">
        <f t="shared" si="4"/>
        <v>596</v>
      </c>
      <c r="U38" s="95">
        <f t="shared" si="2"/>
        <v>0</v>
      </c>
      <c r="V38" s="95">
        <f t="shared" si="0"/>
        <v>0</v>
      </c>
      <c r="W38" s="96">
        <f t="shared" si="3"/>
        <v>540.91755319148933</v>
      </c>
      <c r="X38" s="96">
        <f>V38/[1]Manure!$I$2</f>
        <v>0</v>
      </c>
      <c r="Y38" s="96">
        <f>W38/[1]Manure!$I$2</f>
        <v>385.76683750314282</v>
      </c>
      <c r="Z38" s="96"/>
      <c r="AA38" s="96"/>
      <c r="AB38" s="95"/>
      <c r="AC38" s="11"/>
    </row>
    <row r="39" spans="1:29" ht="15.75" thickBot="1" x14ac:dyDescent="0.3">
      <c r="A39" s="97">
        <v>45371</v>
      </c>
      <c r="B39" s="92">
        <v>0.41666666666666702</v>
      </c>
      <c r="C39" s="92"/>
      <c r="D39" s="91"/>
      <c r="E39" s="91" t="s">
        <v>60</v>
      </c>
      <c r="F39" s="91">
        <v>30</v>
      </c>
      <c r="G39" s="93">
        <v>227891</v>
      </c>
      <c r="H39" s="93">
        <v>27.7</v>
      </c>
      <c r="I39" s="93"/>
      <c r="J39" s="103"/>
      <c r="K39" s="107"/>
      <c r="L39" s="107"/>
      <c r="M39" s="107"/>
      <c r="N39" s="107"/>
      <c r="O39" s="103"/>
      <c r="P39" s="103"/>
      <c r="Q39" s="104"/>
      <c r="R39" s="103"/>
      <c r="S39" s="94">
        <f t="shared" si="1"/>
        <v>27.7</v>
      </c>
      <c r="T39" s="95">
        <f t="shared" si="4"/>
        <v>786</v>
      </c>
      <c r="U39" s="95">
        <f t="shared" si="2"/>
        <v>0</v>
      </c>
      <c r="V39" s="95">
        <f t="shared" si="0"/>
        <v>0</v>
      </c>
      <c r="W39" s="96">
        <f t="shared" si="3"/>
        <v>713.59494512803462</v>
      </c>
      <c r="X39" s="96">
        <f>V39/[1]Manure!$I$2</f>
        <v>0</v>
      </c>
      <c r="Y39" s="96">
        <f>W39/[1]Manure!$I$2</f>
        <v>508.9153857479252</v>
      </c>
      <c r="Z39" s="96"/>
      <c r="AA39" s="96"/>
      <c r="AB39" s="95"/>
      <c r="AC39" s="11"/>
    </row>
    <row r="40" spans="1:29" ht="15.75" thickBot="1" x14ac:dyDescent="0.3">
      <c r="A40" s="97">
        <v>45372</v>
      </c>
      <c r="B40" s="92">
        <v>0.41666666666666702</v>
      </c>
      <c r="C40" s="92"/>
      <c r="D40" s="91"/>
      <c r="E40" s="91" t="s">
        <v>60</v>
      </c>
      <c r="F40" s="91">
        <v>30</v>
      </c>
      <c r="G40" s="93">
        <v>228557</v>
      </c>
      <c r="H40" s="111">
        <v>28.1</v>
      </c>
      <c r="I40" s="93"/>
      <c r="J40" s="103"/>
      <c r="K40" s="107"/>
      <c r="L40" s="107"/>
      <c r="M40" s="107"/>
      <c r="N40" s="107"/>
      <c r="O40" s="103"/>
      <c r="P40" s="103"/>
      <c r="Q40" s="104"/>
      <c r="R40" s="103"/>
      <c r="S40" s="94">
        <f t="shared" si="1"/>
        <v>28.1</v>
      </c>
      <c r="T40" s="95">
        <f t="shared" si="4"/>
        <v>666</v>
      </c>
      <c r="U40" s="95">
        <f t="shared" si="2"/>
        <v>0</v>
      </c>
      <c r="V40" s="95">
        <f t="shared" si="0"/>
        <v>0</v>
      </c>
      <c r="W40" s="96">
        <f t="shared" si="3"/>
        <v>603.84589837263366</v>
      </c>
      <c r="X40" s="96">
        <f>V40/[1]Manure!$I$2</f>
        <v>0</v>
      </c>
      <c r="Y40" s="96">
        <f>W40/[1]Manure!$I$2</f>
        <v>430.64552292683879</v>
      </c>
      <c r="Z40" s="96"/>
      <c r="AA40" s="96"/>
      <c r="AB40" s="95"/>
      <c r="AC40" s="11"/>
    </row>
    <row r="41" spans="1:29" ht="15.75" thickBot="1" x14ac:dyDescent="0.3">
      <c r="A41" s="97">
        <v>45373</v>
      </c>
      <c r="B41" s="92">
        <v>0.41666666666666702</v>
      </c>
      <c r="C41" s="92"/>
      <c r="D41" s="91"/>
      <c r="E41" s="91" t="s">
        <v>60</v>
      </c>
      <c r="F41" s="91">
        <v>30</v>
      </c>
      <c r="G41" s="93">
        <v>229141</v>
      </c>
      <c r="H41" s="93">
        <v>27.8</v>
      </c>
      <c r="I41" s="93"/>
      <c r="J41" s="103"/>
      <c r="K41" s="107"/>
      <c r="L41" s="107"/>
      <c r="M41" s="107"/>
      <c r="N41" s="107"/>
      <c r="O41" s="103"/>
      <c r="P41" s="103"/>
      <c r="Q41" s="104"/>
      <c r="R41" s="103"/>
      <c r="S41" s="94">
        <f t="shared" si="1"/>
        <v>27.8</v>
      </c>
      <c r="T41" s="95">
        <f t="shared" si="4"/>
        <v>584</v>
      </c>
      <c r="U41" s="95">
        <f t="shared" si="2"/>
        <v>0</v>
      </c>
      <c r="V41" s="95">
        <f t="shared" si="0"/>
        <v>0</v>
      </c>
      <c r="W41" s="96">
        <f t="shared" si="3"/>
        <v>530.02659574468089</v>
      </c>
      <c r="X41" s="96">
        <f>V41/[1]Manure!$I$2</f>
        <v>0</v>
      </c>
      <c r="Y41" s="96">
        <f>W41/[1]Manure!$I$2</f>
        <v>377.99971996952252</v>
      </c>
      <c r="Z41" s="96"/>
      <c r="AA41" s="96"/>
      <c r="AB41" s="95"/>
      <c r="AC41" s="11"/>
    </row>
    <row r="42" spans="1:29" ht="15.75" thickBot="1" x14ac:dyDescent="0.3">
      <c r="A42" s="97">
        <v>45374</v>
      </c>
      <c r="B42" s="92">
        <v>0.41666666666666702</v>
      </c>
      <c r="C42" s="92"/>
      <c r="D42" s="91"/>
      <c r="E42" s="91" t="s">
        <v>60</v>
      </c>
      <c r="F42" s="91">
        <v>30</v>
      </c>
      <c r="G42" s="93">
        <v>230197</v>
      </c>
      <c r="H42" s="93">
        <v>26.6</v>
      </c>
      <c r="I42" s="93"/>
      <c r="J42" s="103"/>
      <c r="K42" s="107"/>
      <c r="L42" s="107"/>
      <c r="M42" s="107"/>
      <c r="N42" s="107"/>
      <c r="O42" s="103"/>
      <c r="P42" s="103"/>
      <c r="Q42" s="104"/>
      <c r="R42" s="103"/>
      <c r="S42" s="94">
        <f t="shared" si="1"/>
        <v>26.6</v>
      </c>
      <c r="T42" s="95">
        <f t="shared" si="4"/>
        <v>1056</v>
      </c>
      <c r="U42" s="95">
        <f t="shared" si="2"/>
        <v>0</v>
      </c>
      <c r="V42" s="95">
        <f t="shared" si="0"/>
        <v>0</v>
      </c>
      <c r="W42" s="96">
        <f t="shared" si="3"/>
        <v>962.24299065420553</v>
      </c>
      <c r="X42" s="96">
        <f>V42/[1]Manure!$I$2</f>
        <v>0</v>
      </c>
      <c r="Y42" s="96">
        <f>W42/[1]Manure!$I$2</f>
        <v>686.24401856456427</v>
      </c>
      <c r="Z42" s="96"/>
      <c r="AA42" s="96"/>
      <c r="AB42" s="95"/>
      <c r="AC42" s="11"/>
    </row>
    <row r="43" spans="1:29" ht="15.75" thickBot="1" x14ac:dyDescent="0.3">
      <c r="A43" s="97">
        <v>45376</v>
      </c>
      <c r="B43" s="92">
        <v>0.41666666666666702</v>
      </c>
      <c r="C43" s="92"/>
      <c r="D43" s="91"/>
      <c r="E43" s="91" t="s">
        <v>60</v>
      </c>
      <c r="F43" s="91">
        <v>30</v>
      </c>
      <c r="G43" s="93">
        <v>230942</v>
      </c>
      <c r="H43" s="93">
        <v>29.8</v>
      </c>
      <c r="I43" s="93"/>
      <c r="J43" s="103"/>
      <c r="K43" s="107"/>
      <c r="L43" s="107"/>
      <c r="M43" s="107"/>
      <c r="N43" s="107"/>
      <c r="O43" s="103"/>
      <c r="P43" s="103"/>
      <c r="Q43" s="104"/>
      <c r="R43" s="103"/>
      <c r="S43" s="94">
        <f t="shared" si="1"/>
        <v>29.8</v>
      </c>
      <c r="T43" s="95">
        <f t="shared" si="4"/>
        <v>745</v>
      </c>
      <c r="U43" s="95">
        <f t="shared" si="2"/>
        <v>0</v>
      </c>
      <c r="V43" s="95">
        <f t="shared" si="0"/>
        <v>0</v>
      </c>
      <c r="W43" s="96">
        <f t="shared" si="3"/>
        <v>671.68097754293262</v>
      </c>
      <c r="X43" s="96">
        <f>V43/[1]Manure!$I$2</f>
        <v>0</v>
      </c>
      <c r="Y43" s="96">
        <f>W43/[1]Manure!$I$2</f>
        <v>479.02354987180217</v>
      </c>
      <c r="Z43" s="96"/>
      <c r="AA43" s="96"/>
      <c r="AB43" s="95"/>
      <c r="AC43" s="11"/>
    </row>
    <row r="44" spans="1:29" ht="15.75" thickBot="1" x14ac:dyDescent="0.3">
      <c r="A44" s="97">
        <v>45377</v>
      </c>
      <c r="B44" s="92">
        <v>0.41666666666666702</v>
      </c>
      <c r="C44" s="92"/>
      <c r="D44" s="91"/>
      <c r="E44" s="91" t="s">
        <v>60</v>
      </c>
      <c r="F44" s="91">
        <v>30</v>
      </c>
      <c r="G44" s="93">
        <v>231606</v>
      </c>
      <c r="H44" s="93">
        <v>26.3</v>
      </c>
      <c r="I44" s="93"/>
      <c r="J44" s="103"/>
      <c r="K44" s="107"/>
      <c r="L44" s="107"/>
      <c r="M44" s="107"/>
      <c r="N44" s="107"/>
      <c r="O44" s="103"/>
      <c r="P44" s="103"/>
      <c r="Q44" s="104"/>
      <c r="R44" s="103"/>
      <c r="S44" s="94">
        <f t="shared" si="1"/>
        <v>26.3</v>
      </c>
      <c r="T44" s="95">
        <f t="shared" si="4"/>
        <v>664</v>
      </c>
      <c r="U44" s="95">
        <f t="shared" si="2"/>
        <v>0</v>
      </c>
      <c r="V44" s="95">
        <f t="shared" si="0"/>
        <v>0</v>
      </c>
      <c r="W44" s="96">
        <f t="shared" si="3"/>
        <v>605.65319077848312</v>
      </c>
      <c r="X44" s="96">
        <f>V44/[1]Manure!$I$2</f>
        <v>0</v>
      </c>
      <c r="Y44" s="96">
        <f>W44/[1]Manure!$I$2</f>
        <v>431.93443187744401</v>
      </c>
      <c r="Z44" s="96"/>
      <c r="AA44" s="96"/>
      <c r="AB44" s="95"/>
      <c r="AC44" s="11"/>
    </row>
    <row r="45" spans="1:29" ht="15.75" thickBot="1" x14ac:dyDescent="0.3">
      <c r="A45" s="97">
        <v>45378</v>
      </c>
      <c r="B45" s="92">
        <v>0.41666666666666702</v>
      </c>
      <c r="C45" s="92"/>
      <c r="D45" s="91"/>
      <c r="E45" s="91" t="s">
        <v>60</v>
      </c>
      <c r="F45" s="91">
        <v>30</v>
      </c>
      <c r="G45" s="93">
        <v>232330</v>
      </c>
      <c r="H45" s="93">
        <v>29.9</v>
      </c>
      <c r="I45" s="93"/>
      <c r="J45" s="103"/>
      <c r="K45" s="107"/>
      <c r="L45" s="107"/>
      <c r="M45" s="107"/>
      <c r="N45" s="107"/>
      <c r="O45" s="103"/>
      <c r="P45" s="103"/>
      <c r="Q45" s="104"/>
      <c r="R45" s="103"/>
      <c r="S45" s="94">
        <f t="shared" si="1"/>
        <v>29.9</v>
      </c>
      <c r="T45" s="95">
        <f t="shared" si="4"/>
        <v>724</v>
      </c>
      <c r="U45" s="95">
        <f t="shared" si="2"/>
        <v>0</v>
      </c>
      <c r="V45" s="95">
        <f t="shared" si="0"/>
        <v>0</v>
      </c>
      <c r="W45" s="96">
        <f t="shared" si="3"/>
        <v>652.53218884120179</v>
      </c>
      <c r="X45" s="96">
        <f>V45/[1]Manure!$I$2</f>
        <v>0</v>
      </c>
      <c r="Y45" s="96">
        <f>W45/[1]Manure!$I$2</f>
        <v>465.36718465329807</v>
      </c>
      <c r="Z45" s="96"/>
      <c r="AA45" s="96"/>
      <c r="AB45" s="95"/>
      <c r="AC45" s="11"/>
    </row>
    <row r="46" spans="1:29" ht="15.75" thickBot="1" x14ac:dyDescent="0.3">
      <c r="A46" s="97">
        <v>45379</v>
      </c>
      <c r="B46" s="92">
        <v>0.41666666666666702</v>
      </c>
      <c r="C46" s="92"/>
      <c r="D46" s="91"/>
      <c r="E46" s="91" t="s">
        <v>60</v>
      </c>
      <c r="F46" s="91">
        <v>30</v>
      </c>
      <c r="G46" s="93">
        <v>232661</v>
      </c>
      <c r="H46" s="93">
        <v>25.3</v>
      </c>
      <c r="I46" s="93"/>
      <c r="J46" s="103"/>
      <c r="K46" s="107"/>
      <c r="L46" s="107"/>
      <c r="M46" s="107"/>
      <c r="N46" s="107"/>
      <c r="O46" s="103"/>
      <c r="P46" s="103"/>
      <c r="Q46" s="104"/>
      <c r="R46" s="103"/>
      <c r="S46" s="94">
        <f t="shared" si="1"/>
        <v>25.3</v>
      </c>
      <c r="T46" s="95">
        <f t="shared" si="4"/>
        <v>331</v>
      </c>
      <c r="U46" s="95">
        <f t="shared" si="2"/>
        <v>0</v>
      </c>
      <c r="V46" s="95">
        <f t="shared" si="0"/>
        <v>0</v>
      </c>
      <c r="W46" s="96">
        <f t="shared" si="3"/>
        <v>302.9265839758632</v>
      </c>
      <c r="X46" s="96">
        <f>V46/[1]Manure!$I$2</f>
        <v>0</v>
      </c>
      <c r="Y46" s="96">
        <f>W46/[1]Manure!$I$2</f>
        <v>216.03852492217032</v>
      </c>
      <c r="Z46" s="96"/>
      <c r="AA46" s="96"/>
      <c r="AB46" s="95"/>
      <c r="AC46" s="11"/>
    </row>
    <row r="47" spans="1:29" ht="15.75" thickBot="1" x14ac:dyDescent="0.3">
      <c r="A47" s="97">
        <v>45380</v>
      </c>
      <c r="B47" s="92">
        <v>0.41666666666666702</v>
      </c>
      <c r="C47" s="92"/>
      <c r="D47" s="91"/>
      <c r="E47" s="91" t="s">
        <v>60</v>
      </c>
      <c r="F47" s="91">
        <v>30</v>
      </c>
      <c r="G47" s="93">
        <v>232661</v>
      </c>
      <c r="H47" s="93">
        <v>27.8</v>
      </c>
      <c r="I47" s="93"/>
      <c r="J47" s="103"/>
      <c r="K47" s="107"/>
      <c r="L47" s="107"/>
      <c r="M47" s="107"/>
      <c r="N47" s="107"/>
      <c r="O47" s="103"/>
      <c r="P47" s="103"/>
      <c r="Q47" s="104"/>
      <c r="R47" s="103"/>
      <c r="S47" s="94">
        <f t="shared" si="1"/>
        <v>27.8</v>
      </c>
      <c r="T47" s="95">
        <f t="shared" si="4"/>
        <v>0</v>
      </c>
      <c r="U47" s="95">
        <f t="shared" si="2"/>
        <v>0</v>
      </c>
      <c r="V47" s="95">
        <f t="shared" si="0"/>
        <v>0</v>
      </c>
      <c r="W47" s="96">
        <f t="shared" si="3"/>
        <v>0</v>
      </c>
      <c r="X47" s="96">
        <f>V47/[1]Manure!$I$2</f>
        <v>0</v>
      </c>
      <c r="Y47" s="96">
        <f>W47/[1]Manure!$I$2</f>
        <v>0</v>
      </c>
      <c r="Z47" s="96"/>
      <c r="AA47" s="96"/>
      <c r="AB47" s="95"/>
      <c r="AC47" s="11"/>
    </row>
    <row r="48" spans="1:29" ht="15.75" thickBot="1" x14ac:dyDescent="0.3">
      <c r="A48" s="97">
        <v>45380</v>
      </c>
      <c r="B48" s="92">
        <v>0.41666666666666702</v>
      </c>
      <c r="C48" s="92"/>
      <c r="D48" s="91"/>
      <c r="E48" s="91" t="s">
        <v>60</v>
      </c>
      <c r="F48" s="91">
        <v>30</v>
      </c>
      <c r="G48" s="93">
        <v>232664</v>
      </c>
      <c r="H48" s="93">
        <v>25.7</v>
      </c>
      <c r="I48" s="93"/>
      <c r="J48" s="103"/>
      <c r="K48" s="107"/>
      <c r="L48" s="107"/>
      <c r="M48" s="107"/>
      <c r="N48" s="107"/>
      <c r="O48" s="103"/>
      <c r="P48" s="103"/>
      <c r="Q48" s="104"/>
      <c r="R48" s="103"/>
      <c r="S48" s="94">
        <f t="shared" si="1"/>
        <v>25.7</v>
      </c>
      <c r="T48" s="95">
        <f t="shared" si="4"/>
        <v>3</v>
      </c>
      <c r="U48" s="95">
        <f t="shared" si="2"/>
        <v>0</v>
      </c>
      <c r="V48" s="95">
        <f t="shared" si="0"/>
        <v>0</v>
      </c>
      <c r="W48" s="96">
        <f t="shared" si="3"/>
        <v>2.7418814864412453</v>
      </c>
      <c r="X48" s="96">
        <f>V48/[1]Manure!$I$2</f>
        <v>0</v>
      </c>
      <c r="Y48" s="96">
        <f>W48/[1]Manure!$I$2</f>
        <v>1.9554309960771625</v>
      </c>
      <c r="Z48" s="96"/>
      <c r="AA48" s="96"/>
      <c r="AB48" s="95"/>
      <c r="AC48" s="11"/>
    </row>
    <row r="49" spans="1:29" ht="15.75" thickBot="1" x14ac:dyDescent="0.3">
      <c r="A49" s="97">
        <v>45383</v>
      </c>
      <c r="B49" s="92">
        <v>0.41666666666666702</v>
      </c>
      <c r="C49" s="92"/>
      <c r="D49" s="91"/>
      <c r="E49" s="91" t="s">
        <v>60</v>
      </c>
      <c r="F49" s="91">
        <v>30</v>
      </c>
      <c r="G49" s="93">
        <v>232666</v>
      </c>
      <c r="H49" s="93">
        <v>21.2</v>
      </c>
      <c r="I49" s="93"/>
      <c r="J49" s="103"/>
      <c r="K49" s="107"/>
      <c r="L49" s="107"/>
      <c r="M49" s="107"/>
      <c r="N49" s="107"/>
      <c r="O49" s="103"/>
      <c r="P49" s="103"/>
      <c r="Q49" s="104"/>
      <c r="R49" s="103"/>
      <c r="S49" s="94">
        <f t="shared" si="1"/>
        <v>21.2</v>
      </c>
      <c r="T49" s="95">
        <f t="shared" si="4"/>
        <v>2</v>
      </c>
      <c r="U49" s="95">
        <f t="shared" si="2"/>
        <v>0</v>
      </c>
      <c r="V49" s="95">
        <f t="shared" si="0"/>
        <v>0</v>
      </c>
      <c r="W49" s="96">
        <f t="shared" si="3"/>
        <v>1.8558803535010198</v>
      </c>
      <c r="X49" s="96">
        <f>V49/[1]Manure!$I$2</f>
        <v>0</v>
      </c>
      <c r="Y49" s="96">
        <f>W49/[1]Manure!$I$2</f>
        <v>1.3235604770637854</v>
      </c>
      <c r="Z49" s="96"/>
      <c r="AA49" s="96"/>
      <c r="AB49" s="95"/>
      <c r="AC49" s="11"/>
    </row>
    <row r="50" spans="1:29" ht="15.75" thickBot="1" x14ac:dyDescent="0.3">
      <c r="A50" s="97">
        <v>45384</v>
      </c>
      <c r="B50" s="92">
        <v>0.41666666666666702</v>
      </c>
      <c r="C50" s="92"/>
      <c r="D50" s="91"/>
      <c r="E50" s="91" t="s">
        <v>60</v>
      </c>
      <c r="F50" s="91">
        <v>30</v>
      </c>
      <c r="G50" s="93">
        <v>232698</v>
      </c>
      <c r="H50" s="93">
        <v>26.5</v>
      </c>
      <c r="I50" s="93"/>
      <c r="J50" s="103"/>
      <c r="K50" s="107"/>
      <c r="L50" s="107"/>
      <c r="M50" s="107"/>
      <c r="N50" s="107"/>
      <c r="O50" s="103"/>
      <c r="P50" s="103"/>
      <c r="Q50" s="104"/>
      <c r="R50" s="103"/>
      <c r="S50" s="94">
        <f t="shared" si="1"/>
        <v>26.5</v>
      </c>
      <c r="T50" s="95">
        <f t="shared" si="4"/>
        <v>32</v>
      </c>
      <c r="U50" s="95">
        <f t="shared" si="2"/>
        <v>0</v>
      </c>
      <c r="V50" s="95">
        <f t="shared" si="0"/>
        <v>0</v>
      </c>
      <c r="W50" s="96">
        <f t="shared" si="3"/>
        <v>29.168614357262104</v>
      </c>
      <c r="X50" s="96">
        <f>V50/[1]Manure!$I$2</f>
        <v>0</v>
      </c>
      <c r="Y50" s="96">
        <f>W50/[1]Manure!$I$2</f>
        <v>20.802216619815194</v>
      </c>
      <c r="Z50" s="96"/>
      <c r="AA50" s="96"/>
      <c r="AB50" s="95"/>
      <c r="AC50" s="11"/>
    </row>
    <row r="51" spans="1:29" ht="15.75" thickBot="1" x14ac:dyDescent="0.3">
      <c r="A51" s="97">
        <v>45385</v>
      </c>
      <c r="B51" s="92">
        <v>0.41666666666666702</v>
      </c>
      <c r="C51" s="92"/>
      <c r="D51" s="91"/>
      <c r="E51" s="91" t="s">
        <v>60</v>
      </c>
      <c r="F51" s="91">
        <v>30</v>
      </c>
      <c r="G51" s="93">
        <v>233653</v>
      </c>
      <c r="H51" s="93">
        <v>27.4</v>
      </c>
      <c r="I51" s="93"/>
      <c r="J51" s="103"/>
      <c r="K51" s="107"/>
      <c r="L51" s="107"/>
      <c r="M51" s="107"/>
      <c r="N51" s="107"/>
      <c r="O51" s="103"/>
      <c r="P51" s="103"/>
      <c r="Q51" s="104"/>
      <c r="R51" s="103"/>
      <c r="S51" s="94">
        <f t="shared" si="1"/>
        <v>27.4</v>
      </c>
      <c r="T51" s="95">
        <f t="shared" si="4"/>
        <v>955</v>
      </c>
      <c r="U51" s="95">
        <f t="shared" si="2"/>
        <v>0</v>
      </c>
      <c r="V51" s="95">
        <f t="shared" si="0"/>
        <v>0</v>
      </c>
      <c r="W51" s="96">
        <f t="shared" si="3"/>
        <v>867.89280958721713</v>
      </c>
      <c r="X51" s="96">
        <f>V51/[1]Manure!$I$2</f>
        <v>0</v>
      </c>
      <c r="Y51" s="96">
        <f>W51/[1]Manure!$I$2</f>
        <v>618.95618374886521</v>
      </c>
      <c r="Z51" s="96"/>
      <c r="AA51" s="96"/>
      <c r="AB51" s="95"/>
      <c r="AC51" s="11"/>
    </row>
    <row r="52" spans="1:29" ht="15.75" thickBot="1" x14ac:dyDescent="0.3">
      <c r="A52" s="97">
        <v>45386</v>
      </c>
      <c r="B52" s="92">
        <v>0.41666666666666702</v>
      </c>
      <c r="C52" s="92"/>
      <c r="D52" s="91"/>
      <c r="E52" s="91" t="s">
        <v>60</v>
      </c>
      <c r="F52" s="91">
        <v>30</v>
      </c>
      <c r="G52" s="93">
        <v>233732</v>
      </c>
      <c r="H52" s="93">
        <v>21.3</v>
      </c>
      <c r="I52" s="93"/>
      <c r="J52" s="103"/>
      <c r="K52" s="107"/>
      <c r="L52" s="107"/>
      <c r="M52" s="107"/>
      <c r="N52" s="107"/>
      <c r="O52" s="103"/>
      <c r="P52" s="103"/>
      <c r="Q52" s="104"/>
      <c r="R52" s="103"/>
      <c r="S52" s="94">
        <f t="shared" si="1"/>
        <v>21.3</v>
      </c>
      <c r="T52" s="95">
        <f t="shared" si="4"/>
        <v>79</v>
      </c>
      <c r="U52" s="95">
        <f t="shared" si="2"/>
        <v>0</v>
      </c>
      <c r="V52" s="95">
        <f t="shared" si="0"/>
        <v>0</v>
      </c>
      <c r="W52" s="96">
        <f t="shared" si="3"/>
        <v>73.282364933741079</v>
      </c>
      <c r="X52" s="96">
        <f>V52/[1]Manure!$I$2</f>
        <v>0</v>
      </c>
      <c r="Y52" s="96">
        <f>W52/[1]Manure!$I$2</f>
        <v>52.262874440742586</v>
      </c>
      <c r="Z52" s="96"/>
      <c r="AA52" s="96"/>
      <c r="AB52" s="95"/>
      <c r="AC52" s="11"/>
    </row>
    <row r="53" spans="1:29" ht="15.75" thickBot="1" x14ac:dyDescent="0.3">
      <c r="A53" s="97">
        <v>45387</v>
      </c>
      <c r="B53" s="92">
        <v>0.41666666666666702</v>
      </c>
      <c r="C53" s="92"/>
      <c r="D53" s="91"/>
      <c r="E53" s="91" t="s">
        <v>60</v>
      </c>
      <c r="F53" s="91">
        <v>30</v>
      </c>
      <c r="G53" s="93">
        <v>234136</v>
      </c>
      <c r="H53" s="93">
        <v>21.3</v>
      </c>
      <c r="I53" s="93"/>
      <c r="J53" s="103"/>
      <c r="K53" s="107"/>
      <c r="L53" s="107"/>
      <c r="M53" s="107"/>
      <c r="N53" s="107"/>
      <c r="O53" s="103"/>
      <c r="P53" s="103"/>
      <c r="Q53" s="104"/>
      <c r="R53" s="103"/>
      <c r="S53" s="94">
        <f t="shared" si="1"/>
        <v>21.3</v>
      </c>
      <c r="T53" s="95">
        <f t="shared" si="4"/>
        <v>404</v>
      </c>
      <c r="U53" s="95">
        <f t="shared" si="2"/>
        <v>0</v>
      </c>
      <c r="V53" s="95">
        <f t="shared" si="0"/>
        <v>0</v>
      </c>
      <c r="W53" s="96">
        <f t="shared" si="3"/>
        <v>374.76044852191637</v>
      </c>
      <c r="X53" s="96">
        <f>V53/[1]Manure!$I$2</f>
        <v>0</v>
      </c>
      <c r="Y53" s="96">
        <f>W53/[1]Manure!$I$2</f>
        <v>267.26837055772154</v>
      </c>
      <c r="Z53" s="96"/>
      <c r="AA53" s="96"/>
      <c r="AB53" s="95"/>
      <c r="AC53" s="11"/>
    </row>
    <row r="54" spans="1:29" ht="15.75" thickBot="1" x14ac:dyDescent="0.3">
      <c r="A54" s="97">
        <v>45388</v>
      </c>
      <c r="B54" s="92">
        <v>0.41666666666666702</v>
      </c>
      <c r="C54" s="92"/>
      <c r="D54" s="91"/>
      <c r="E54" s="91" t="s">
        <v>60</v>
      </c>
      <c r="F54" s="91">
        <v>30</v>
      </c>
      <c r="G54" s="93">
        <v>234617</v>
      </c>
      <c r="H54" s="93">
        <v>20.7</v>
      </c>
      <c r="I54" s="93"/>
      <c r="J54" s="103"/>
      <c r="K54" s="107"/>
      <c r="L54" s="107"/>
      <c r="M54" s="107"/>
      <c r="N54" s="107"/>
      <c r="O54" s="103"/>
      <c r="P54" s="103"/>
      <c r="Q54" s="104"/>
      <c r="R54" s="103"/>
      <c r="S54" s="94">
        <f t="shared" si="1"/>
        <v>20.7</v>
      </c>
      <c r="T54" s="95">
        <f t="shared" si="4"/>
        <v>481</v>
      </c>
      <c r="U54" s="95">
        <f t="shared" si="2"/>
        <v>0</v>
      </c>
      <c r="V54" s="95">
        <f t="shared" si="0"/>
        <v>0</v>
      </c>
      <c r="W54" s="96">
        <f t="shared" si="3"/>
        <v>447.09908069458635</v>
      </c>
      <c r="X54" s="96">
        <f>V54/[1]Manure!$I$2</f>
        <v>0</v>
      </c>
      <c r="Y54" s="96">
        <f>W54/[1]Manure!$I$2</f>
        <v>318.8582019431251</v>
      </c>
      <c r="Z54" s="96"/>
      <c r="AA54" s="96"/>
      <c r="AB54" s="95"/>
      <c r="AC54" s="11"/>
    </row>
    <row r="55" spans="1:29" ht="15.75" thickBot="1" x14ac:dyDescent="0.3">
      <c r="A55" s="97">
        <v>45390</v>
      </c>
      <c r="B55" s="92">
        <v>0.41666666666666702</v>
      </c>
      <c r="C55" s="92"/>
      <c r="D55" s="91"/>
      <c r="E55" s="91" t="s">
        <v>60</v>
      </c>
      <c r="F55" s="91">
        <v>30</v>
      </c>
      <c r="G55" s="93">
        <v>235334</v>
      </c>
      <c r="H55" s="93">
        <v>23.6</v>
      </c>
      <c r="I55" s="93"/>
      <c r="J55" s="103"/>
      <c r="K55" s="107"/>
      <c r="L55" s="107"/>
      <c r="M55" s="107"/>
      <c r="N55" s="107"/>
      <c r="O55" s="103"/>
      <c r="P55" s="103"/>
      <c r="Q55" s="104"/>
      <c r="R55" s="103"/>
      <c r="S55" s="94">
        <f t="shared" si="1"/>
        <v>23.6</v>
      </c>
      <c r="T55" s="95">
        <f t="shared" si="4"/>
        <v>717</v>
      </c>
      <c r="U55" s="95">
        <f t="shared" si="2"/>
        <v>0</v>
      </c>
      <c r="V55" s="95">
        <f t="shared" si="0"/>
        <v>0</v>
      </c>
      <c r="W55" s="96">
        <f t="shared" si="3"/>
        <v>659.9494268374915</v>
      </c>
      <c r="X55" s="96">
        <f>V55/[1]Manure!$I$2</f>
        <v>0</v>
      </c>
      <c r="Y55" s="96">
        <f>W55/[1]Manure!$I$2</f>
        <v>470.65694540880435</v>
      </c>
      <c r="Z55" s="96"/>
      <c r="AA55" s="96"/>
      <c r="AB55" s="95"/>
      <c r="AC55" s="11"/>
    </row>
    <row r="56" spans="1:29" ht="15.75" thickBot="1" x14ac:dyDescent="0.3">
      <c r="A56" s="97">
        <v>45391</v>
      </c>
      <c r="B56" s="92">
        <v>0.41666666666666702</v>
      </c>
      <c r="C56" s="92"/>
      <c r="D56" s="91"/>
      <c r="E56" s="91" t="s">
        <v>60</v>
      </c>
      <c r="F56" s="91">
        <v>30</v>
      </c>
      <c r="G56" s="93">
        <v>235777</v>
      </c>
      <c r="H56" s="93">
        <v>20.3</v>
      </c>
      <c r="I56" s="93"/>
      <c r="J56" s="103"/>
      <c r="K56" s="107"/>
      <c r="L56" s="107"/>
      <c r="M56" s="107"/>
      <c r="N56" s="107"/>
      <c r="O56" s="103"/>
      <c r="P56" s="103"/>
      <c r="Q56" s="104"/>
      <c r="R56" s="103"/>
      <c r="S56" s="94">
        <f t="shared" si="1"/>
        <v>20.3</v>
      </c>
      <c r="T56" s="95">
        <f t="shared" si="4"/>
        <v>443</v>
      </c>
      <c r="U56" s="95">
        <f t="shared" si="2"/>
        <v>0</v>
      </c>
      <c r="V56" s="95">
        <f t="shared" si="0"/>
        <v>0</v>
      </c>
      <c r="W56" s="96">
        <f t="shared" si="3"/>
        <v>412.33890214797134</v>
      </c>
      <c r="X56" s="96">
        <f>V56/[1]Manure!$I$2</f>
        <v>0</v>
      </c>
      <c r="Y56" s="96">
        <f>W56/[1]Manure!$I$2</f>
        <v>294.06824260485746</v>
      </c>
      <c r="Z56" s="96"/>
      <c r="AA56" s="96"/>
      <c r="AB56" s="95"/>
      <c r="AC56" s="11"/>
    </row>
    <row r="57" spans="1:29" ht="15.75" thickBot="1" x14ac:dyDescent="0.3">
      <c r="A57" s="97">
        <v>45392</v>
      </c>
      <c r="B57" s="92">
        <v>0.41666666666666702</v>
      </c>
      <c r="C57" s="92"/>
      <c r="D57" s="91"/>
      <c r="E57" s="91" t="s">
        <v>60</v>
      </c>
      <c r="F57" s="91">
        <v>30</v>
      </c>
      <c r="G57" s="111">
        <v>236221</v>
      </c>
      <c r="H57" s="93">
        <v>26.4</v>
      </c>
      <c r="I57" s="93"/>
      <c r="J57" s="103"/>
      <c r="K57" s="107"/>
      <c r="L57" s="107"/>
      <c r="M57" s="107"/>
      <c r="N57" s="107"/>
      <c r="O57" s="103"/>
      <c r="P57" s="103"/>
      <c r="Q57" s="104"/>
      <c r="R57" s="103"/>
      <c r="S57" s="94">
        <f t="shared" si="1"/>
        <v>26.4</v>
      </c>
      <c r="T57" s="95">
        <f t="shared" si="4"/>
        <v>444</v>
      </c>
      <c r="U57" s="95">
        <f t="shared" si="2"/>
        <v>0</v>
      </c>
      <c r="V57" s="95">
        <f t="shared" si="0"/>
        <v>0</v>
      </c>
      <c r="W57" s="96">
        <f t="shared" si="3"/>
        <v>404.84969939879761</v>
      </c>
      <c r="X57" s="96">
        <f>V57/[1]Manure!$I$2</f>
        <v>0</v>
      </c>
      <c r="Y57" s="96">
        <f>W57/[1]Manure!$I$2</f>
        <v>288.72715865791844</v>
      </c>
      <c r="Z57" s="96"/>
      <c r="AA57" s="96"/>
      <c r="AB57" s="95"/>
      <c r="AC57" s="11"/>
    </row>
    <row r="58" spans="1:29" ht="15.75" thickBot="1" x14ac:dyDescent="0.3">
      <c r="A58" s="97">
        <v>45393</v>
      </c>
      <c r="B58" s="92">
        <v>0.41666666666666702</v>
      </c>
      <c r="C58" s="92"/>
      <c r="D58" s="91"/>
      <c r="E58" s="91" t="s">
        <v>60</v>
      </c>
      <c r="F58" s="91">
        <v>30</v>
      </c>
      <c r="G58" s="111">
        <v>236851</v>
      </c>
      <c r="H58" s="93"/>
      <c r="I58" s="93"/>
      <c r="J58" s="103"/>
      <c r="K58" s="107"/>
      <c r="L58" s="107"/>
      <c r="M58" s="107"/>
      <c r="N58" s="107"/>
      <c r="O58" s="103"/>
      <c r="P58" s="103"/>
      <c r="Q58" s="104"/>
      <c r="R58" s="103"/>
      <c r="S58" s="94">
        <f t="shared" si="1"/>
        <v>0</v>
      </c>
      <c r="T58" s="95">
        <f t="shared" si="4"/>
        <v>630</v>
      </c>
      <c r="U58" s="95">
        <f t="shared" si="2"/>
        <v>0</v>
      </c>
      <c r="V58" s="95">
        <f t="shared" si="0"/>
        <v>0</v>
      </c>
      <c r="W58" s="96">
        <f t="shared" si="3"/>
        <v>630</v>
      </c>
      <c r="X58" s="96">
        <f>V58/[1]Manure!$I$2</f>
        <v>0</v>
      </c>
      <c r="Y58" s="96">
        <f>W58/[1]Manure!$I$2</f>
        <v>449.29787579096035</v>
      </c>
      <c r="Z58" s="96"/>
      <c r="AA58" s="96"/>
      <c r="AB58" s="95"/>
      <c r="AC58" s="11"/>
    </row>
    <row r="59" spans="1:29" ht="15.75" thickBot="1" x14ac:dyDescent="0.3">
      <c r="A59" s="97">
        <v>45394</v>
      </c>
      <c r="B59" s="92">
        <v>0.41666666666666702</v>
      </c>
      <c r="C59" s="92"/>
      <c r="D59" s="91"/>
      <c r="E59" s="91" t="s">
        <v>60</v>
      </c>
      <c r="F59" s="91">
        <v>30</v>
      </c>
      <c r="G59" s="93">
        <v>237381</v>
      </c>
      <c r="H59" s="93">
        <v>26.6</v>
      </c>
      <c r="I59" s="93"/>
      <c r="J59" s="103"/>
      <c r="K59" s="107"/>
      <c r="L59" s="107"/>
      <c r="M59" s="107"/>
      <c r="N59" s="107"/>
      <c r="O59" s="103"/>
      <c r="P59" s="103"/>
      <c r="Q59" s="104"/>
      <c r="R59" s="103"/>
      <c r="S59" s="94">
        <f t="shared" si="1"/>
        <v>26.6</v>
      </c>
      <c r="T59" s="95">
        <f t="shared" si="4"/>
        <v>530</v>
      </c>
      <c r="U59" s="95">
        <f t="shared" si="2"/>
        <v>0</v>
      </c>
      <c r="V59" s="95">
        <f t="shared" si="0"/>
        <v>0</v>
      </c>
      <c r="W59" s="96">
        <f t="shared" si="3"/>
        <v>482.94392523364485</v>
      </c>
      <c r="X59" s="96">
        <f>V59/[1]Manure!$I$2</f>
        <v>0</v>
      </c>
      <c r="Y59" s="96">
        <f>W59/[1]Manure!$I$2</f>
        <v>344.42171386289681</v>
      </c>
      <c r="Z59" s="96"/>
      <c r="AA59" s="96"/>
      <c r="AB59" s="95"/>
      <c r="AC59" s="11"/>
    </row>
    <row r="60" spans="1:29" ht="15.75" thickBot="1" x14ac:dyDescent="0.3">
      <c r="A60" s="97">
        <v>45395</v>
      </c>
      <c r="B60" s="92">
        <v>0.41666666666666702</v>
      </c>
      <c r="C60" s="92"/>
      <c r="D60" s="91"/>
      <c r="E60" s="91" t="s">
        <v>60</v>
      </c>
      <c r="F60" s="91">
        <v>30</v>
      </c>
      <c r="G60" s="93">
        <v>237796</v>
      </c>
      <c r="H60" s="93">
        <v>21</v>
      </c>
      <c r="I60" s="93"/>
      <c r="J60" s="103"/>
      <c r="K60" s="107"/>
      <c r="L60" s="107"/>
      <c r="M60" s="107"/>
      <c r="N60" s="107"/>
      <c r="O60" s="103"/>
      <c r="P60" s="103"/>
      <c r="Q60" s="104"/>
      <c r="R60" s="103"/>
      <c r="S60" s="94">
        <f t="shared" si="1"/>
        <v>21</v>
      </c>
      <c r="T60" s="95">
        <f t="shared" si="4"/>
        <v>415</v>
      </c>
      <c r="U60" s="95">
        <f t="shared" si="2"/>
        <v>0</v>
      </c>
      <c r="V60" s="95">
        <f t="shared" si="0"/>
        <v>0</v>
      </c>
      <c r="W60" s="96">
        <f t="shared" si="3"/>
        <v>385.35714285714289</v>
      </c>
      <c r="X60" s="96">
        <f>V60/[1]Manure!$I$2</f>
        <v>0</v>
      </c>
      <c r="Y60" s="96">
        <f>W60/[1]Manure!$I$2</f>
        <v>274.82562810569516</v>
      </c>
      <c r="Z60" s="96"/>
      <c r="AA60" s="96"/>
      <c r="AB60" s="95"/>
      <c r="AC60" s="11"/>
    </row>
    <row r="61" spans="1:29" ht="15.75" thickBot="1" x14ac:dyDescent="0.3">
      <c r="A61" s="97">
        <v>45397</v>
      </c>
      <c r="B61" s="92">
        <v>0.41666666666666702</v>
      </c>
      <c r="C61" s="92"/>
      <c r="D61" s="91"/>
      <c r="E61" s="91" t="s">
        <v>60</v>
      </c>
      <c r="F61" s="91">
        <v>30</v>
      </c>
      <c r="G61" s="93">
        <v>238049</v>
      </c>
      <c r="H61" s="93">
        <v>25.3</v>
      </c>
      <c r="I61" s="93"/>
      <c r="J61" s="103"/>
      <c r="K61" s="107"/>
      <c r="L61" s="107"/>
      <c r="M61" s="107"/>
      <c r="N61" s="107"/>
      <c r="O61" s="103"/>
      <c r="P61" s="103"/>
      <c r="Q61" s="104"/>
      <c r="R61" s="103"/>
      <c r="S61" s="94">
        <f t="shared" si="1"/>
        <v>25.3</v>
      </c>
      <c r="T61" s="95">
        <f t="shared" si="4"/>
        <v>253</v>
      </c>
      <c r="U61" s="95">
        <f t="shared" si="2"/>
        <v>0</v>
      </c>
      <c r="V61" s="95">
        <f t="shared" si="0"/>
        <v>0</v>
      </c>
      <c r="W61" s="96">
        <f t="shared" si="3"/>
        <v>231.54207173985918</v>
      </c>
      <c r="X61" s="96">
        <f>V61/[1]Manure!$I$2</f>
        <v>0</v>
      </c>
      <c r="Y61" s="96">
        <f>W61/[1]Manure!$I$2</f>
        <v>165.12914442691567</v>
      </c>
      <c r="Z61" s="96"/>
      <c r="AA61" s="96"/>
      <c r="AB61" s="95"/>
      <c r="AC61" s="11"/>
    </row>
    <row r="62" spans="1:29" ht="15.75" thickBot="1" x14ac:dyDescent="0.3">
      <c r="A62" s="97">
        <v>45398</v>
      </c>
      <c r="B62" s="92">
        <v>0.41666666666666702</v>
      </c>
      <c r="C62" s="92"/>
      <c r="D62" s="91"/>
      <c r="E62" s="91" t="s">
        <v>60</v>
      </c>
      <c r="F62" s="91">
        <v>30</v>
      </c>
      <c r="G62" s="93">
        <v>239271</v>
      </c>
      <c r="H62" s="93">
        <v>26.2</v>
      </c>
      <c r="I62" s="93"/>
      <c r="J62" s="103"/>
      <c r="K62" s="107"/>
      <c r="L62" s="107"/>
      <c r="M62" s="107"/>
      <c r="N62" s="107"/>
      <c r="O62" s="103"/>
      <c r="P62" s="103"/>
      <c r="Q62" s="104"/>
      <c r="R62" s="103"/>
      <c r="S62" s="94">
        <f t="shared" si="1"/>
        <v>26.2</v>
      </c>
      <c r="T62" s="95">
        <f t="shared" si="4"/>
        <v>1222</v>
      </c>
      <c r="U62" s="95">
        <f t="shared" si="2"/>
        <v>0</v>
      </c>
      <c r="V62" s="95">
        <f t="shared" si="0"/>
        <v>0</v>
      </c>
      <c r="W62" s="96">
        <f t="shared" si="3"/>
        <v>1114.9933155080214</v>
      </c>
      <c r="X62" s="96">
        <f>V62/[1]Manure!$I$2</f>
        <v>0</v>
      </c>
      <c r="Y62" s="96">
        <f>W62/[1]Manure!$I$2</f>
        <v>795.1811558394827</v>
      </c>
      <c r="Z62" s="96"/>
      <c r="AA62" s="96"/>
      <c r="AB62" s="95"/>
      <c r="AC62" s="11"/>
    </row>
    <row r="63" spans="1:29" ht="15.75" thickBot="1" x14ac:dyDescent="0.3">
      <c r="A63" s="97">
        <v>45399</v>
      </c>
      <c r="B63" s="92">
        <v>0.41666666666666702</v>
      </c>
      <c r="C63" s="92"/>
      <c r="D63" s="91"/>
      <c r="E63" s="91" t="s">
        <v>60</v>
      </c>
      <c r="F63" s="91">
        <v>30</v>
      </c>
      <c r="G63" s="93">
        <v>240501</v>
      </c>
      <c r="H63" s="93">
        <v>21.4</v>
      </c>
      <c r="I63" s="93"/>
      <c r="J63" s="103"/>
      <c r="K63" s="107"/>
      <c r="L63" s="107"/>
      <c r="M63" s="107"/>
      <c r="N63" s="107"/>
      <c r="O63" s="103"/>
      <c r="P63" s="103"/>
      <c r="Q63" s="104"/>
      <c r="R63" s="103"/>
      <c r="S63" s="94">
        <f t="shared" si="1"/>
        <v>21.4</v>
      </c>
      <c r="T63" s="95">
        <f t="shared" si="4"/>
        <v>1230</v>
      </c>
      <c r="U63" s="95">
        <f t="shared" si="2"/>
        <v>0</v>
      </c>
      <c r="V63" s="95">
        <f t="shared" si="0"/>
        <v>0</v>
      </c>
      <c r="W63" s="96">
        <f t="shared" si="3"/>
        <v>1140.5910326086957</v>
      </c>
      <c r="X63" s="96">
        <f>V63/[1]Manure!$I$2</f>
        <v>0</v>
      </c>
      <c r="Y63" s="96">
        <f>W63/[1]Manure!$I$2</f>
        <v>813.43671126556353</v>
      </c>
      <c r="Z63" s="96"/>
      <c r="AA63" s="96"/>
      <c r="AB63" s="95"/>
      <c r="AC63" s="11"/>
    </row>
    <row r="64" spans="1:29" ht="15.75" thickBot="1" x14ac:dyDescent="0.3">
      <c r="A64" s="97">
        <v>45400</v>
      </c>
      <c r="B64" s="92">
        <v>0.41666666666666702</v>
      </c>
      <c r="C64" s="92"/>
      <c r="D64" s="91"/>
      <c r="E64" s="91" t="s">
        <v>60</v>
      </c>
      <c r="F64" s="91">
        <v>30</v>
      </c>
      <c r="G64" s="93">
        <v>241232</v>
      </c>
      <c r="H64" s="93">
        <v>24.9</v>
      </c>
      <c r="I64" s="93"/>
      <c r="J64" s="103"/>
      <c r="K64" s="107"/>
      <c r="L64" s="107"/>
      <c r="M64" s="107"/>
      <c r="N64" s="107"/>
      <c r="O64" s="103"/>
      <c r="P64" s="103"/>
      <c r="Q64" s="104"/>
      <c r="R64" s="103"/>
      <c r="S64" s="94">
        <f t="shared" si="1"/>
        <v>24.9</v>
      </c>
      <c r="T64" s="95">
        <f t="shared" si="4"/>
        <v>731</v>
      </c>
      <c r="U64" s="95">
        <f t="shared" si="2"/>
        <v>0</v>
      </c>
      <c r="V64" s="95">
        <f t="shared" si="0"/>
        <v>0</v>
      </c>
      <c r="W64" s="96">
        <f t="shared" si="3"/>
        <v>669.8992950654582</v>
      </c>
      <c r="X64" s="96">
        <f>V64/[1]Manure!$I$2</f>
        <v>0</v>
      </c>
      <c r="Y64" s="96">
        <f>W64/[1]Manure!$I$2</f>
        <v>477.75290518535263</v>
      </c>
      <c r="Z64" s="96"/>
      <c r="AA64" s="96"/>
      <c r="AB64" s="95"/>
      <c r="AC64" s="11"/>
    </row>
    <row r="65" spans="1:29" ht="15.75" thickBot="1" x14ac:dyDescent="0.3">
      <c r="A65" s="97">
        <v>45401</v>
      </c>
      <c r="B65" s="92">
        <v>0.41666666666666702</v>
      </c>
      <c r="C65" s="92"/>
      <c r="D65" s="91"/>
      <c r="E65" s="91" t="s">
        <v>60</v>
      </c>
      <c r="F65" s="91">
        <v>30</v>
      </c>
      <c r="G65" s="93">
        <v>241725</v>
      </c>
      <c r="H65" s="93">
        <v>23.8</v>
      </c>
      <c r="I65" s="93"/>
      <c r="J65" s="103"/>
      <c r="K65" s="107"/>
      <c r="L65" s="107"/>
      <c r="M65" s="107"/>
      <c r="N65" s="107"/>
      <c r="O65" s="103"/>
      <c r="P65" s="103"/>
      <c r="Q65" s="104"/>
      <c r="R65" s="103"/>
      <c r="S65" s="94">
        <f t="shared" si="1"/>
        <v>23.8</v>
      </c>
      <c r="T65" s="95">
        <f t="shared" si="4"/>
        <v>493</v>
      </c>
      <c r="U65" s="95">
        <f t="shared" si="2"/>
        <v>0</v>
      </c>
      <c r="V65" s="95">
        <f t="shared" si="0"/>
        <v>0</v>
      </c>
      <c r="W65" s="96">
        <f t="shared" si="3"/>
        <v>453.46698113207543</v>
      </c>
      <c r="X65" s="96">
        <f>V65/[1]Manure!$I$2</f>
        <v>0</v>
      </c>
      <c r="Y65" s="96">
        <f>W65/[1]Manure!$I$2</f>
        <v>323.39960533965234</v>
      </c>
      <c r="Z65" s="96"/>
      <c r="AA65" s="96"/>
      <c r="AB65" s="95"/>
      <c r="AC65" s="11"/>
    </row>
    <row r="66" spans="1:29" ht="15.75" thickBot="1" x14ac:dyDescent="0.3">
      <c r="A66" s="97">
        <v>45402</v>
      </c>
      <c r="B66" s="92">
        <v>0.41666666666666702</v>
      </c>
      <c r="C66" s="92"/>
      <c r="D66" s="91"/>
      <c r="E66" s="91" t="s">
        <v>60</v>
      </c>
      <c r="F66" s="91">
        <v>30</v>
      </c>
      <c r="G66" s="93">
        <v>241980</v>
      </c>
      <c r="H66" s="93">
        <v>22.1</v>
      </c>
      <c r="I66" s="93"/>
      <c r="J66" s="103"/>
      <c r="K66" s="107"/>
      <c r="L66" s="107"/>
      <c r="M66" s="107"/>
      <c r="N66" s="107"/>
      <c r="O66" s="103"/>
      <c r="P66" s="103"/>
      <c r="Q66" s="104"/>
      <c r="R66" s="103"/>
      <c r="S66" s="94">
        <f t="shared" si="1"/>
        <v>22.1</v>
      </c>
      <c r="T66" s="95">
        <f t="shared" si="4"/>
        <v>255</v>
      </c>
      <c r="U66" s="95">
        <f t="shared" si="2"/>
        <v>0</v>
      </c>
      <c r="V66" s="95">
        <f t="shared" si="0"/>
        <v>0</v>
      </c>
      <c r="W66" s="96">
        <f t="shared" si="3"/>
        <v>235.90308370044053</v>
      </c>
      <c r="X66" s="96">
        <f>V66/[1]Manure!$I$2</f>
        <v>0</v>
      </c>
      <c r="Y66" s="96">
        <f>W66/[1]Manure!$I$2</f>
        <v>168.23929269705565</v>
      </c>
      <c r="Z66" s="96"/>
      <c r="AA66" s="96"/>
      <c r="AB66" s="95"/>
      <c r="AC66" s="11"/>
    </row>
    <row r="67" spans="1:29" ht="15.75" thickBot="1" x14ac:dyDescent="0.3">
      <c r="A67" s="97"/>
      <c r="B67" s="92"/>
      <c r="C67" s="92"/>
      <c r="D67" s="91"/>
      <c r="E67" s="91"/>
      <c r="F67" s="91"/>
      <c r="G67" s="93"/>
      <c r="H67" s="93"/>
      <c r="I67" s="93"/>
      <c r="J67" s="103"/>
      <c r="K67" s="107"/>
      <c r="L67" s="107"/>
      <c r="M67" s="107"/>
      <c r="N67" s="107"/>
      <c r="O67" s="103"/>
      <c r="P67" s="103"/>
      <c r="Q67" s="104"/>
      <c r="R67" s="103"/>
      <c r="S67" s="94">
        <f t="shared" ref="S67:S130" si="5">H67</f>
        <v>0</v>
      </c>
      <c r="T67" s="95">
        <f t="shared" si="4"/>
        <v>-241980</v>
      </c>
      <c r="U67" s="95">
        <f t="shared" si="2"/>
        <v>0</v>
      </c>
      <c r="V67" s="95">
        <f t="shared" si="0"/>
        <v>0</v>
      </c>
      <c r="W67" s="96">
        <f t="shared" si="3"/>
        <v>-241980</v>
      </c>
      <c r="X67" s="96">
        <f>V67/[1]Manure!$I$2</f>
        <v>0</v>
      </c>
      <c r="Y67" s="96">
        <f>W67/[1]Manure!$I$2</f>
        <v>-172573.17457761362</v>
      </c>
      <c r="Z67" s="96"/>
      <c r="AA67" s="96"/>
      <c r="AB67" s="95"/>
      <c r="AC67" s="11"/>
    </row>
    <row r="68" spans="1:29" ht="15.75" thickBot="1" x14ac:dyDescent="0.3">
      <c r="A68" s="97">
        <v>45404</v>
      </c>
      <c r="B68" s="92">
        <v>0.41666666666666702</v>
      </c>
      <c r="C68" s="92"/>
      <c r="D68" s="91"/>
      <c r="E68" s="91" t="s">
        <v>60</v>
      </c>
      <c r="F68" s="91">
        <v>30</v>
      </c>
      <c r="G68" s="93">
        <v>242238</v>
      </c>
      <c r="H68" s="93">
        <v>27.8</v>
      </c>
      <c r="I68" s="93"/>
      <c r="J68" s="103"/>
      <c r="K68" s="107"/>
      <c r="L68" s="107"/>
      <c r="M68" s="107"/>
      <c r="N68" s="107"/>
      <c r="O68" s="103"/>
      <c r="P68" s="103"/>
      <c r="Q68" s="104"/>
      <c r="R68" s="103"/>
      <c r="S68" s="94">
        <f t="shared" si="5"/>
        <v>27.8</v>
      </c>
      <c r="T68" s="95">
        <f t="shared" ref="T68:T131" si="6">G68-G67</f>
        <v>242238</v>
      </c>
      <c r="U68" s="95">
        <f t="shared" si="2"/>
        <v>0</v>
      </c>
      <c r="V68" s="95">
        <f t="shared" si="0"/>
        <v>0</v>
      </c>
      <c r="W68" s="96">
        <f t="shared" si="3"/>
        <v>219850.3125</v>
      </c>
      <c r="X68" s="96">
        <f>V68/[1]Manure!$I$2</f>
        <v>0</v>
      </c>
      <c r="Y68" s="96">
        <f>W68/[1]Manure!$I$2</f>
        <v>156790.9180924267</v>
      </c>
      <c r="Z68" s="96"/>
      <c r="AA68" s="96"/>
      <c r="AB68" s="95"/>
      <c r="AC68" s="11"/>
    </row>
    <row r="69" spans="1:29" ht="15.75" thickBot="1" x14ac:dyDescent="0.3">
      <c r="A69" s="97">
        <v>45405</v>
      </c>
      <c r="B69" s="92">
        <v>0.41666666666666702</v>
      </c>
      <c r="C69" s="92"/>
      <c r="D69" s="91"/>
      <c r="E69" s="91" t="s">
        <v>60</v>
      </c>
      <c r="F69" s="91">
        <v>30</v>
      </c>
      <c r="G69" s="93">
        <v>242324</v>
      </c>
      <c r="H69" s="93">
        <v>22.2</v>
      </c>
      <c r="I69" s="93"/>
      <c r="J69" s="103"/>
      <c r="K69" s="107"/>
      <c r="L69" s="107"/>
      <c r="M69" s="107"/>
      <c r="N69" s="107"/>
      <c r="O69" s="103"/>
      <c r="P69" s="103"/>
      <c r="Q69" s="104"/>
      <c r="R69" s="103"/>
      <c r="S69" s="94">
        <f t="shared" si="5"/>
        <v>22.2</v>
      </c>
      <c r="T69" s="95">
        <f t="shared" si="6"/>
        <v>86</v>
      </c>
      <c r="U69" s="95">
        <f t="shared" si="2"/>
        <v>0</v>
      </c>
      <c r="V69" s="95">
        <f t="shared" si="0"/>
        <v>0</v>
      </c>
      <c r="W69" s="96">
        <f t="shared" si="3"/>
        <v>79.532520325203251</v>
      </c>
      <c r="X69" s="96">
        <f>V69/[1]Manure!$I$2</f>
        <v>0</v>
      </c>
      <c r="Y69" s="96">
        <f>W69/[1]Manure!$I$2</f>
        <v>56.720305457801906</v>
      </c>
      <c r="Z69" s="96"/>
      <c r="AA69" s="96"/>
      <c r="AB69" s="95"/>
      <c r="AC69" s="11"/>
    </row>
    <row r="70" spans="1:29" ht="15.75" thickBot="1" x14ac:dyDescent="0.3">
      <c r="A70" s="97">
        <v>45406</v>
      </c>
      <c r="B70" s="92">
        <v>0.41666666666666702</v>
      </c>
      <c r="C70" s="92"/>
      <c r="D70" s="91"/>
      <c r="E70" s="91" t="s">
        <v>60</v>
      </c>
      <c r="F70" s="91">
        <v>30</v>
      </c>
      <c r="G70" s="93">
        <v>242402</v>
      </c>
      <c r="H70" s="93">
        <v>22.9</v>
      </c>
      <c r="I70" s="93"/>
      <c r="J70" s="103"/>
      <c r="K70" s="107"/>
      <c r="L70" s="107"/>
      <c r="M70" s="107"/>
      <c r="N70" s="107"/>
      <c r="O70" s="103"/>
      <c r="P70" s="103"/>
      <c r="Q70" s="104"/>
      <c r="R70" s="103"/>
      <c r="S70" s="94">
        <f t="shared" si="5"/>
        <v>22.9</v>
      </c>
      <c r="T70" s="95">
        <f t="shared" si="6"/>
        <v>78</v>
      </c>
      <c r="U70" s="95">
        <f t="shared" si="2"/>
        <v>0</v>
      </c>
      <c r="V70" s="95">
        <f t="shared" si="0"/>
        <v>0</v>
      </c>
      <c r="W70" s="96">
        <f t="shared" si="3"/>
        <v>71.963501182832033</v>
      </c>
      <c r="X70" s="96">
        <f>V70/[1]Manure!$I$2</f>
        <v>0</v>
      </c>
      <c r="Y70" s="96">
        <f>W70/[1]Manure!$I$2</f>
        <v>51.322298755439199</v>
      </c>
      <c r="Z70" s="96"/>
      <c r="AA70" s="96"/>
      <c r="AB70" s="95"/>
      <c r="AC70" s="11"/>
    </row>
    <row r="71" spans="1:29" ht="15.75" thickBot="1" x14ac:dyDescent="0.3">
      <c r="A71" s="97">
        <v>45407</v>
      </c>
      <c r="B71" s="92">
        <v>0.41666666666666702</v>
      </c>
      <c r="C71" s="92"/>
      <c r="D71" s="91"/>
      <c r="E71" s="91" t="s">
        <v>60</v>
      </c>
      <c r="F71" s="91">
        <v>30</v>
      </c>
      <c r="G71" s="93">
        <v>242461</v>
      </c>
      <c r="H71" s="93">
        <v>24.6</v>
      </c>
      <c r="I71" s="93"/>
      <c r="J71" s="103"/>
      <c r="K71" s="107"/>
      <c r="L71" s="107"/>
      <c r="M71" s="107"/>
      <c r="N71" s="107"/>
      <c r="O71" s="103"/>
      <c r="P71" s="103"/>
      <c r="Q71" s="104"/>
      <c r="R71" s="103"/>
      <c r="S71" s="94">
        <f t="shared" si="5"/>
        <v>24.6</v>
      </c>
      <c r="T71" s="95">
        <f t="shared" si="6"/>
        <v>59</v>
      </c>
      <c r="U71" s="95">
        <f t="shared" si="2"/>
        <v>0</v>
      </c>
      <c r="V71" s="95">
        <f t="shared" si="0"/>
        <v>0</v>
      </c>
      <c r="W71" s="96">
        <f t="shared" si="3"/>
        <v>54.122983870967737</v>
      </c>
      <c r="X71" s="96">
        <f>V71/[1]Manure!$I$2</f>
        <v>0</v>
      </c>
      <c r="Y71" s="96">
        <f>W71/[1]Manure!$I$2</f>
        <v>38.598955055070178</v>
      </c>
      <c r="Z71" s="96"/>
      <c r="AA71" s="96"/>
      <c r="AB71" s="95"/>
      <c r="AC71" s="11"/>
    </row>
    <row r="72" spans="1:29" ht="15.75" thickBot="1" x14ac:dyDescent="0.3">
      <c r="A72" s="97">
        <v>45408</v>
      </c>
      <c r="B72" s="92">
        <v>0.41666666666666702</v>
      </c>
      <c r="C72" s="92"/>
      <c r="D72" s="91"/>
      <c r="E72" s="91" t="s">
        <v>60</v>
      </c>
      <c r="F72" s="91">
        <v>30</v>
      </c>
      <c r="G72" s="93">
        <v>242499</v>
      </c>
      <c r="H72" s="93">
        <v>22.4</v>
      </c>
      <c r="I72" s="93"/>
      <c r="J72" s="103"/>
      <c r="K72" s="107"/>
      <c r="L72" s="107"/>
      <c r="M72" s="107"/>
      <c r="N72" s="107"/>
      <c r="O72" s="103"/>
      <c r="P72" s="103"/>
      <c r="Q72" s="104"/>
      <c r="R72" s="103"/>
      <c r="S72" s="94">
        <f t="shared" si="5"/>
        <v>22.4</v>
      </c>
      <c r="T72" s="95">
        <f t="shared" si="6"/>
        <v>38</v>
      </c>
      <c r="U72" s="95">
        <f t="shared" si="2"/>
        <v>0</v>
      </c>
      <c r="V72" s="95">
        <f t="shared" si="0"/>
        <v>0</v>
      </c>
      <c r="W72" s="96">
        <f t="shared" si="3"/>
        <v>35.118483412322277</v>
      </c>
      <c r="X72" s="96">
        <f>V72/[1]Manure!$I$2</f>
        <v>0</v>
      </c>
      <c r="Y72" s="96">
        <f>W72/[1]Manure!$I$2</f>
        <v>25.045492060565834</v>
      </c>
      <c r="Z72" s="96"/>
      <c r="AA72" s="96"/>
      <c r="AB72" s="95"/>
      <c r="AC72" s="11"/>
    </row>
    <row r="73" spans="1:29" ht="15.75" thickBot="1" x14ac:dyDescent="0.3">
      <c r="A73" s="97">
        <v>45409</v>
      </c>
      <c r="B73" s="92">
        <v>0.41666666666666702</v>
      </c>
      <c r="C73" s="92"/>
      <c r="D73" s="91"/>
      <c r="E73" s="91" t="s">
        <v>60</v>
      </c>
      <c r="F73" s="91">
        <v>30</v>
      </c>
      <c r="G73" s="93">
        <v>242528</v>
      </c>
      <c r="H73" s="93">
        <v>27.2</v>
      </c>
      <c r="I73" s="93"/>
      <c r="J73" s="103"/>
      <c r="K73" s="107"/>
      <c r="L73" s="107"/>
      <c r="M73" s="107"/>
      <c r="N73" s="107"/>
      <c r="O73" s="103"/>
      <c r="P73" s="103"/>
      <c r="Q73" s="104"/>
      <c r="R73" s="103"/>
      <c r="S73" s="94">
        <f t="shared" si="5"/>
        <v>27.2</v>
      </c>
      <c r="T73" s="95">
        <f t="shared" si="6"/>
        <v>29</v>
      </c>
      <c r="U73" s="95">
        <f t="shared" si="2"/>
        <v>0</v>
      </c>
      <c r="V73" s="95">
        <f t="shared" si="0"/>
        <v>0</v>
      </c>
      <c r="W73" s="96">
        <f t="shared" si="3"/>
        <v>26.372418387741508</v>
      </c>
      <c r="X73" s="96">
        <f>V73/[1]Manure!$I$2</f>
        <v>0</v>
      </c>
      <c r="Y73" s="96">
        <f>W73/[1]Manure!$I$2</f>
        <v>18.808050096956702</v>
      </c>
      <c r="Z73" s="96"/>
      <c r="AA73" s="96"/>
      <c r="AB73" s="95"/>
      <c r="AC73" s="11"/>
    </row>
    <row r="74" spans="1:29" ht="15.75" thickBot="1" x14ac:dyDescent="0.3">
      <c r="A74" s="97">
        <v>45411</v>
      </c>
      <c r="B74" s="92">
        <v>0.41666666666666702</v>
      </c>
      <c r="C74" s="92"/>
      <c r="D74" s="91"/>
      <c r="E74" s="91" t="s">
        <v>60</v>
      </c>
      <c r="F74" s="91">
        <v>30</v>
      </c>
      <c r="G74" s="93">
        <v>242567</v>
      </c>
      <c r="H74" s="93">
        <v>27</v>
      </c>
      <c r="I74" s="93"/>
      <c r="J74" s="103"/>
      <c r="K74" s="107"/>
      <c r="L74" s="107"/>
      <c r="M74" s="107"/>
      <c r="N74" s="107"/>
      <c r="O74" s="103"/>
      <c r="P74" s="103"/>
      <c r="Q74" s="104"/>
      <c r="R74" s="103"/>
      <c r="S74" s="94">
        <f t="shared" si="5"/>
        <v>27</v>
      </c>
      <c r="T74" s="95">
        <f t="shared" si="6"/>
        <v>39</v>
      </c>
      <c r="U74" s="95">
        <f t="shared" si="2"/>
        <v>0</v>
      </c>
      <c r="V74" s="95">
        <f t="shared" si="0"/>
        <v>0</v>
      </c>
      <c r="W74" s="96">
        <f t="shared" si="3"/>
        <v>35.49</v>
      </c>
      <c r="X74" s="96">
        <f>V74/[1]Manure!$I$2</f>
        <v>0</v>
      </c>
      <c r="Y74" s="96">
        <f>W74/[1]Manure!$I$2</f>
        <v>25.310447002890768</v>
      </c>
      <c r="Z74" s="96"/>
      <c r="AA74" s="96"/>
      <c r="AB74" s="95"/>
      <c r="AC74" s="11"/>
    </row>
    <row r="75" spans="1:29" ht="15.75" thickBot="1" x14ac:dyDescent="0.3">
      <c r="A75" s="97">
        <v>45412</v>
      </c>
      <c r="B75" s="92">
        <v>0.41666666666666702</v>
      </c>
      <c r="C75" s="92"/>
      <c r="D75" s="91"/>
      <c r="E75" s="91" t="s">
        <v>60</v>
      </c>
      <c r="F75" s="91">
        <v>30</v>
      </c>
      <c r="G75" s="93">
        <v>242596</v>
      </c>
      <c r="H75" s="93">
        <v>25.6</v>
      </c>
      <c r="I75" s="93"/>
      <c r="J75" s="103"/>
      <c r="K75" s="107"/>
      <c r="L75" s="107"/>
      <c r="M75" s="107"/>
      <c r="N75" s="107"/>
      <c r="O75" s="103"/>
      <c r="P75" s="103"/>
      <c r="Q75" s="104"/>
      <c r="R75" s="103"/>
      <c r="S75" s="94">
        <f t="shared" si="5"/>
        <v>25.6</v>
      </c>
      <c r="T75" s="95">
        <f t="shared" si="6"/>
        <v>29</v>
      </c>
      <c r="U75" s="95">
        <f t="shared" si="2"/>
        <v>0</v>
      </c>
      <c r="V75" s="95">
        <f t="shared" si="0"/>
        <v>0</v>
      </c>
      <c r="W75" s="96">
        <f t="shared" si="3"/>
        <v>26.513730743469523</v>
      </c>
      <c r="X75" s="96">
        <f>V75/[1]Manure!$I$2</f>
        <v>0</v>
      </c>
      <c r="Y75" s="96">
        <f>W75/[1]Manure!$I$2</f>
        <v>18.908830003705297</v>
      </c>
      <c r="Z75" s="96"/>
      <c r="AA75" s="96"/>
      <c r="AB75" s="95"/>
      <c r="AC75" s="11"/>
    </row>
    <row r="76" spans="1:29" ht="15.75" thickBot="1" x14ac:dyDescent="0.3">
      <c r="A76" s="97">
        <v>45413</v>
      </c>
      <c r="B76" s="92">
        <v>0.41666666666666702</v>
      </c>
      <c r="C76" s="92"/>
      <c r="D76" s="91"/>
      <c r="E76" s="91" t="s">
        <v>60</v>
      </c>
      <c r="F76" s="91">
        <v>30</v>
      </c>
      <c r="G76" s="93">
        <v>242634</v>
      </c>
      <c r="H76" s="93">
        <v>21.2</v>
      </c>
      <c r="I76" s="93"/>
      <c r="J76" s="103"/>
      <c r="K76" s="107"/>
      <c r="L76" s="107"/>
      <c r="M76" s="107"/>
      <c r="N76" s="107"/>
      <c r="O76" s="103"/>
      <c r="P76" s="103"/>
      <c r="Q76" s="104"/>
      <c r="R76" s="103"/>
      <c r="S76" s="94">
        <f t="shared" si="5"/>
        <v>21.2</v>
      </c>
      <c r="T76" s="95">
        <f t="shared" si="6"/>
        <v>38</v>
      </c>
      <c r="U76" s="95">
        <f t="shared" si="2"/>
        <v>0</v>
      </c>
      <c r="V76" s="95">
        <f t="shared" si="0"/>
        <v>0</v>
      </c>
      <c r="W76" s="96">
        <f t="shared" si="3"/>
        <v>35.261726716519377</v>
      </c>
      <c r="X76" s="96">
        <f>V76/[1]Manure!$I$2</f>
        <v>0</v>
      </c>
      <c r="Y76" s="96">
        <f>W76/[1]Manure!$I$2</f>
        <v>25.147649064211922</v>
      </c>
      <c r="Z76" s="96"/>
      <c r="AA76" s="96"/>
      <c r="AB76" s="95"/>
      <c r="AC76" s="11"/>
    </row>
    <row r="77" spans="1:29" ht="15.75" thickBot="1" x14ac:dyDescent="0.3">
      <c r="A77" s="97">
        <v>45414</v>
      </c>
      <c r="B77" s="92">
        <v>0.41666666666666702</v>
      </c>
      <c r="C77" s="93"/>
      <c r="D77" s="91"/>
      <c r="E77" s="91" t="s">
        <v>60</v>
      </c>
      <c r="F77" s="91">
        <v>30</v>
      </c>
      <c r="G77" s="93">
        <v>242651</v>
      </c>
      <c r="H77" s="93">
        <v>25.4</v>
      </c>
      <c r="I77" s="93"/>
      <c r="J77" s="103"/>
      <c r="K77" s="107"/>
      <c r="L77" s="107"/>
      <c r="M77" s="107"/>
      <c r="N77" s="107"/>
      <c r="O77" s="103"/>
      <c r="P77" s="103"/>
      <c r="Q77" s="104"/>
      <c r="R77" s="103"/>
      <c r="S77" s="94">
        <f t="shared" si="5"/>
        <v>25.4</v>
      </c>
      <c r="T77" s="95">
        <f t="shared" si="6"/>
        <v>17</v>
      </c>
      <c r="U77" s="95">
        <f t="shared" si="2"/>
        <v>0</v>
      </c>
      <c r="V77" s="95">
        <f t="shared" si="0"/>
        <v>0</v>
      </c>
      <c r="W77" s="96">
        <f t="shared" si="3"/>
        <v>15.552949061662201</v>
      </c>
      <c r="X77" s="96">
        <f>V77/[1]Manure!$I$2</f>
        <v>0</v>
      </c>
      <c r="Y77" s="96">
        <f>W77/[1]Manure!$I$2</f>
        <v>11.091915834428312</v>
      </c>
      <c r="Z77" s="96"/>
      <c r="AA77" s="96"/>
      <c r="AB77" s="95"/>
      <c r="AC77" s="11"/>
    </row>
    <row r="78" spans="1:29" ht="15.75" thickBot="1" x14ac:dyDescent="0.3">
      <c r="A78" s="97">
        <v>45415</v>
      </c>
      <c r="B78" s="92">
        <v>0.41666666666666702</v>
      </c>
      <c r="C78" s="92"/>
      <c r="D78" s="91"/>
      <c r="E78" s="91" t="s">
        <v>60</v>
      </c>
      <c r="F78" s="91">
        <v>30</v>
      </c>
      <c r="G78" s="93">
        <v>242681</v>
      </c>
      <c r="H78" s="93">
        <v>24.6</v>
      </c>
      <c r="I78" s="93"/>
      <c r="J78" s="103"/>
      <c r="K78" s="107"/>
      <c r="L78" s="107"/>
      <c r="M78" s="107"/>
      <c r="N78" s="107"/>
      <c r="O78" s="103"/>
      <c r="P78" s="103"/>
      <c r="Q78" s="104"/>
      <c r="R78" s="103"/>
      <c r="S78" s="94">
        <f t="shared" si="5"/>
        <v>24.6</v>
      </c>
      <c r="T78" s="95">
        <f t="shared" si="6"/>
        <v>30</v>
      </c>
      <c r="U78" s="95">
        <f t="shared" si="2"/>
        <v>0</v>
      </c>
      <c r="V78" s="95">
        <f t="shared" si="0"/>
        <v>0</v>
      </c>
      <c r="W78" s="96">
        <f t="shared" si="3"/>
        <v>27.520161290322577</v>
      </c>
      <c r="X78" s="96">
        <f>V78/[1]Manure!$I$2</f>
        <v>0</v>
      </c>
      <c r="Y78" s="96">
        <f>W78/[1]Manure!$I$2</f>
        <v>19.626587316137378</v>
      </c>
      <c r="Z78" s="96"/>
      <c r="AA78" s="96"/>
      <c r="AB78" s="98"/>
      <c r="AC78" s="11"/>
    </row>
    <row r="79" spans="1:29" ht="15.75" thickBot="1" x14ac:dyDescent="0.3">
      <c r="A79" s="97">
        <v>45416</v>
      </c>
      <c r="B79" s="92">
        <v>0.41666666666666702</v>
      </c>
      <c r="C79" s="92"/>
      <c r="D79" s="91"/>
      <c r="E79" s="91" t="s">
        <v>60</v>
      </c>
      <c r="F79" s="91">
        <v>30</v>
      </c>
      <c r="G79" s="93">
        <v>242711</v>
      </c>
      <c r="H79" s="93">
        <v>22.2</v>
      </c>
      <c r="I79" s="93"/>
      <c r="J79" s="103"/>
      <c r="K79" s="107"/>
      <c r="L79" s="107"/>
      <c r="M79" s="107"/>
      <c r="N79" s="107"/>
      <c r="O79" s="103"/>
      <c r="P79" s="103"/>
      <c r="Q79" s="104"/>
      <c r="R79" s="103"/>
      <c r="S79" s="94">
        <f t="shared" si="5"/>
        <v>22.2</v>
      </c>
      <c r="T79" s="95">
        <f t="shared" si="6"/>
        <v>30</v>
      </c>
      <c r="U79" s="95">
        <f t="shared" si="2"/>
        <v>0</v>
      </c>
      <c r="V79" s="95">
        <f t="shared" si="0"/>
        <v>0</v>
      </c>
      <c r="W79" s="96">
        <f t="shared" si="3"/>
        <v>27.743902439024389</v>
      </c>
      <c r="X79" s="96">
        <f>V79/[1]Manure!$I$2</f>
        <v>0</v>
      </c>
      <c r="Y79" s="96">
        <f>W79/[1]Manure!$I$2</f>
        <v>19.786153066675084</v>
      </c>
      <c r="Z79" s="96"/>
      <c r="AA79" s="96"/>
      <c r="AB79" s="95"/>
      <c r="AC79" s="11"/>
    </row>
    <row r="80" spans="1:29" ht="15.75" thickBot="1" x14ac:dyDescent="0.3">
      <c r="A80" s="97">
        <v>45418</v>
      </c>
      <c r="B80" s="92">
        <v>0.41666666666666702</v>
      </c>
      <c r="C80" s="92"/>
      <c r="D80" s="91"/>
      <c r="E80" s="91" t="s">
        <v>60</v>
      </c>
      <c r="F80" s="91">
        <v>30</v>
      </c>
      <c r="G80" s="93">
        <v>242755</v>
      </c>
      <c r="H80" s="93">
        <v>19.600000000000001</v>
      </c>
      <c r="I80" s="93"/>
      <c r="J80" s="103"/>
      <c r="K80" s="107"/>
      <c r="L80" s="107"/>
      <c r="M80" s="107"/>
      <c r="N80" s="107"/>
      <c r="O80" s="103"/>
      <c r="P80" s="103"/>
      <c r="Q80" s="104"/>
      <c r="R80" s="103"/>
      <c r="S80" s="94">
        <f t="shared" si="5"/>
        <v>19.600000000000001</v>
      </c>
      <c r="T80" s="95">
        <f t="shared" si="6"/>
        <v>44</v>
      </c>
      <c r="U80" s="95">
        <f t="shared" si="2"/>
        <v>0</v>
      </c>
      <c r="V80" s="95">
        <f t="shared" si="0"/>
        <v>0</v>
      </c>
      <c r="W80" s="96">
        <f t="shared" si="3"/>
        <v>41.052631578947363</v>
      </c>
      <c r="X80" s="96">
        <f>V80/[1]Manure!$I$2</f>
        <v>0</v>
      </c>
      <c r="Y80" s="96">
        <f>W80/[1]Manure!$I$2</f>
        <v>29.277555815952301</v>
      </c>
      <c r="Z80" s="96"/>
      <c r="AA80" s="96"/>
      <c r="AB80" s="95"/>
      <c r="AC80" s="11"/>
    </row>
    <row r="81" spans="1:29" ht="15.75" thickBot="1" x14ac:dyDescent="0.3">
      <c r="A81" s="97">
        <v>45419</v>
      </c>
      <c r="B81" s="92">
        <v>0.41666666666666702</v>
      </c>
      <c r="C81" s="92"/>
      <c r="D81" s="91"/>
      <c r="E81" s="91" t="s">
        <v>60</v>
      </c>
      <c r="F81" s="91">
        <v>30</v>
      </c>
      <c r="G81" s="93">
        <v>242789</v>
      </c>
      <c r="H81" s="93">
        <v>19.399999999999999</v>
      </c>
      <c r="I81" s="93"/>
      <c r="J81" s="103"/>
      <c r="K81" s="107"/>
      <c r="L81" s="107"/>
      <c r="M81" s="107"/>
      <c r="N81" s="107"/>
      <c r="O81" s="103"/>
      <c r="P81" s="103"/>
      <c r="Q81" s="104"/>
      <c r="R81" s="103"/>
      <c r="S81" s="94">
        <f t="shared" si="5"/>
        <v>19.399999999999999</v>
      </c>
      <c r="T81" s="95">
        <f t="shared" si="6"/>
        <v>34</v>
      </c>
      <c r="U81" s="95">
        <f t="shared" si="2"/>
        <v>0</v>
      </c>
      <c r="V81" s="95">
        <f t="shared" si="0"/>
        <v>0</v>
      </c>
      <c r="W81" s="96">
        <f t="shared" si="3"/>
        <v>31.744186046511629</v>
      </c>
      <c r="X81" s="96">
        <f>V81/[1]Manure!$I$2</f>
        <v>0</v>
      </c>
      <c r="Y81" s="96">
        <f>W81/[1]Manure!$I$2</f>
        <v>22.639040253032888</v>
      </c>
      <c r="Z81" s="96"/>
      <c r="AA81" s="96"/>
      <c r="AB81" s="95"/>
      <c r="AC81" s="11"/>
    </row>
    <row r="82" spans="1:29" ht="15.75" thickBot="1" x14ac:dyDescent="0.3">
      <c r="A82" s="97">
        <v>45420</v>
      </c>
      <c r="B82" s="92">
        <v>0.41666666666666702</v>
      </c>
      <c r="C82" s="92"/>
      <c r="D82" s="91"/>
      <c r="E82" s="91" t="s">
        <v>60</v>
      </c>
      <c r="F82" s="91">
        <v>30</v>
      </c>
      <c r="G82" s="93">
        <v>242812</v>
      </c>
      <c r="H82" s="93">
        <v>21.8</v>
      </c>
      <c r="I82" s="93"/>
      <c r="J82" s="103"/>
      <c r="K82" s="107"/>
      <c r="L82" s="107"/>
      <c r="M82" s="107"/>
      <c r="N82" s="107"/>
      <c r="O82" s="103"/>
      <c r="P82" s="103"/>
      <c r="Q82" s="104"/>
      <c r="R82" s="103"/>
      <c r="S82" s="94">
        <f t="shared" si="5"/>
        <v>21.8</v>
      </c>
      <c r="T82" s="95">
        <f t="shared" si="6"/>
        <v>23</v>
      </c>
      <c r="U82" s="95">
        <f t="shared" si="2"/>
        <v>0</v>
      </c>
      <c r="V82" s="95">
        <f t="shared" si="0"/>
        <v>0</v>
      </c>
      <c r="W82" s="96">
        <f t="shared" si="3"/>
        <v>21.299185888738126</v>
      </c>
      <c r="X82" s="96">
        <f>V82/[1]Manure!$I$2</f>
        <v>0</v>
      </c>
      <c r="Y82" s="96">
        <f>W82/[1]Manure!$I$2</f>
        <v>15.189966628391806</v>
      </c>
      <c r="Z82" s="96"/>
      <c r="AA82" s="96"/>
      <c r="AB82" s="95"/>
      <c r="AC82" s="11"/>
    </row>
    <row r="83" spans="1:29" ht="15.75" thickBot="1" x14ac:dyDescent="0.3">
      <c r="A83" s="97">
        <v>45421</v>
      </c>
      <c r="B83" s="92">
        <v>0.41666666666666702</v>
      </c>
      <c r="C83" s="92"/>
      <c r="D83" s="91"/>
      <c r="E83" s="91" t="s">
        <v>60</v>
      </c>
      <c r="F83" s="91">
        <v>20</v>
      </c>
      <c r="G83" s="93">
        <v>242844</v>
      </c>
      <c r="H83" s="93">
        <v>22.2</v>
      </c>
      <c r="I83" s="93"/>
      <c r="J83" s="103"/>
      <c r="K83" s="107"/>
      <c r="L83" s="107"/>
      <c r="M83" s="107"/>
      <c r="N83" s="107"/>
      <c r="O83" s="103"/>
      <c r="P83" s="103"/>
      <c r="Q83" s="104"/>
      <c r="R83" s="103"/>
      <c r="S83" s="94">
        <f t="shared" si="5"/>
        <v>22.2</v>
      </c>
      <c r="T83" s="95">
        <f t="shared" si="6"/>
        <v>32</v>
      </c>
      <c r="U83" s="95">
        <f t="shared" si="2"/>
        <v>0</v>
      </c>
      <c r="V83" s="95">
        <f t="shared" si="0"/>
        <v>0</v>
      </c>
      <c r="W83" s="96">
        <f t="shared" si="3"/>
        <v>29.59349593495935</v>
      </c>
      <c r="X83" s="96">
        <f>V83/[1]Manure!$I$2</f>
        <v>0</v>
      </c>
      <c r="Y83" s="96">
        <f>W83/[1]Manure!$I$2</f>
        <v>21.105229937786756</v>
      </c>
      <c r="Z83" s="96"/>
      <c r="AA83" s="96"/>
      <c r="AB83" s="95"/>
      <c r="AC83" s="11"/>
    </row>
    <row r="84" spans="1:29" ht="15.75" thickBot="1" x14ac:dyDescent="0.3">
      <c r="A84" s="97">
        <v>45422</v>
      </c>
      <c r="B84" s="92">
        <v>0.41666666666666702</v>
      </c>
      <c r="C84" s="92"/>
      <c r="D84" s="91"/>
      <c r="E84" s="91" t="s">
        <v>60</v>
      </c>
      <c r="F84" s="91">
        <v>20</v>
      </c>
      <c r="G84" s="93">
        <v>242859</v>
      </c>
      <c r="H84" s="93">
        <v>20.2</v>
      </c>
      <c r="I84" s="93"/>
      <c r="J84" s="103"/>
      <c r="K84" s="107"/>
      <c r="L84" s="107"/>
      <c r="M84" s="107"/>
      <c r="N84" s="107"/>
      <c r="O84" s="103"/>
      <c r="P84" s="103"/>
      <c r="Q84" s="104"/>
      <c r="R84" s="103"/>
      <c r="S84" s="94">
        <f t="shared" si="5"/>
        <v>20.2</v>
      </c>
      <c r="T84" s="95">
        <f t="shared" si="6"/>
        <v>15</v>
      </c>
      <c r="U84" s="95">
        <f t="shared" si="2"/>
        <v>0</v>
      </c>
      <c r="V84" s="95">
        <f t="shared" si="0"/>
        <v>0</v>
      </c>
      <c r="W84" s="96">
        <f t="shared" si="3"/>
        <v>13.966575716234653</v>
      </c>
      <c r="X84" s="96">
        <f>V84/[1]Manure!$I$2</f>
        <v>0</v>
      </c>
      <c r="Y84" s="96">
        <f>W84/[1]Manure!$I$2</f>
        <v>9.960560002187048</v>
      </c>
      <c r="Z84" s="96"/>
      <c r="AA84" s="96"/>
      <c r="AB84" s="95"/>
      <c r="AC84" s="11"/>
    </row>
    <row r="85" spans="1:29" ht="15.75" thickBot="1" x14ac:dyDescent="0.3">
      <c r="A85" s="97">
        <v>45423</v>
      </c>
      <c r="B85" s="92">
        <v>0.41666666666666702</v>
      </c>
      <c r="C85" s="92"/>
      <c r="D85" s="91"/>
      <c r="E85" s="91" t="s">
        <v>60</v>
      </c>
      <c r="F85" s="91">
        <v>20</v>
      </c>
      <c r="G85" s="93">
        <v>242884</v>
      </c>
      <c r="H85" s="93">
        <v>25.8</v>
      </c>
      <c r="I85" s="93"/>
      <c r="J85" s="103"/>
      <c r="K85" s="107"/>
      <c r="L85" s="107"/>
      <c r="M85" s="107"/>
      <c r="N85" s="107"/>
      <c r="O85" s="103"/>
      <c r="P85" s="103"/>
      <c r="Q85" s="104"/>
      <c r="R85" s="103"/>
      <c r="S85" s="94">
        <f t="shared" si="5"/>
        <v>25.8</v>
      </c>
      <c r="T85" s="95">
        <f t="shared" si="6"/>
        <v>25</v>
      </c>
      <c r="U85" s="95">
        <f t="shared" si="2"/>
        <v>0</v>
      </c>
      <c r="V85" s="95">
        <f t="shared" si="0"/>
        <v>0</v>
      </c>
      <c r="W85" s="96">
        <f t="shared" si="3"/>
        <v>22.841365461847388</v>
      </c>
      <c r="X85" s="96">
        <f>V85/[1]Manure!$I$2</f>
        <v>0</v>
      </c>
      <c r="Y85" s="96">
        <f>W85/[1]Manure!$I$2</f>
        <v>16.289804733608001</v>
      </c>
      <c r="Z85" s="96"/>
      <c r="AA85" s="96"/>
      <c r="AB85" s="95"/>
      <c r="AC85" s="11"/>
    </row>
    <row r="86" spans="1:29" ht="15.75" thickBot="1" x14ac:dyDescent="0.3">
      <c r="A86" s="97">
        <v>45425</v>
      </c>
      <c r="B86" s="92">
        <v>0.41666666666666702</v>
      </c>
      <c r="C86" s="92"/>
      <c r="D86" s="91"/>
      <c r="E86" s="91" t="s">
        <v>60</v>
      </c>
      <c r="F86" s="91">
        <v>20</v>
      </c>
      <c r="G86" s="93">
        <v>242926</v>
      </c>
      <c r="H86" s="93">
        <v>24.7</v>
      </c>
      <c r="I86" s="93"/>
      <c r="J86" s="103"/>
      <c r="K86" s="107"/>
      <c r="L86" s="107"/>
      <c r="M86" s="107"/>
      <c r="N86" s="107"/>
      <c r="O86" s="103"/>
      <c r="P86" s="103"/>
      <c r="Q86" s="104"/>
      <c r="R86" s="103"/>
      <c r="S86" s="94">
        <f t="shared" si="5"/>
        <v>24.7</v>
      </c>
      <c r="T86" s="95">
        <f t="shared" si="6"/>
        <v>42</v>
      </c>
      <c r="U86" s="95">
        <f t="shared" si="2"/>
        <v>0</v>
      </c>
      <c r="V86" s="95">
        <f t="shared" si="0"/>
        <v>0</v>
      </c>
      <c r="W86" s="96">
        <f t="shared" si="3"/>
        <v>38.515283842794759</v>
      </c>
      <c r="X86" s="96">
        <f>V86/[1]Manure!$I$2</f>
        <v>0</v>
      </c>
      <c r="Y86" s="96">
        <f>W86/[1]Manure!$I$2</f>
        <v>27.467992406434256</v>
      </c>
      <c r="Z86" s="96"/>
      <c r="AA86" s="96"/>
      <c r="AB86" s="95"/>
      <c r="AC86" s="11"/>
    </row>
    <row r="87" spans="1:29" ht="15.75" thickBot="1" x14ac:dyDescent="0.3">
      <c r="A87" s="97">
        <v>45426</v>
      </c>
      <c r="B87" s="92">
        <v>0.41666666666666702</v>
      </c>
      <c r="C87" s="92"/>
      <c r="D87" s="91"/>
      <c r="E87" s="91" t="s">
        <v>60</v>
      </c>
      <c r="F87" s="91">
        <v>20</v>
      </c>
      <c r="G87" s="93">
        <v>242943</v>
      </c>
      <c r="H87" s="93">
        <v>25.6</v>
      </c>
      <c r="I87" s="93"/>
      <c r="J87" s="103"/>
      <c r="K87" s="107"/>
      <c r="L87" s="107"/>
      <c r="M87" s="107"/>
      <c r="N87" s="107"/>
      <c r="O87" s="103"/>
      <c r="P87" s="103"/>
      <c r="Q87" s="103"/>
      <c r="R87" s="103"/>
      <c r="S87" s="94">
        <f t="shared" si="5"/>
        <v>25.6</v>
      </c>
      <c r="T87" s="95">
        <f t="shared" si="6"/>
        <v>17</v>
      </c>
      <c r="U87" s="95">
        <f t="shared" si="2"/>
        <v>0</v>
      </c>
      <c r="V87" s="95">
        <f t="shared" si="0"/>
        <v>0</v>
      </c>
      <c r="W87" s="96">
        <f t="shared" si="3"/>
        <v>15.542531815137306</v>
      </c>
      <c r="X87" s="96">
        <f>V87/[1]Manure!$I$2</f>
        <v>0</v>
      </c>
      <c r="Y87" s="96">
        <f>W87/[1]Manure!$I$2</f>
        <v>11.084486553896207</v>
      </c>
      <c r="Z87" s="96"/>
      <c r="AA87" s="96"/>
      <c r="AB87" s="95"/>
      <c r="AC87" s="11"/>
    </row>
    <row r="88" spans="1:29" ht="15.75" thickBot="1" x14ac:dyDescent="0.3">
      <c r="A88" s="97">
        <v>45447</v>
      </c>
      <c r="B88" s="92">
        <v>0.41666666666666702</v>
      </c>
      <c r="C88" s="92"/>
      <c r="D88" s="91"/>
      <c r="E88" s="91" t="s">
        <v>60</v>
      </c>
      <c r="F88" s="91">
        <v>20</v>
      </c>
      <c r="G88" s="93">
        <v>242997</v>
      </c>
      <c r="H88" s="93">
        <v>25.7</v>
      </c>
      <c r="I88" s="93"/>
      <c r="J88" s="103"/>
      <c r="K88" s="107"/>
      <c r="L88" s="107"/>
      <c r="M88" s="107"/>
      <c r="N88" s="107"/>
      <c r="O88" s="103"/>
      <c r="P88" s="103"/>
      <c r="Q88" s="103"/>
      <c r="R88" s="103"/>
      <c r="S88" s="94">
        <f t="shared" si="5"/>
        <v>25.7</v>
      </c>
      <c r="T88" s="95">
        <f t="shared" si="6"/>
        <v>54</v>
      </c>
      <c r="U88" s="95">
        <f t="shared" si="2"/>
        <v>0</v>
      </c>
      <c r="V88" s="95">
        <f t="shared" si="0"/>
        <v>0</v>
      </c>
      <c r="W88" s="96">
        <f t="shared" si="3"/>
        <v>49.35386675594242</v>
      </c>
      <c r="X88" s="96">
        <f>V88/[1]Manure!$I$2</f>
        <v>0</v>
      </c>
      <c r="Y88" s="96">
        <f>W88/[1]Manure!$I$2</f>
        <v>35.197757929388928</v>
      </c>
      <c r="Z88" s="96"/>
      <c r="AA88" s="96"/>
      <c r="AB88" s="95"/>
      <c r="AC88" s="11"/>
    </row>
    <row r="89" spans="1:29" ht="15.75" thickBot="1" x14ac:dyDescent="0.3">
      <c r="A89" s="97">
        <v>45448</v>
      </c>
      <c r="B89" s="92">
        <v>0.41666666666666702</v>
      </c>
      <c r="C89" s="92"/>
      <c r="D89" s="91"/>
      <c r="E89" s="91" t="s">
        <v>60</v>
      </c>
      <c r="F89" s="91">
        <v>20</v>
      </c>
      <c r="G89" s="93">
        <v>243116</v>
      </c>
      <c r="H89" s="93">
        <v>22.4</v>
      </c>
      <c r="I89" s="93"/>
      <c r="J89" s="103"/>
      <c r="K89" s="107"/>
      <c r="L89" s="107"/>
      <c r="M89" s="107"/>
      <c r="N89" s="107"/>
      <c r="O89" s="103"/>
      <c r="P89" s="103"/>
      <c r="Q89" s="103"/>
      <c r="R89" s="103"/>
      <c r="S89" s="94">
        <f t="shared" si="5"/>
        <v>22.4</v>
      </c>
      <c r="T89" s="95">
        <f t="shared" si="6"/>
        <v>119</v>
      </c>
      <c r="U89" s="95">
        <f t="shared" si="2"/>
        <v>0</v>
      </c>
      <c r="V89" s="95">
        <f t="shared" si="0"/>
        <v>0</v>
      </c>
      <c r="W89" s="96">
        <f t="shared" si="3"/>
        <v>109.97630331753555</v>
      </c>
      <c r="X89" s="96">
        <f>V89/[1]Manure!$I$2</f>
        <v>0</v>
      </c>
      <c r="Y89" s="96">
        <f>W89/[1]Manure!$I$2</f>
        <v>78.431935663350899</v>
      </c>
      <c r="Z89" s="96"/>
      <c r="AA89" s="96"/>
      <c r="AB89" s="95"/>
      <c r="AC89" s="11"/>
    </row>
    <row r="90" spans="1:29" ht="15.75" thickBot="1" x14ac:dyDescent="0.3">
      <c r="A90" s="97">
        <v>45449</v>
      </c>
      <c r="B90" s="92">
        <v>0.41666666666666702</v>
      </c>
      <c r="C90" s="92"/>
      <c r="D90" s="91"/>
      <c r="E90" s="91" t="s">
        <v>60</v>
      </c>
      <c r="F90" s="91">
        <v>20</v>
      </c>
      <c r="G90" s="93">
        <v>243313</v>
      </c>
      <c r="H90" s="93">
        <v>19.7</v>
      </c>
      <c r="I90" s="93"/>
      <c r="J90" s="103"/>
      <c r="K90" s="107"/>
      <c r="L90" s="107"/>
      <c r="M90" s="107"/>
      <c r="N90" s="107"/>
      <c r="O90" s="103"/>
      <c r="P90" s="103"/>
      <c r="Q90" s="103"/>
      <c r="R90" s="103"/>
      <c r="S90" s="94">
        <f t="shared" si="5"/>
        <v>19.7</v>
      </c>
      <c r="T90" s="95">
        <f t="shared" si="6"/>
        <v>197</v>
      </c>
      <c r="U90" s="95">
        <f t="shared" si="2"/>
        <v>0</v>
      </c>
      <c r="V90" s="95">
        <f t="shared" si="0"/>
        <v>0</v>
      </c>
      <c r="W90" s="96">
        <f t="shared" si="3"/>
        <v>183.74103177314657</v>
      </c>
      <c r="X90" s="96">
        <f>V90/[1]Manure!$I$2</f>
        <v>0</v>
      </c>
      <c r="Y90" s="96">
        <f>W90/[1]Manure!$I$2</f>
        <v>131.03881789097477</v>
      </c>
      <c r="Z90" s="96"/>
      <c r="AA90" s="96"/>
      <c r="AB90" s="95"/>
      <c r="AC90" s="11"/>
    </row>
    <row r="91" spans="1:29" ht="15.75" thickBot="1" x14ac:dyDescent="0.3">
      <c r="A91" s="97">
        <v>45450</v>
      </c>
      <c r="B91" s="92">
        <v>0.41666666666666702</v>
      </c>
      <c r="C91" s="92"/>
      <c r="D91" s="91"/>
      <c r="E91" s="91" t="s">
        <v>60</v>
      </c>
      <c r="F91" s="91">
        <v>20</v>
      </c>
      <c r="G91" s="93">
        <v>243568</v>
      </c>
      <c r="H91" s="93">
        <v>22.8</v>
      </c>
      <c r="I91" s="93"/>
      <c r="J91" s="103"/>
      <c r="K91" s="107"/>
      <c r="L91" s="107"/>
      <c r="M91" s="107"/>
      <c r="N91" s="107"/>
      <c r="O91" s="103"/>
      <c r="P91" s="103"/>
      <c r="Q91" s="103"/>
      <c r="R91" s="103"/>
      <c r="S91" s="94">
        <f t="shared" si="5"/>
        <v>22.8</v>
      </c>
      <c r="T91" s="95">
        <f t="shared" si="6"/>
        <v>255</v>
      </c>
      <c r="U91" s="95">
        <f t="shared" si="2"/>
        <v>0</v>
      </c>
      <c r="V91" s="95">
        <f t="shared" si="0"/>
        <v>0</v>
      </c>
      <c r="W91" s="96">
        <f t="shared" si="3"/>
        <v>235.34482758620689</v>
      </c>
      <c r="X91" s="96">
        <f>V91/[1]Manure!$I$2</f>
        <v>0</v>
      </c>
      <c r="Y91" s="96">
        <f>W91/[1]Manure!$I$2</f>
        <v>167.8411604966231</v>
      </c>
      <c r="Z91" s="96"/>
      <c r="AA91" s="96"/>
      <c r="AB91" s="95"/>
      <c r="AC91" s="11"/>
    </row>
    <row r="92" spans="1:29" ht="15.75" thickBot="1" x14ac:dyDescent="0.3">
      <c r="A92" s="97">
        <v>45451</v>
      </c>
      <c r="B92" s="92">
        <v>0.41666666666666702</v>
      </c>
      <c r="C92" s="92"/>
      <c r="D92" s="91"/>
      <c r="E92" s="91" t="s">
        <v>60</v>
      </c>
      <c r="F92" s="91">
        <v>20</v>
      </c>
      <c r="G92" s="93">
        <v>243844</v>
      </c>
      <c r="H92" s="93">
        <v>20.3</v>
      </c>
      <c r="I92" s="93"/>
      <c r="J92" s="103"/>
      <c r="K92" s="107"/>
      <c r="L92" s="107"/>
      <c r="M92" s="107"/>
      <c r="N92" s="107"/>
      <c r="O92" s="103"/>
      <c r="P92" s="103"/>
      <c r="Q92" s="103"/>
      <c r="R92" s="103"/>
      <c r="S92" s="94">
        <f t="shared" si="5"/>
        <v>20.3</v>
      </c>
      <c r="T92" s="95">
        <f t="shared" si="6"/>
        <v>276</v>
      </c>
      <c r="U92" s="95">
        <f t="shared" si="2"/>
        <v>0</v>
      </c>
      <c r="V92" s="95">
        <f t="shared" si="0"/>
        <v>0</v>
      </c>
      <c r="W92" s="96">
        <f t="shared" si="3"/>
        <v>256.89737470167063</v>
      </c>
      <c r="X92" s="96">
        <f>V92/[1]Manure!$I$2</f>
        <v>0</v>
      </c>
      <c r="Y92" s="96">
        <f>W92/[1]Manure!$I$2</f>
        <v>183.21181706307144</v>
      </c>
      <c r="Z92" s="96"/>
      <c r="AA92" s="96"/>
      <c r="AB92" s="95"/>
      <c r="AC92" s="11"/>
    </row>
    <row r="93" spans="1:29" ht="15.75" thickBot="1" x14ac:dyDescent="0.3">
      <c r="A93" s="97">
        <v>45453</v>
      </c>
      <c r="B93" s="92">
        <v>0.41666666666666702</v>
      </c>
      <c r="C93" s="92"/>
      <c r="D93" s="91"/>
      <c r="E93" s="91" t="s">
        <v>60</v>
      </c>
      <c r="F93" s="91">
        <v>20</v>
      </c>
      <c r="G93" s="93">
        <v>244390</v>
      </c>
      <c r="H93" s="93">
        <v>22.2</v>
      </c>
      <c r="I93" s="93"/>
      <c r="J93" s="103"/>
      <c r="K93" s="107"/>
      <c r="L93" s="107"/>
      <c r="M93" s="107"/>
      <c r="N93" s="107"/>
      <c r="O93" s="103"/>
      <c r="P93" s="103"/>
      <c r="Q93" s="103"/>
      <c r="R93" s="103"/>
      <c r="S93" s="94">
        <f t="shared" si="5"/>
        <v>22.2</v>
      </c>
      <c r="T93" s="95">
        <f t="shared" si="6"/>
        <v>546</v>
      </c>
      <c r="U93" s="95">
        <f t="shared" si="2"/>
        <v>0</v>
      </c>
      <c r="V93" s="95">
        <f t="shared" si="0"/>
        <v>0</v>
      </c>
      <c r="W93" s="96">
        <f t="shared" si="3"/>
        <v>504.9390243902439</v>
      </c>
      <c r="X93" s="96">
        <f>V93/[1]Manure!$I$2</f>
        <v>0</v>
      </c>
      <c r="Y93" s="96">
        <f>W93/[1]Manure!$I$2</f>
        <v>360.10798581348649</v>
      </c>
      <c r="Z93" s="96"/>
      <c r="AA93" s="96"/>
      <c r="AB93" s="95"/>
      <c r="AC93" s="11"/>
    </row>
    <row r="94" spans="1:29" ht="15.75" thickBot="1" x14ac:dyDescent="0.3">
      <c r="A94" s="97">
        <v>45454</v>
      </c>
      <c r="B94" s="92">
        <v>0.41666666666666702</v>
      </c>
      <c r="C94" s="92"/>
      <c r="D94" s="91"/>
      <c r="E94" s="91" t="s">
        <v>60</v>
      </c>
      <c r="F94" s="91">
        <v>20</v>
      </c>
      <c r="G94" s="93">
        <v>244591</v>
      </c>
      <c r="H94" s="93">
        <v>21.8</v>
      </c>
      <c r="I94" s="93"/>
      <c r="J94" s="103"/>
      <c r="K94" s="107"/>
      <c r="L94" s="107"/>
      <c r="M94" s="107"/>
      <c r="N94" s="107"/>
      <c r="O94" s="103"/>
      <c r="P94" s="103"/>
      <c r="Q94" s="103"/>
      <c r="R94" s="103"/>
      <c r="S94" s="94">
        <f t="shared" si="5"/>
        <v>21.8</v>
      </c>
      <c r="T94" s="95">
        <f t="shared" si="6"/>
        <v>201</v>
      </c>
      <c r="U94" s="95">
        <f t="shared" si="2"/>
        <v>0</v>
      </c>
      <c r="V94" s="95">
        <f t="shared" si="0"/>
        <v>0</v>
      </c>
      <c r="W94" s="96">
        <f t="shared" si="3"/>
        <v>186.13636363636363</v>
      </c>
      <c r="X94" s="96">
        <f>V94/[1]Manure!$I$2</f>
        <v>0</v>
      </c>
      <c r="Y94" s="96">
        <f>W94/[1]Manure!$I$2</f>
        <v>132.747099665511</v>
      </c>
      <c r="Z94" s="96"/>
      <c r="AA94" s="96"/>
      <c r="AB94" s="95"/>
      <c r="AC94" s="11"/>
    </row>
    <row r="95" spans="1:29" ht="15.75" thickBot="1" x14ac:dyDescent="0.3">
      <c r="A95" s="97">
        <v>45455</v>
      </c>
      <c r="B95" s="92">
        <v>0.41666666666666702</v>
      </c>
      <c r="C95" s="92"/>
      <c r="D95" s="91"/>
      <c r="E95" s="91" t="s">
        <v>60</v>
      </c>
      <c r="F95" s="91">
        <v>20</v>
      </c>
      <c r="G95" s="93">
        <v>244778</v>
      </c>
      <c r="H95" s="93">
        <v>23.1</v>
      </c>
      <c r="I95" s="93"/>
      <c r="J95" s="103"/>
      <c r="K95" s="107"/>
      <c r="L95" s="107"/>
      <c r="M95" s="107"/>
      <c r="N95" s="107"/>
      <c r="O95" s="103"/>
      <c r="P95" s="103"/>
      <c r="Q95" s="103"/>
      <c r="R95" s="103"/>
      <c r="S95" s="94">
        <f t="shared" si="5"/>
        <v>23.1</v>
      </c>
      <c r="T95" s="95">
        <f t="shared" si="6"/>
        <v>187</v>
      </c>
      <c r="U95" s="95">
        <f t="shared" si="2"/>
        <v>0</v>
      </c>
      <c r="V95" s="95">
        <f t="shared" si="0"/>
        <v>0</v>
      </c>
      <c r="W95" s="96">
        <f t="shared" si="3"/>
        <v>172.41134751773046</v>
      </c>
      <c r="X95" s="96">
        <f>V95/[1]Manure!$I$2</f>
        <v>0</v>
      </c>
      <c r="Y95" s="96">
        <f>W95/[1]Manure!$I$2</f>
        <v>122.95881301900533</v>
      </c>
      <c r="Z95" s="96"/>
      <c r="AA95" s="96"/>
      <c r="AB95" s="95"/>
      <c r="AC95" s="11"/>
    </row>
    <row r="96" spans="1:29" ht="15.75" thickBot="1" x14ac:dyDescent="0.3">
      <c r="A96" s="97">
        <v>45456</v>
      </c>
      <c r="B96" s="92">
        <v>0.41666666666666702</v>
      </c>
      <c r="C96" s="92"/>
      <c r="D96" s="91"/>
      <c r="E96" s="91" t="s">
        <v>60</v>
      </c>
      <c r="F96" s="91">
        <v>20</v>
      </c>
      <c r="G96" s="93">
        <v>245082</v>
      </c>
      <c r="H96" s="93">
        <v>22.4</v>
      </c>
      <c r="I96" s="93"/>
      <c r="J96" s="103"/>
      <c r="K96" s="107"/>
      <c r="L96" s="107"/>
      <c r="M96" s="107"/>
      <c r="N96" s="107"/>
      <c r="O96" s="103"/>
      <c r="P96" s="103"/>
      <c r="Q96" s="103"/>
      <c r="R96" s="103"/>
      <c r="S96" s="94">
        <f t="shared" si="5"/>
        <v>22.4</v>
      </c>
      <c r="T96" s="95">
        <f t="shared" si="6"/>
        <v>304</v>
      </c>
      <c r="U96" s="95">
        <f t="shared" si="2"/>
        <v>0</v>
      </c>
      <c r="V96" s="95">
        <f t="shared" si="0"/>
        <v>0</v>
      </c>
      <c r="W96" s="96">
        <f t="shared" si="3"/>
        <v>280.94786729857822</v>
      </c>
      <c r="X96" s="96">
        <f>V96/[1]Manure!$I$2</f>
        <v>0</v>
      </c>
      <c r="Y96" s="96">
        <f>W96/[1]Manure!$I$2</f>
        <v>200.36393648452668</v>
      </c>
      <c r="Z96" s="96"/>
      <c r="AA96" s="96"/>
      <c r="AB96" s="95"/>
      <c r="AC96" s="11"/>
    </row>
    <row r="97" spans="1:29" ht="15.75" thickBot="1" x14ac:dyDescent="0.3">
      <c r="A97" s="97">
        <v>45457</v>
      </c>
      <c r="B97" s="92">
        <v>0.41666666666666702</v>
      </c>
      <c r="C97" s="92"/>
      <c r="D97" s="91"/>
      <c r="E97" s="91" t="s">
        <v>60</v>
      </c>
      <c r="F97" s="91">
        <v>20</v>
      </c>
      <c r="G97" s="93">
        <v>245324</v>
      </c>
      <c r="H97" s="93">
        <v>29.8</v>
      </c>
      <c r="I97" s="93"/>
      <c r="J97" s="103"/>
      <c r="K97" s="107"/>
      <c r="L97" s="107"/>
      <c r="M97" s="107"/>
      <c r="N97" s="107"/>
      <c r="O97" s="103"/>
      <c r="P97" s="103"/>
      <c r="Q97" s="103"/>
      <c r="R97" s="103"/>
      <c r="S97" s="94">
        <f t="shared" si="5"/>
        <v>29.8</v>
      </c>
      <c r="T97" s="95">
        <f t="shared" si="6"/>
        <v>242</v>
      </c>
      <c r="U97" s="95">
        <f t="shared" si="2"/>
        <v>0</v>
      </c>
      <c r="V97" s="95">
        <f t="shared" si="0"/>
        <v>0</v>
      </c>
      <c r="W97" s="96">
        <f t="shared" si="3"/>
        <v>218.18361955085865</v>
      </c>
      <c r="X97" s="96">
        <f>V97/[1]Manure!$I$2</f>
        <v>0</v>
      </c>
      <c r="Y97" s="96">
        <f>W97/[1]Manure!$I$2</f>
        <v>155.60228062949815</v>
      </c>
      <c r="Z97" s="96"/>
      <c r="AA97" s="96"/>
      <c r="AB97" s="95"/>
      <c r="AC97" s="11"/>
    </row>
    <row r="98" spans="1:29" ht="15.75" thickBot="1" x14ac:dyDescent="0.3">
      <c r="A98" s="97">
        <v>45458</v>
      </c>
      <c r="B98" s="92">
        <v>0.41666666666666702</v>
      </c>
      <c r="C98" s="92"/>
      <c r="D98" s="91"/>
      <c r="E98" s="91" t="s">
        <v>60</v>
      </c>
      <c r="F98" s="91">
        <v>20</v>
      </c>
      <c r="G98" s="93">
        <v>245422</v>
      </c>
      <c r="H98" s="93">
        <v>24.5</v>
      </c>
      <c r="I98" s="93"/>
      <c r="J98" s="103"/>
      <c r="K98" s="107"/>
      <c r="L98" s="107"/>
      <c r="M98" s="107"/>
      <c r="N98" s="107"/>
      <c r="O98" s="103"/>
      <c r="P98" s="103"/>
      <c r="Q98" s="103"/>
      <c r="R98" s="103"/>
      <c r="S98" s="94">
        <f t="shared" si="5"/>
        <v>24.5</v>
      </c>
      <c r="T98" s="95">
        <f t="shared" si="6"/>
        <v>98</v>
      </c>
      <c r="U98" s="95">
        <f t="shared" si="2"/>
        <v>0</v>
      </c>
      <c r="V98" s="95">
        <f t="shared" si="0"/>
        <v>0</v>
      </c>
      <c r="W98" s="96">
        <f t="shared" si="3"/>
        <v>89.929411764705875</v>
      </c>
      <c r="X98" s="96">
        <f>V98/[1]Manure!$I$2</f>
        <v>0</v>
      </c>
      <c r="Y98" s="96">
        <f>W98/[1]Manure!$I$2</f>
        <v>64.135069328591982</v>
      </c>
      <c r="Z98" s="96"/>
      <c r="AA98" s="96"/>
      <c r="AB98" s="95"/>
      <c r="AC98" s="11"/>
    </row>
    <row r="99" spans="1:29" ht="15.75" thickBot="1" x14ac:dyDescent="0.3">
      <c r="A99" s="97">
        <v>45460</v>
      </c>
      <c r="B99" s="92">
        <v>0.41666666666666702</v>
      </c>
      <c r="C99" s="92"/>
      <c r="D99" s="91"/>
      <c r="E99" s="91" t="s">
        <v>60</v>
      </c>
      <c r="F99" s="91">
        <v>20</v>
      </c>
      <c r="G99" s="93">
        <v>245434</v>
      </c>
      <c r="H99" s="93">
        <v>22.6</v>
      </c>
      <c r="I99" s="93"/>
      <c r="J99" s="103"/>
      <c r="K99" s="107"/>
      <c r="L99" s="107"/>
      <c r="M99" s="107"/>
      <c r="N99" s="107"/>
      <c r="O99" s="103"/>
      <c r="P99" s="103"/>
      <c r="Q99" s="103"/>
      <c r="R99" s="103"/>
      <c r="S99" s="94">
        <f t="shared" si="5"/>
        <v>22.6</v>
      </c>
      <c r="T99" s="95">
        <f t="shared" si="6"/>
        <v>12</v>
      </c>
      <c r="U99" s="95">
        <f t="shared" si="2"/>
        <v>0</v>
      </c>
      <c r="V99" s="95">
        <f t="shared" si="0"/>
        <v>0</v>
      </c>
      <c r="W99" s="96">
        <f t="shared" si="3"/>
        <v>11.08254397834912</v>
      </c>
      <c r="X99" s="96">
        <f>V99/[1]Manure!$I$2</f>
        <v>0</v>
      </c>
      <c r="Y99" s="96">
        <f>W99/[1]Manure!$I$2</f>
        <v>7.9037515362415212</v>
      </c>
      <c r="Z99" s="96"/>
      <c r="AA99" s="96"/>
      <c r="AB99" s="95"/>
      <c r="AC99" s="11"/>
    </row>
    <row r="100" spans="1:29" ht="15.75" thickBot="1" x14ac:dyDescent="0.3">
      <c r="A100" s="97">
        <v>45461</v>
      </c>
      <c r="B100" s="92">
        <v>0.41666666666666702</v>
      </c>
      <c r="C100" s="92"/>
      <c r="D100" s="91"/>
      <c r="E100" s="91" t="s">
        <v>60</v>
      </c>
      <c r="F100" s="91">
        <v>20</v>
      </c>
      <c r="G100" s="93">
        <v>245473</v>
      </c>
      <c r="H100" s="93">
        <v>23</v>
      </c>
      <c r="I100" s="93"/>
      <c r="J100" s="103"/>
      <c r="K100" s="107"/>
      <c r="L100" s="107"/>
      <c r="M100" s="107"/>
      <c r="N100" s="107"/>
      <c r="O100" s="103"/>
      <c r="P100" s="103"/>
      <c r="Q100" s="103"/>
      <c r="R100" s="103"/>
      <c r="S100" s="94">
        <f t="shared" si="5"/>
        <v>23</v>
      </c>
      <c r="T100" s="95">
        <f t="shared" si="6"/>
        <v>39</v>
      </c>
      <c r="U100" s="95">
        <f t="shared" si="2"/>
        <v>0</v>
      </c>
      <c r="V100" s="95">
        <f t="shared" si="0"/>
        <v>0</v>
      </c>
      <c r="W100" s="96">
        <f t="shared" si="3"/>
        <v>35.969594594594597</v>
      </c>
      <c r="X100" s="96">
        <f>V100/[1]Manure!$I$2</f>
        <v>0</v>
      </c>
      <c r="Y100" s="96">
        <f>W100/[1]Manure!$I$2</f>
        <v>25.652480070497401</v>
      </c>
      <c r="Z100" s="96"/>
      <c r="AA100" s="96"/>
      <c r="AB100" s="95"/>
      <c r="AC100" s="11"/>
    </row>
    <row r="101" spans="1:29" ht="15.75" thickBot="1" x14ac:dyDescent="0.3">
      <c r="A101" s="97">
        <v>45462</v>
      </c>
      <c r="B101" s="92">
        <v>0.41666666666666702</v>
      </c>
      <c r="C101" s="92"/>
      <c r="D101" s="91"/>
      <c r="E101" s="91" t="s">
        <v>60</v>
      </c>
      <c r="F101" s="91">
        <v>20</v>
      </c>
      <c r="G101" s="93">
        <v>245502</v>
      </c>
      <c r="H101" s="93">
        <v>21</v>
      </c>
      <c r="I101" s="93"/>
      <c r="J101" s="103"/>
      <c r="K101" s="107"/>
      <c r="L101" s="107"/>
      <c r="M101" s="107"/>
      <c r="N101" s="107"/>
      <c r="O101" s="103"/>
      <c r="P101" s="103"/>
      <c r="Q101" s="103"/>
      <c r="R101" s="103"/>
      <c r="S101" s="94">
        <f t="shared" si="5"/>
        <v>21</v>
      </c>
      <c r="T101" s="95">
        <f t="shared" si="6"/>
        <v>29</v>
      </c>
      <c r="U101" s="95">
        <f t="shared" ref="U101:U164" si="7">T101*(P101/100)</f>
        <v>0</v>
      </c>
      <c r="V101" s="95">
        <f t="shared" si="0"/>
        <v>0</v>
      </c>
      <c r="W101" s="96">
        <f t="shared" si="3"/>
        <v>26.928571428571431</v>
      </c>
      <c r="X101" s="96">
        <f>V101/[1]Manure!$I$2</f>
        <v>0</v>
      </c>
      <c r="Y101" s="96">
        <f>W101/[1]Manure!$I$2</f>
        <v>19.204682445940144</v>
      </c>
      <c r="Z101" s="96"/>
      <c r="AA101" s="96"/>
      <c r="AB101" s="95"/>
      <c r="AC101" s="11"/>
    </row>
    <row r="102" spans="1:29" ht="15.75" thickBot="1" x14ac:dyDescent="0.3">
      <c r="A102" s="97">
        <v>45463</v>
      </c>
      <c r="B102" s="92">
        <v>0.41666666666666702</v>
      </c>
      <c r="C102" s="92"/>
      <c r="D102" s="91"/>
      <c r="E102" s="91" t="s">
        <v>60</v>
      </c>
      <c r="F102" s="91">
        <v>20</v>
      </c>
      <c r="G102" s="93">
        <v>245581</v>
      </c>
      <c r="H102" s="93">
        <v>18.600000000000001</v>
      </c>
      <c r="I102" s="93"/>
      <c r="J102" s="103"/>
      <c r="K102" s="107"/>
      <c r="L102" s="107"/>
      <c r="M102" s="107"/>
      <c r="N102" s="107"/>
      <c r="O102" s="103"/>
      <c r="P102" s="103"/>
      <c r="Q102" s="103"/>
      <c r="R102" s="103"/>
      <c r="S102" s="94">
        <f t="shared" si="5"/>
        <v>18.600000000000001</v>
      </c>
      <c r="T102" s="95">
        <f t="shared" si="6"/>
        <v>79</v>
      </c>
      <c r="U102" s="95">
        <f t="shared" si="7"/>
        <v>0</v>
      </c>
      <c r="V102" s="95">
        <f t="shared" si="0"/>
        <v>0</v>
      </c>
      <c r="W102" s="96">
        <f t="shared" si="3"/>
        <v>73.960905349794231</v>
      </c>
      <c r="X102" s="96">
        <f>V102/[1]Manure!$I$2</f>
        <v>0</v>
      </c>
      <c r="Y102" s="96">
        <f>W102/[1]Manure!$I$2</f>
        <v>52.746789944823533</v>
      </c>
      <c r="Z102" s="96"/>
      <c r="AA102" s="96"/>
      <c r="AB102" s="95"/>
      <c r="AC102" s="11"/>
    </row>
    <row r="103" spans="1:29" ht="15.75" thickBot="1" x14ac:dyDescent="0.3">
      <c r="A103" s="97">
        <v>45464</v>
      </c>
      <c r="B103" s="92">
        <v>0.41666666666666702</v>
      </c>
      <c r="C103" s="92"/>
      <c r="D103" s="91"/>
      <c r="E103" s="91" t="s">
        <v>60</v>
      </c>
      <c r="F103" s="91">
        <v>20</v>
      </c>
      <c r="G103" s="93">
        <v>245694</v>
      </c>
      <c r="H103" s="93">
        <v>20.5</v>
      </c>
      <c r="I103" s="93"/>
      <c r="J103" s="103"/>
      <c r="K103" s="107"/>
      <c r="L103" s="107"/>
      <c r="M103" s="107"/>
      <c r="N103" s="107"/>
      <c r="O103" s="103"/>
      <c r="P103" s="103"/>
      <c r="Q103" s="103"/>
      <c r="R103" s="103"/>
      <c r="S103" s="94">
        <f t="shared" si="5"/>
        <v>20.5</v>
      </c>
      <c r="T103" s="95">
        <f t="shared" si="6"/>
        <v>113</v>
      </c>
      <c r="U103" s="95">
        <f t="shared" si="7"/>
        <v>0</v>
      </c>
      <c r="V103" s="95">
        <f t="shared" si="0"/>
        <v>0</v>
      </c>
      <c r="W103" s="96">
        <f t="shared" si="3"/>
        <v>105.10732538330494</v>
      </c>
      <c r="X103" s="96">
        <f>V103/[1]Manure!$I$2</f>
        <v>0</v>
      </c>
      <c r="Y103" s="96">
        <f>W103/[1]Manure!$I$2</f>
        <v>74.959520674266983</v>
      </c>
      <c r="Z103" s="96"/>
      <c r="AA103" s="96"/>
      <c r="AB103" s="95"/>
      <c r="AC103" s="11"/>
    </row>
    <row r="104" spans="1:29" ht="15.75" thickBot="1" x14ac:dyDescent="0.3">
      <c r="A104" s="97">
        <v>45465</v>
      </c>
      <c r="B104" s="92">
        <v>0.41666666666666702</v>
      </c>
      <c r="C104" s="92"/>
      <c r="D104" s="91"/>
      <c r="E104" s="91" t="s">
        <v>60</v>
      </c>
      <c r="F104" s="91">
        <v>20</v>
      </c>
      <c r="G104" s="93">
        <v>245814</v>
      </c>
      <c r="H104" s="93">
        <v>19.7</v>
      </c>
      <c r="I104" s="93"/>
      <c r="J104" s="103"/>
      <c r="K104" s="107"/>
      <c r="L104" s="107"/>
      <c r="M104" s="107"/>
      <c r="N104" s="107"/>
      <c r="O104" s="103"/>
      <c r="P104" s="103"/>
      <c r="Q104" s="103"/>
      <c r="R104" s="103"/>
      <c r="S104" s="94">
        <f t="shared" si="5"/>
        <v>19.7</v>
      </c>
      <c r="T104" s="95">
        <f t="shared" si="6"/>
        <v>120</v>
      </c>
      <c r="U104" s="95">
        <f t="shared" si="7"/>
        <v>0</v>
      </c>
      <c r="V104" s="95">
        <f t="shared" si="0"/>
        <v>0</v>
      </c>
      <c r="W104" s="96">
        <f t="shared" si="3"/>
        <v>111.92347113085071</v>
      </c>
      <c r="X104" s="96">
        <f>V104/[1]Manure!$I$2</f>
        <v>0</v>
      </c>
      <c r="Y104" s="96">
        <f>W104/[1]Manure!$I$2</f>
        <v>79.820599730543023</v>
      </c>
      <c r="Z104" s="96"/>
      <c r="AA104" s="96"/>
      <c r="AB104" s="95"/>
      <c r="AC104" s="11"/>
    </row>
    <row r="105" spans="1:29" ht="15.75" thickBot="1" x14ac:dyDescent="0.3">
      <c r="A105" s="97">
        <v>45467</v>
      </c>
      <c r="B105" s="92">
        <v>0.41666666666666702</v>
      </c>
      <c r="C105" s="93"/>
      <c r="D105" s="91"/>
      <c r="E105" s="91" t="s">
        <v>60</v>
      </c>
      <c r="F105" s="91">
        <v>20</v>
      </c>
      <c r="G105" s="93">
        <v>245890</v>
      </c>
      <c r="H105" s="93">
        <v>18.399999999999999</v>
      </c>
      <c r="I105" s="93"/>
      <c r="J105" s="103"/>
      <c r="K105" s="107"/>
      <c r="L105" s="107"/>
      <c r="M105" s="107"/>
      <c r="N105" s="107"/>
      <c r="O105" s="103"/>
      <c r="P105" s="103"/>
      <c r="Q105" s="103"/>
      <c r="R105" s="103"/>
      <c r="S105" s="94">
        <f t="shared" si="5"/>
        <v>18.399999999999999</v>
      </c>
      <c r="T105" s="95">
        <f t="shared" si="6"/>
        <v>76</v>
      </c>
      <c r="U105" s="95">
        <f t="shared" si="7"/>
        <v>0</v>
      </c>
      <c r="V105" s="95">
        <f t="shared" si="0"/>
        <v>0</v>
      </c>
      <c r="W105" s="96">
        <f t="shared" si="3"/>
        <v>71.201098146877158</v>
      </c>
      <c r="X105" s="96">
        <f>V105/[1]Manure!$I$2</f>
        <v>0</v>
      </c>
      <c r="Y105" s="96">
        <f>W105/[1]Manure!$I$2</f>
        <v>50.77857484345332</v>
      </c>
      <c r="Z105" s="96"/>
      <c r="AA105" s="96"/>
      <c r="AB105" s="95"/>
      <c r="AC105" s="11"/>
    </row>
    <row r="106" spans="1:29" ht="15.75" thickBot="1" x14ac:dyDescent="0.3">
      <c r="A106" s="97">
        <v>45468</v>
      </c>
      <c r="B106" s="92">
        <v>0.41666666666666702</v>
      </c>
      <c r="C106" s="92"/>
      <c r="D106" s="91"/>
      <c r="E106" s="91" t="s">
        <v>60</v>
      </c>
      <c r="F106" s="91">
        <v>20</v>
      </c>
      <c r="G106" s="93">
        <v>245938</v>
      </c>
      <c r="H106" s="93">
        <v>22.8</v>
      </c>
      <c r="I106" s="93"/>
      <c r="J106" s="103"/>
      <c r="K106" s="107"/>
      <c r="L106" s="107"/>
      <c r="M106" s="107"/>
      <c r="N106" s="107"/>
      <c r="O106" s="103"/>
      <c r="P106" s="103"/>
      <c r="Q106" s="103"/>
      <c r="R106" s="103"/>
      <c r="S106" s="94">
        <f t="shared" si="5"/>
        <v>22.8</v>
      </c>
      <c r="T106" s="95">
        <f t="shared" si="6"/>
        <v>48</v>
      </c>
      <c r="U106" s="95">
        <f t="shared" si="7"/>
        <v>0</v>
      </c>
      <c r="V106" s="95">
        <f t="shared" si="0"/>
        <v>0</v>
      </c>
      <c r="W106" s="96">
        <f t="shared" si="3"/>
        <v>44.300202839756587</v>
      </c>
      <c r="X106" s="96">
        <f>V106/[1]Manure!$I$2</f>
        <v>0</v>
      </c>
      <c r="Y106" s="96">
        <f>W106/[1]Manure!$I$2</f>
        <v>31.593630211129053</v>
      </c>
      <c r="Z106" s="96"/>
      <c r="AA106" s="96"/>
      <c r="AB106" s="95"/>
      <c r="AC106" s="11"/>
    </row>
    <row r="107" spans="1:29" ht="15.75" thickBot="1" x14ac:dyDescent="0.3">
      <c r="A107" s="97">
        <v>45469</v>
      </c>
      <c r="B107" s="92">
        <v>0.41666666666666702</v>
      </c>
      <c r="C107" s="92"/>
      <c r="D107" s="91"/>
      <c r="E107" s="91" t="s">
        <v>60</v>
      </c>
      <c r="F107" s="91">
        <v>20</v>
      </c>
      <c r="G107" s="93">
        <v>245958</v>
      </c>
      <c r="H107" s="93">
        <v>22.5</v>
      </c>
      <c r="I107" s="93"/>
      <c r="J107" s="103"/>
      <c r="K107" s="107"/>
      <c r="L107" s="107"/>
      <c r="M107" s="107"/>
      <c r="N107" s="107"/>
      <c r="O107" s="103"/>
      <c r="P107" s="103"/>
      <c r="Q107" s="103"/>
      <c r="R107" s="103"/>
      <c r="S107" s="94">
        <f t="shared" si="5"/>
        <v>22.5</v>
      </c>
      <c r="T107" s="95">
        <f t="shared" si="6"/>
        <v>20</v>
      </c>
      <c r="U107" s="95">
        <f t="shared" si="7"/>
        <v>0</v>
      </c>
      <c r="V107" s="95">
        <f t="shared" si="0"/>
        <v>0</v>
      </c>
      <c r="W107" s="96">
        <f t="shared" si="3"/>
        <v>18.477157360406093</v>
      </c>
      <c r="X107" s="96">
        <f>V107/[1]Manure!$I$2</f>
        <v>0</v>
      </c>
      <c r="Y107" s="96">
        <f>W107/[1]Manure!$I$2</f>
        <v>13.177377067755183</v>
      </c>
      <c r="Z107" s="96"/>
      <c r="AA107" s="96"/>
      <c r="AB107" s="95"/>
      <c r="AC107" s="11"/>
    </row>
    <row r="108" spans="1:29" ht="15.75" thickBot="1" x14ac:dyDescent="0.3">
      <c r="A108" s="97">
        <v>45470</v>
      </c>
      <c r="B108" s="92">
        <v>0.41666666666666702</v>
      </c>
      <c r="C108" s="92"/>
      <c r="D108" s="91"/>
      <c r="E108" s="91" t="s">
        <v>60</v>
      </c>
      <c r="F108" s="91">
        <v>20</v>
      </c>
      <c r="G108" s="93">
        <v>246021</v>
      </c>
      <c r="H108" s="93">
        <v>16.7</v>
      </c>
      <c r="I108" s="93"/>
      <c r="J108" s="103"/>
      <c r="K108" s="107"/>
      <c r="L108" s="107"/>
      <c r="M108" s="107"/>
      <c r="N108" s="107"/>
      <c r="O108" s="103"/>
      <c r="P108" s="103"/>
      <c r="Q108" s="103"/>
      <c r="R108" s="103"/>
      <c r="S108" s="94">
        <f t="shared" si="5"/>
        <v>16.7</v>
      </c>
      <c r="T108" s="95">
        <f t="shared" si="6"/>
        <v>63</v>
      </c>
      <c r="U108" s="95">
        <f t="shared" si="7"/>
        <v>0</v>
      </c>
      <c r="V108" s="95">
        <f t="shared" si="0"/>
        <v>0</v>
      </c>
      <c r="W108" s="96">
        <f t="shared" si="3"/>
        <v>59.368312046945114</v>
      </c>
      <c r="X108" s="96">
        <f>V108/[1]Manure!$I$2</f>
        <v>0</v>
      </c>
      <c r="Y108" s="96">
        <f>W108/[1]Manure!$I$2</f>
        <v>42.339772209503685</v>
      </c>
      <c r="Z108" s="96"/>
      <c r="AA108" s="96"/>
      <c r="AB108" s="95"/>
      <c r="AC108" s="11"/>
    </row>
    <row r="109" spans="1:29" ht="15.75" thickBot="1" x14ac:dyDescent="0.3">
      <c r="A109" s="97">
        <v>45471</v>
      </c>
      <c r="B109" s="92">
        <v>0.41666666666666702</v>
      </c>
      <c r="C109" s="92"/>
      <c r="D109" s="91"/>
      <c r="E109" s="91" t="s">
        <v>60</v>
      </c>
      <c r="F109" s="91">
        <v>20</v>
      </c>
      <c r="G109" s="93">
        <v>246075</v>
      </c>
      <c r="H109" s="93">
        <v>23.1</v>
      </c>
      <c r="I109" s="93"/>
      <c r="J109" s="103"/>
      <c r="K109" s="107"/>
      <c r="L109" s="107"/>
      <c r="M109" s="107"/>
      <c r="N109" s="107"/>
      <c r="O109" s="103"/>
      <c r="P109" s="103"/>
      <c r="Q109" s="103"/>
      <c r="R109" s="103"/>
      <c r="S109" s="94">
        <f t="shared" si="5"/>
        <v>23.1</v>
      </c>
      <c r="T109" s="95">
        <f t="shared" si="6"/>
        <v>54</v>
      </c>
      <c r="U109" s="95">
        <f t="shared" si="7"/>
        <v>0</v>
      </c>
      <c r="V109" s="95">
        <f t="shared" si="0"/>
        <v>0</v>
      </c>
      <c r="W109" s="96">
        <f t="shared" si="3"/>
        <v>49.787234042553187</v>
      </c>
      <c r="X109" s="96">
        <f>V109/[1]Manure!$I$2</f>
        <v>0</v>
      </c>
      <c r="Y109" s="96">
        <f>W109/[1]Manure!$I$2</f>
        <v>35.506823010835767</v>
      </c>
      <c r="Z109" s="96"/>
      <c r="AA109" s="96"/>
      <c r="AB109" s="95"/>
      <c r="AC109" s="11"/>
    </row>
    <row r="110" spans="1:29" ht="15.75" thickBot="1" x14ac:dyDescent="0.3">
      <c r="A110" s="97">
        <v>45472</v>
      </c>
      <c r="B110" s="92">
        <v>0.41666666666666702</v>
      </c>
      <c r="C110" s="92"/>
      <c r="D110" s="91"/>
      <c r="E110" s="91" t="s">
        <v>60</v>
      </c>
      <c r="F110" s="91">
        <v>20</v>
      </c>
      <c r="G110" s="93">
        <v>246171</v>
      </c>
      <c r="H110" s="93">
        <v>19.399999999999999</v>
      </c>
      <c r="I110" s="93"/>
      <c r="J110" s="103"/>
      <c r="K110" s="107"/>
      <c r="L110" s="107"/>
      <c r="M110" s="107"/>
      <c r="N110" s="107"/>
      <c r="O110" s="103"/>
      <c r="P110" s="103"/>
      <c r="Q110" s="103"/>
      <c r="R110" s="103"/>
      <c r="S110" s="94">
        <f t="shared" si="5"/>
        <v>19.399999999999999</v>
      </c>
      <c r="T110" s="95">
        <f t="shared" si="6"/>
        <v>96</v>
      </c>
      <c r="U110" s="95">
        <f t="shared" si="7"/>
        <v>0</v>
      </c>
      <c r="V110" s="95">
        <f t="shared" si="0"/>
        <v>0</v>
      </c>
      <c r="W110" s="96">
        <f t="shared" si="3"/>
        <v>89.63064295485637</v>
      </c>
      <c r="X110" s="96">
        <f>V110/[1]Manure!$I$2</f>
        <v>0</v>
      </c>
      <c r="Y110" s="96">
        <f>W110/[1]Manure!$I$2</f>
        <v>63.921996008563447</v>
      </c>
      <c r="Z110" s="96"/>
      <c r="AA110" s="96"/>
      <c r="AB110" s="98"/>
      <c r="AC110" s="11"/>
    </row>
    <row r="111" spans="1:29" ht="15.75" thickBot="1" x14ac:dyDescent="0.3">
      <c r="A111" s="97">
        <v>45474</v>
      </c>
      <c r="B111" s="92">
        <v>0.41666666666666702</v>
      </c>
      <c r="C111" s="92"/>
      <c r="D111" s="91"/>
      <c r="E111" s="91" t="s">
        <v>60</v>
      </c>
      <c r="F111" s="91">
        <v>20</v>
      </c>
      <c r="G111" s="93">
        <v>246233</v>
      </c>
      <c r="H111" s="93">
        <v>22.4</v>
      </c>
      <c r="I111" s="93"/>
      <c r="J111" s="103"/>
      <c r="K111" s="107"/>
      <c r="L111" s="107"/>
      <c r="M111" s="107"/>
      <c r="N111" s="107"/>
      <c r="O111" s="103"/>
      <c r="P111" s="103"/>
      <c r="Q111" s="103"/>
      <c r="R111" s="103"/>
      <c r="S111" s="94">
        <f t="shared" si="5"/>
        <v>22.4</v>
      </c>
      <c r="T111" s="95">
        <f t="shared" si="6"/>
        <v>62</v>
      </c>
      <c r="U111" s="95">
        <f t="shared" si="7"/>
        <v>0</v>
      </c>
      <c r="V111" s="95">
        <f t="shared" si="0"/>
        <v>0</v>
      </c>
      <c r="W111" s="96">
        <f t="shared" si="3"/>
        <v>57.298578199052137</v>
      </c>
      <c r="X111" s="96">
        <f>V111/[1]Manure!$I$2</f>
        <v>0</v>
      </c>
      <c r="Y111" s="96">
        <f>W111/[1]Manure!$I$2</f>
        <v>40.863697572502154</v>
      </c>
      <c r="Z111" s="96"/>
      <c r="AA111" s="96"/>
      <c r="AB111" s="95"/>
      <c r="AC111" s="11"/>
    </row>
    <row r="112" spans="1:29" ht="15.75" thickBot="1" x14ac:dyDescent="0.3">
      <c r="A112" s="97">
        <v>45475</v>
      </c>
      <c r="B112" s="92">
        <v>0.41666666666666702</v>
      </c>
      <c r="C112" s="93"/>
      <c r="D112" s="91"/>
      <c r="E112" s="91" t="s">
        <v>60</v>
      </c>
      <c r="F112" s="91">
        <v>20</v>
      </c>
      <c r="G112" s="93">
        <v>246268</v>
      </c>
      <c r="H112" s="93">
        <v>23.6</v>
      </c>
      <c r="I112" s="93"/>
      <c r="J112" s="103"/>
      <c r="K112" s="107"/>
      <c r="L112" s="107"/>
      <c r="M112" s="107"/>
      <c r="N112" s="107"/>
      <c r="O112" s="103"/>
      <c r="P112" s="103"/>
      <c r="Q112" s="103"/>
      <c r="R112" s="103"/>
      <c r="S112" s="94">
        <f t="shared" si="5"/>
        <v>23.6</v>
      </c>
      <c r="T112" s="95">
        <f t="shared" si="6"/>
        <v>35</v>
      </c>
      <c r="U112" s="95">
        <f t="shared" si="7"/>
        <v>0</v>
      </c>
      <c r="V112" s="95">
        <f t="shared" si="0"/>
        <v>0</v>
      </c>
      <c r="W112" s="96">
        <f t="shared" si="3"/>
        <v>32.215104517869186</v>
      </c>
      <c r="X112" s="96">
        <f>V112/[1]Manure!$I$2</f>
        <v>0</v>
      </c>
      <c r="Y112" s="96">
        <f>W112/[1]Manure!$I$2</f>
        <v>22.974885759146659</v>
      </c>
      <c r="Z112" s="96"/>
      <c r="AA112" s="96"/>
      <c r="AB112" s="95"/>
      <c r="AC112" s="11"/>
    </row>
    <row r="113" spans="1:29" ht="15.75" thickBot="1" x14ac:dyDescent="0.3">
      <c r="A113" s="97">
        <v>45476</v>
      </c>
      <c r="B113" s="92">
        <v>0.41666666666666702</v>
      </c>
      <c r="C113" s="93"/>
      <c r="D113" s="91"/>
      <c r="E113" s="91" t="s">
        <v>60</v>
      </c>
      <c r="F113" s="91">
        <v>20</v>
      </c>
      <c r="G113" s="93">
        <v>246337</v>
      </c>
      <c r="H113" s="93">
        <v>24.8</v>
      </c>
      <c r="I113" s="93"/>
      <c r="J113" s="103"/>
      <c r="K113" s="107"/>
      <c r="L113" s="107"/>
      <c r="M113" s="107"/>
      <c r="N113" s="107"/>
      <c r="O113" s="103"/>
      <c r="P113" s="103"/>
      <c r="Q113" s="103"/>
      <c r="R113" s="103"/>
      <c r="S113" s="94">
        <f t="shared" si="5"/>
        <v>24.8</v>
      </c>
      <c r="T113" s="95">
        <f t="shared" si="6"/>
        <v>69</v>
      </c>
      <c r="U113" s="95">
        <f t="shared" si="7"/>
        <v>0</v>
      </c>
      <c r="V113" s="95">
        <f t="shared" si="0"/>
        <v>0</v>
      </c>
      <c r="W113" s="96">
        <f t="shared" si="3"/>
        <v>63.253861652115511</v>
      </c>
      <c r="X113" s="96">
        <f>V113/[1]Manure!$I$2</f>
        <v>0</v>
      </c>
      <c r="Y113" s="96">
        <f>W113/[1]Manure!$I$2</f>
        <v>45.1108344061441</v>
      </c>
      <c r="Z113" s="96"/>
      <c r="AA113" s="96"/>
      <c r="AB113" s="95"/>
      <c r="AC113" s="11"/>
    </row>
    <row r="114" spans="1:29" ht="15.75" thickBot="1" x14ac:dyDescent="0.3">
      <c r="A114" s="97">
        <v>45477</v>
      </c>
      <c r="B114" s="92">
        <v>0.41666666666666702</v>
      </c>
      <c r="C114" s="92"/>
      <c r="D114" s="91"/>
      <c r="E114" s="91" t="s">
        <v>60</v>
      </c>
      <c r="F114" s="91">
        <v>20</v>
      </c>
      <c r="G114" s="93">
        <v>246606</v>
      </c>
      <c r="H114" s="93">
        <v>21</v>
      </c>
      <c r="I114" s="93"/>
      <c r="J114" s="103"/>
      <c r="K114" s="107"/>
      <c r="L114" s="107"/>
      <c r="M114" s="107"/>
      <c r="N114" s="107"/>
      <c r="O114" s="103"/>
      <c r="P114" s="103"/>
      <c r="Q114" s="103"/>
      <c r="R114" s="103"/>
      <c r="S114" s="94">
        <f t="shared" si="5"/>
        <v>21</v>
      </c>
      <c r="T114" s="95">
        <f t="shared" si="6"/>
        <v>269</v>
      </c>
      <c r="U114" s="95">
        <f t="shared" si="7"/>
        <v>0</v>
      </c>
      <c r="V114" s="95">
        <f t="shared" si="0"/>
        <v>0</v>
      </c>
      <c r="W114" s="96">
        <f t="shared" si="3"/>
        <v>249.78571428571431</v>
      </c>
      <c r="X114" s="96">
        <f>V114/[1]Manure!$I$2</f>
        <v>0</v>
      </c>
      <c r="Y114" s="96">
        <f>W114/[1]Manure!$I$2</f>
        <v>178.13998544682408</v>
      </c>
      <c r="Z114" s="96"/>
      <c r="AA114" s="96"/>
      <c r="AB114" s="95"/>
      <c r="AC114" s="11"/>
    </row>
    <row r="115" spans="1:29" ht="15.75" thickBot="1" x14ac:dyDescent="0.3">
      <c r="A115" s="97">
        <v>45478</v>
      </c>
      <c r="B115" s="92">
        <v>0.41666666666666702</v>
      </c>
      <c r="C115" s="92"/>
      <c r="D115" s="91"/>
      <c r="E115" s="91" t="s">
        <v>60</v>
      </c>
      <c r="F115" s="91">
        <v>20</v>
      </c>
      <c r="G115" s="93">
        <v>246900</v>
      </c>
      <c r="H115" s="93">
        <v>19.5</v>
      </c>
      <c r="I115" s="93"/>
      <c r="J115" s="103"/>
      <c r="K115" s="107"/>
      <c r="L115" s="107"/>
      <c r="M115" s="107"/>
      <c r="N115" s="107"/>
      <c r="O115" s="103"/>
      <c r="P115" s="103"/>
      <c r="Q115" s="103"/>
      <c r="R115" s="103"/>
      <c r="S115" s="94">
        <f t="shared" si="5"/>
        <v>19.5</v>
      </c>
      <c r="T115" s="95">
        <f t="shared" si="6"/>
        <v>294</v>
      </c>
      <c r="U115" s="95">
        <f t="shared" si="7"/>
        <v>0</v>
      </c>
      <c r="V115" s="95">
        <f t="shared" si="0"/>
        <v>0</v>
      </c>
      <c r="W115" s="96">
        <f t="shared" si="3"/>
        <v>274.39999999999998</v>
      </c>
      <c r="X115" s="96">
        <f>V115/[1]Manure!$I$2</f>
        <v>0</v>
      </c>
      <c r="Y115" s="96">
        <f>W115/[1]Manure!$I$2</f>
        <v>195.69418590006271</v>
      </c>
      <c r="Z115" s="96"/>
      <c r="AA115" s="96"/>
      <c r="AB115" s="95"/>
      <c r="AC115" s="11"/>
    </row>
    <row r="116" spans="1:29" ht="15.75" thickBot="1" x14ac:dyDescent="0.3">
      <c r="A116" s="97">
        <v>45479</v>
      </c>
      <c r="B116" s="92">
        <v>0.41666666666666702</v>
      </c>
      <c r="C116" s="92"/>
      <c r="D116" s="91"/>
      <c r="E116" s="91" t="s">
        <v>60</v>
      </c>
      <c r="F116" s="91">
        <v>20</v>
      </c>
      <c r="G116" s="93">
        <v>247120</v>
      </c>
      <c r="H116" s="93">
        <v>20.2</v>
      </c>
      <c r="I116" s="93"/>
      <c r="J116" s="103"/>
      <c r="K116" s="107"/>
      <c r="L116" s="107"/>
      <c r="M116" s="107"/>
      <c r="N116" s="107"/>
      <c r="O116" s="103"/>
      <c r="P116" s="103"/>
      <c r="Q116" s="103"/>
      <c r="R116" s="103"/>
      <c r="S116" s="94">
        <f t="shared" si="5"/>
        <v>20.2</v>
      </c>
      <c r="T116" s="95">
        <f t="shared" si="6"/>
        <v>220</v>
      </c>
      <c r="U116" s="95">
        <f t="shared" si="7"/>
        <v>0</v>
      </c>
      <c r="V116" s="95">
        <f t="shared" si="0"/>
        <v>0</v>
      </c>
      <c r="W116" s="96">
        <f t="shared" si="3"/>
        <v>204.8431105047749</v>
      </c>
      <c r="X116" s="96">
        <f>V116/[1]Manure!$I$2</f>
        <v>0</v>
      </c>
      <c r="Y116" s="96">
        <f>W116/[1]Manure!$I$2</f>
        <v>146.08821336541004</v>
      </c>
      <c r="Z116" s="96"/>
      <c r="AA116" s="96"/>
      <c r="AB116" s="95"/>
      <c r="AC116" s="11"/>
    </row>
    <row r="117" spans="1:29" ht="15.75" thickBot="1" x14ac:dyDescent="0.3">
      <c r="A117" s="97">
        <v>45481</v>
      </c>
      <c r="B117" s="92">
        <v>0.41666666666666702</v>
      </c>
      <c r="C117" s="92"/>
      <c r="D117" s="91"/>
      <c r="E117" s="91" t="s">
        <v>60</v>
      </c>
      <c r="F117" s="91">
        <v>20</v>
      </c>
      <c r="G117" s="93">
        <v>247358</v>
      </c>
      <c r="H117" s="93">
        <v>25.3</v>
      </c>
      <c r="I117" s="93"/>
      <c r="J117" s="103"/>
      <c r="K117" s="107"/>
      <c r="L117" s="107"/>
      <c r="M117" s="107"/>
      <c r="N117" s="107"/>
      <c r="O117" s="103"/>
      <c r="P117" s="103"/>
      <c r="Q117" s="103"/>
      <c r="R117" s="103"/>
      <c r="S117" s="94">
        <f t="shared" si="5"/>
        <v>25.3</v>
      </c>
      <c r="T117" s="95">
        <f t="shared" si="6"/>
        <v>238</v>
      </c>
      <c r="U117" s="95">
        <f t="shared" si="7"/>
        <v>0</v>
      </c>
      <c r="V117" s="95">
        <f t="shared" si="0"/>
        <v>0</v>
      </c>
      <c r="W117" s="96">
        <f t="shared" si="3"/>
        <v>217.81428092524303</v>
      </c>
      <c r="X117" s="96">
        <f>V117/[1]Manure!$I$2</f>
        <v>0</v>
      </c>
      <c r="Y117" s="96">
        <f>W117/[1]Manure!$I$2</f>
        <v>155.33887894705902</v>
      </c>
      <c r="Z117" s="96"/>
      <c r="AA117" s="96"/>
      <c r="AB117" s="95"/>
      <c r="AC117" s="11"/>
    </row>
    <row r="118" spans="1:29" ht="15.75" thickBot="1" x14ac:dyDescent="0.3">
      <c r="A118" s="97">
        <v>45482</v>
      </c>
      <c r="B118" s="92">
        <v>0.41666666666666702</v>
      </c>
      <c r="C118" s="92"/>
      <c r="D118" s="91"/>
      <c r="E118" s="91" t="s">
        <v>60</v>
      </c>
      <c r="F118" s="91">
        <v>20</v>
      </c>
      <c r="G118" s="93">
        <v>247469</v>
      </c>
      <c r="H118" s="93">
        <v>21.8</v>
      </c>
      <c r="I118" s="93"/>
      <c r="J118" s="103"/>
      <c r="K118" s="107"/>
      <c r="L118" s="107"/>
      <c r="M118" s="107"/>
      <c r="N118" s="107"/>
      <c r="O118" s="103"/>
      <c r="P118" s="103"/>
      <c r="Q118" s="103"/>
      <c r="R118" s="103"/>
      <c r="S118" s="94">
        <f t="shared" si="5"/>
        <v>21.8</v>
      </c>
      <c r="T118" s="95">
        <f t="shared" si="6"/>
        <v>111</v>
      </c>
      <c r="U118" s="95">
        <f t="shared" si="7"/>
        <v>0</v>
      </c>
      <c r="V118" s="95">
        <f t="shared" si="0"/>
        <v>0</v>
      </c>
      <c r="W118" s="96">
        <f t="shared" si="3"/>
        <v>102.79172320217096</v>
      </c>
      <c r="X118" s="96">
        <f>V118/[1]Manure!$I$2</f>
        <v>0</v>
      </c>
      <c r="Y118" s="96">
        <f>W118/[1]Manure!$I$2</f>
        <v>73.308099815282191</v>
      </c>
      <c r="Z118" s="96"/>
      <c r="AA118" s="96"/>
      <c r="AB118" s="98"/>
      <c r="AC118" s="11"/>
    </row>
    <row r="119" spans="1:29" ht="15.75" thickBot="1" x14ac:dyDescent="0.3">
      <c r="A119" s="97">
        <v>45483</v>
      </c>
      <c r="B119" s="92">
        <v>0.41666666666666702</v>
      </c>
      <c r="C119" s="92"/>
      <c r="D119" s="91"/>
      <c r="E119" s="91" t="s">
        <v>60</v>
      </c>
      <c r="F119" s="91">
        <v>20</v>
      </c>
      <c r="G119" s="93">
        <v>247613</v>
      </c>
      <c r="H119" s="93">
        <v>18.600000000000001</v>
      </c>
      <c r="I119" s="93"/>
      <c r="J119" s="103"/>
      <c r="K119" s="107"/>
      <c r="L119" s="107"/>
      <c r="M119" s="107"/>
      <c r="N119" s="107"/>
      <c r="O119" s="103"/>
      <c r="P119" s="103"/>
      <c r="Q119" s="103"/>
      <c r="R119" s="103"/>
      <c r="S119" s="94">
        <f t="shared" si="5"/>
        <v>18.600000000000001</v>
      </c>
      <c r="T119" s="95">
        <f t="shared" si="6"/>
        <v>144</v>
      </c>
      <c r="U119" s="95">
        <f t="shared" si="7"/>
        <v>0</v>
      </c>
      <c r="V119" s="95">
        <f t="shared" si="0"/>
        <v>0</v>
      </c>
      <c r="W119" s="96">
        <f t="shared" si="3"/>
        <v>134.81481481481481</v>
      </c>
      <c r="X119" s="96">
        <f>V119/[1]Manure!$I$2</f>
        <v>0</v>
      </c>
      <c r="Y119" s="96">
        <f>W119/[1]Manure!$I$2</f>
        <v>96.146047494361881</v>
      </c>
      <c r="Z119" s="96"/>
      <c r="AA119" s="96"/>
      <c r="AB119" s="95"/>
      <c r="AC119" s="11"/>
    </row>
    <row r="120" spans="1:29" ht="15.75" thickBot="1" x14ac:dyDescent="0.3">
      <c r="A120" s="97">
        <v>45484</v>
      </c>
      <c r="B120" s="92">
        <v>0.41666666666666702</v>
      </c>
      <c r="C120" s="92"/>
      <c r="D120" s="91"/>
      <c r="E120" s="91" t="s">
        <v>60</v>
      </c>
      <c r="F120" s="91">
        <v>20</v>
      </c>
      <c r="G120" s="93">
        <v>247737</v>
      </c>
      <c r="H120" s="93">
        <v>23.5</v>
      </c>
      <c r="I120" s="93"/>
      <c r="J120" s="103"/>
      <c r="K120" s="107"/>
      <c r="L120" s="107"/>
      <c r="M120" s="107"/>
      <c r="N120" s="107"/>
      <c r="O120" s="103"/>
      <c r="P120" s="103"/>
      <c r="Q120" s="103"/>
      <c r="R120" s="103"/>
      <c r="S120" s="94">
        <f t="shared" si="5"/>
        <v>23.5</v>
      </c>
      <c r="T120" s="95">
        <f t="shared" si="6"/>
        <v>124</v>
      </c>
      <c r="U120" s="95">
        <f t="shared" si="7"/>
        <v>0</v>
      </c>
      <c r="V120" s="95">
        <f t="shared" si="0"/>
        <v>0</v>
      </c>
      <c r="W120" s="96">
        <f t="shared" si="3"/>
        <v>114.17200674536255</v>
      </c>
      <c r="X120" s="96">
        <f>V120/[1]Manure!$I$2</f>
        <v>0</v>
      </c>
      <c r="Y120" s="96">
        <f>W120/[1]Manure!$I$2</f>
        <v>81.424190643623163</v>
      </c>
      <c r="Z120" s="96"/>
      <c r="AA120" s="96"/>
      <c r="AB120" s="95"/>
      <c r="AC120" s="11"/>
    </row>
    <row r="121" spans="1:29" ht="15.75" thickBot="1" x14ac:dyDescent="0.3">
      <c r="A121" s="97">
        <v>45485</v>
      </c>
      <c r="B121" s="92">
        <v>0.41666666666666702</v>
      </c>
      <c r="C121" s="92"/>
      <c r="D121" s="91"/>
      <c r="E121" s="91" t="s">
        <v>60</v>
      </c>
      <c r="F121" s="91">
        <v>20</v>
      </c>
      <c r="G121" s="93">
        <v>247932</v>
      </c>
      <c r="H121" s="93">
        <v>24.4</v>
      </c>
      <c r="I121" s="93"/>
      <c r="J121" s="103"/>
      <c r="K121" s="107"/>
      <c r="L121" s="107"/>
      <c r="M121" s="107"/>
      <c r="N121" s="107"/>
      <c r="O121" s="103"/>
      <c r="P121" s="103"/>
      <c r="Q121" s="103"/>
      <c r="R121" s="103"/>
      <c r="S121" s="94">
        <f t="shared" si="5"/>
        <v>24.4</v>
      </c>
      <c r="T121" s="95">
        <f t="shared" si="6"/>
        <v>195</v>
      </c>
      <c r="U121" s="95">
        <f t="shared" si="7"/>
        <v>0</v>
      </c>
      <c r="V121" s="95">
        <f t="shared" si="0"/>
        <v>0</v>
      </c>
      <c r="W121" s="96">
        <f t="shared" si="3"/>
        <v>179.00134498991258</v>
      </c>
      <c r="X121" s="96">
        <f>V121/[1]Manure!$I$2</f>
        <v>0</v>
      </c>
      <c r="Y121" s="96">
        <f>W121/[1]Manure!$I$2</f>
        <v>127.65860963125807</v>
      </c>
      <c r="Z121" s="96"/>
      <c r="AA121" s="96"/>
      <c r="AB121" s="95"/>
      <c r="AC121" s="11"/>
    </row>
    <row r="122" spans="1:29" ht="15.75" thickBot="1" x14ac:dyDescent="0.3">
      <c r="A122" s="97">
        <v>45486</v>
      </c>
      <c r="B122" s="92">
        <v>0.41666666666666702</v>
      </c>
      <c r="C122" s="92"/>
      <c r="D122" s="91"/>
      <c r="E122" s="91" t="s">
        <v>60</v>
      </c>
      <c r="F122" s="91">
        <v>20</v>
      </c>
      <c r="G122" s="93">
        <v>247975</v>
      </c>
      <c r="H122" s="93">
        <v>21.2</v>
      </c>
      <c r="I122" s="93"/>
      <c r="J122" s="103"/>
      <c r="K122" s="107"/>
      <c r="L122" s="107"/>
      <c r="M122" s="107"/>
      <c r="N122" s="107"/>
      <c r="O122" s="103"/>
      <c r="P122" s="103"/>
      <c r="Q122" s="103"/>
      <c r="R122" s="103"/>
      <c r="S122" s="94">
        <f t="shared" si="5"/>
        <v>21.2</v>
      </c>
      <c r="T122" s="95">
        <f t="shared" si="6"/>
        <v>43</v>
      </c>
      <c r="U122" s="95">
        <f t="shared" si="7"/>
        <v>0</v>
      </c>
      <c r="V122" s="95">
        <f t="shared" si="0"/>
        <v>0</v>
      </c>
      <c r="W122" s="96">
        <f t="shared" si="3"/>
        <v>39.901427600271923</v>
      </c>
      <c r="X122" s="96">
        <f>V122/[1]Manure!$I$2</f>
        <v>0</v>
      </c>
      <c r="Y122" s="96">
        <f>W122/[1]Manure!$I$2</f>
        <v>28.456550256871385</v>
      </c>
      <c r="Z122" s="96"/>
      <c r="AA122" s="96"/>
      <c r="AB122" s="95"/>
      <c r="AC122" s="11"/>
    </row>
    <row r="123" spans="1:29" ht="15.75" thickBot="1" x14ac:dyDescent="0.3">
      <c r="A123" s="97">
        <v>45488</v>
      </c>
      <c r="B123" s="92">
        <v>0.41666666666666702</v>
      </c>
      <c r="C123" s="92"/>
      <c r="D123" s="91"/>
      <c r="E123" s="91" t="s">
        <v>60</v>
      </c>
      <c r="F123" s="91">
        <v>20</v>
      </c>
      <c r="G123" s="93">
        <v>248001</v>
      </c>
      <c r="H123" s="93">
        <v>24</v>
      </c>
      <c r="I123" s="93"/>
      <c r="J123" s="103"/>
      <c r="K123" s="107"/>
      <c r="L123" s="107"/>
      <c r="M123" s="107"/>
      <c r="N123" s="107"/>
      <c r="O123" s="103"/>
      <c r="P123" s="103"/>
      <c r="Q123" s="103"/>
      <c r="R123" s="103"/>
      <c r="S123" s="94">
        <f t="shared" si="5"/>
        <v>24</v>
      </c>
      <c r="T123" s="95">
        <f t="shared" si="6"/>
        <v>26</v>
      </c>
      <c r="U123" s="95">
        <f t="shared" si="7"/>
        <v>0</v>
      </c>
      <c r="V123" s="95">
        <f t="shared" si="0"/>
        <v>0</v>
      </c>
      <c r="W123" s="96">
        <f t="shared" si="3"/>
        <v>23.8989898989899</v>
      </c>
      <c r="X123" s="96">
        <f>V123/[1]Manure!$I$2</f>
        <v>0</v>
      </c>
      <c r="Y123" s="96">
        <f>W123/[1]Manure!$I$2</f>
        <v>17.044072055818699</v>
      </c>
      <c r="Z123" s="96"/>
      <c r="AA123" s="96"/>
      <c r="AB123" s="95"/>
      <c r="AC123" s="11"/>
    </row>
    <row r="124" spans="1:29" ht="15.75" thickBot="1" x14ac:dyDescent="0.3">
      <c r="A124" s="97">
        <v>45489</v>
      </c>
      <c r="B124" s="92">
        <v>0.41666666666666702</v>
      </c>
      <c r="C124" s="92"/>
      <c r="D124" s="91"/>
      <c r="E124" s="91" t="s">
        <v>60</v>
      </c>
      <c r="F124" s="91">
        <v>20</v>
      </c>
      <c r="G124" s="93">
        <v>248029</v>
      </c>
      <c r="H124" s="93">
        <v>17.3</v>
      </c>
      <c r="I124" s="93"/>
      <c r="J124" s="103"/>
      <c r="K124" s="108"/>
      <c r="L124" s="108"/>
      <c r="M124" s="108"/>
      <c r="N124" s="107"/>
      <c r="O124" s="103"/>
      <c r="P124" s="103"/>
      <c r="Q124" s="103"/>
      <c r="R124" s="103"/>
      <c r="S124" s="94">
        <f t="shared" si="5"/>
        <v>17.3</v>
      </c>
      <c r="T124" s="95">
        <f t="shared" si="6"/>
        <v>28</v>
      </c>
      <c r="U124" s="95">
        <f t="shared" si="7"/>
        <v>0</v>
      </c>
      <c r="V124" s="95">
        <f t="shared" si="0"/>
        <v>0</v>
      </c>
      <c r="W124" s="96">
        <f t="shared" si="3"/>
        <v>26.331381329658971</v>
      </c>
      <c r="X124" s="96">
        <f>V124/[1]Manure!$I$2</f>
        <v>0</v>
      </c>
      <c r="Y124" s="96">
        <f>W124/[1]Manure!$I$2</f>
        <v>18.778783647710362</v>
      </c>
      <c r="Z124" s="96"/>
      <c r="AA124" s="96"/>
      <c r="AB124" s="95"/>
      <c r="AC124" s="11"/>
    </row>
    <row r="125" spans="1:29" ht="15.75" thickBot="1" x14ac:dyDescent="0.3">
      <c r="A125" s="97">
        <v>45490</v>
      </c>
      <c r="B125" s="92">
        <v>0.41666666666666702</v>
      </c>
      <c r="C125" s="92"/>
      <c r="D125" s="91"/>
      <c r="E125" s="91" t="s">
        <v>60</v>
      </c>
      <c r="F125" s="91">
        <v>20</v>
      </c>
      <c r="G125" s="93">
        <v>248033</v>
      </c>
      <c r="H125" s="93">
        <v>22.5</v>
      </c>
      <c r="I125" s="93"/>
      <c r="J125" s="103"/>
      <c r="K125" s="108"/>
      <c r="L125" s="108"/>
      <c r="M125" s="108"/>
      <c r="N125" s="107"/>
      <c r="O125" s="103"/>
      <c r="P125" s="103"/>
      <c r="Q125" s="103"/>
      <c r="R125" s="103"/>
      <c r="S125" s="94">
        <f t="shared" si="5"/>
        <v>22.5</v>
      </c>
      <c r="T125" s="95">
        <f t="shared" si="6"/>
        <v>4</v>
      </c>
      <c r="U125" s="95">
        <f t="shared" si="7"/>
        <v>0</v>
      </c>
      <c r="V125" s="95">
        <f t="shared" si="0"/>
        <v>0</v>
      </c>
      <c r="W125" s="96">
        <f t="shared" si="3"/>
        <v>3.6954314720812182</v>
      </c>
      <c r="X125" s="96">
        <f>V125/[1]Manure!$I$2</f>
        <v>0</v>
      </c>
      <c r="Y125" s="96">
        <f>W125/[1]Manure!$I$2</f>
        <v>2.6354754135510365</v>
      </c>
      <c r="Z125" s="96"/>
      <c r="AA125" s="96"/>
      <c r="AB125" s="95"/>
      <c r="AC125" s="11"/>
    </row>
    <row r="126" spans="1:29" ht="15.75" thickBot="1" x14ac:dyDescent="0.3">
      <c r="A126" s="97">
        <v>45491</v>
      </c>
      <c r="B126" s="92">
        <v>0.41666666666666702</v>
      </c>
      <c r="C126" s="99"/>
      <c r="D126" s="91"/>
      <c r="E126" s="91" t="s">
        <v>60</v>
      </c>
      <c r="F126" s="91">
        <v>20</v>
      </c>
      <c r="G126" s="93">
        <v>248205</v>
      </c>
      <c r="H126" s="93">
        <v>17</v>
      </c>
      <c r="I126" s="93"/>
      <c r="J126" s="103"/>
      <c r="K126" s="108"/>
      <c r="L126" s="108"/>
      <c r="M126" s="108"/>
      <c r="N126" s="107"/>
      <c r="O126" s="103"/>
      <c r="P126" s="103"/>
      <c r="Q126" s="103"/>
      <c r="R126" s="103"/>
      <c r="S126" s="94">
        <f t="shared" si="5"/>
        <v>17</v>
      </c>
      <c r="T126" s="95">
        <f t="shared" si="6"/>
        <v>172</v>
      </c>
      <c r="U126" s="95">
        <f t="shared" si="7"/>
        <v>0</v>
      </c>
      <c r="V126" s="95">
        <f t="shared" si="0"/>
        <v>0</v>
      </c>
      <c r="W126" s="96">
        <f t="shared" si="3"/>
        <v>161.91724137931035</v>
      </c>
      <c r="X126" s="96">
        <f>V126/[1]Manure!$I$2</f>
        <v>0</v>
      </c>
      <c r="Y126" s="96">
        <f>W126/[1]Manure!$I$2</f>
        <v>115.47471842167671</v>
      </c>
      <c r="Z126" s="96"/>
      <c r="AA126" s="96"/>
      <c r="AB126" s="95"/>
      <c r="AC126" s="11"/>
    </row>
    <row r="127" spans="1:29" ht="15.75" thickBot="1" x14ac:dyDescent="0.3">
      <c r="A127" s="97">
        <v>45492</v>
      </c>
      <c r="B127" s="92">
        <v>0.41666666666666702</v>
      </c>
      <c r="C127" s="99"/>
      <c r="D127" s="91"/>
      <c r="E127" s="91" t="s">
        <v>60</v>
      </c>
      <c r="F127" s="91">
        <v>20</v>
      </c>
      <c r="G127" s="93">
        <v>248524</v>
      </c>
      <c r="H127" s="93">
        <v>20</v>
      </c>
      <c r="I127" s="93"/>
      <c r="J127" s="103"/>
      <c r="K127" s="108"/>
      <c r="L127" s="108"/>
      <c r="M127" s="108"/>
      <c r="N127" s="107"/>
      <c r="O127" s="103"/>
      <c r="P127" s="103"/>
      <c r="Q127" s="103"/>
      <c r="R127" s="103"/>
      <c r="S127" s="94">
        <f t="shared" si="5"/>
        <v>20</v>
      </c>
      <c r="T127" s="95">
        <f t="shared" si="6"/>
        <v>319</v>
      </c>
      <c r="U127" s="95">
        <f t="shared" si="7"/>
        <v>0</v>
      </c>
      <c r="V127" s="95">
        <f t="shared" si="0"/>
        <v>0</v>
      </c>
      <c r="W127" s="96">
        <f t="shared" si="3"/>
        <v>297.22525597269623</v>
      </c>
      <c r="X127" s="96">
        <f>V127/[1]Manure!$I$2</f>
        <v>0</v>
      </c>
      <c r="Y127" s="96">
        <f>W127/[1]Manure!$I$2</f>
        <v>211.97250180945534</v>
      </c>
      <c r="Z127" s="96"/>
      <c r="AA127" s="96"/>
      <c r="AB127" s="95"/>
      <c r="AC127" s="11"/>
    </row>
    <row r="128" spans="1:29" ht="15.75" thickBot="1" x14ac:dyDescent="0.3">
      <c r="A128" s="97">
        <v>45493</v>
      </c>
      <c r="B128" s="92">
        <v>0.41666666666666702</v>
      </c>
      <c r="C128" s="99"/>
      <c r="D128" s="91"/>
      <c r="E128" s="91" t="s">
        <v>60</v>
      </c>
      <c r="F128" s="91">
        <v>20</v>
      </c>
      <c r="G128" s="93">
        <v>248871</v>
      </c>
      <c r="H128" s="93">
        <v>18.7</v>
      </c>
      <c r="I128" s="93"/>
      <c r="J128" s="103"/>
      <c r="K128" s="108"/>
      <c r="L128" s="108"/>
      <c r="M128" s="108"/>
      <c r="N128" s="107"/>
      <c r="O128" s="103"/>
      <c r="P128" s="103"/>
      <c r="Q128" s="103"/>
      <c r="R128" s="103"/>
      <c r="S128" s="94">
        <f t="shared" si="5"/>
        <v>18.7</v>
      </c>
      <c r="T128" s="95">
        <f t="shared" si="6"/>
        <v>347</v>
      </c>
      <c r="U128" s="95">
        <f t="shared" si="7"/>
        <v>0</v>
      </c>
      <c r="V128" s="95">
        <f t="shared" si="0"/>
        <v>0</v>
      </c>
      <c r="W128" s="96">
        <f t="shared" si="3"/>
        <v>324.75488515598221</v>
      </c>
      <c r="X128" s="96">
        <f>V128/[1]Manure!$I$2</f>
        <v>0</v>
      </c>
      <c r="Y128" s="96">
        <f>W128/[1]Manure!$I$2</f>
        <v>231.60584135447633</v>
      </c>
      <c r="Z128" s="96"/>
      <c r="AA128" s="96"/>
      <c r="AB128" s="95"/>
      <c r="AC128" s="11"/>
    </row>
    <row r="129" spans="1:29" ht="15.75" thickBot="1" x14ac:dyDescent="0.3">
      <c r="A129" s="97">
        <v>45495</v>
      </c>
      <c r="B129" s="92">
        <v>0.41666666666666702</v>
      </c>
      <c r="C129" s="99"/>
      <c r="D129" s="91"/>
      <c r="E129" s="91" t="s">
        <v>60</v>
      </c>
      <c r="F129" s="91">
        <v>20</v>
      </c>
      <c r="G129" s="93">
        <v>249341</v>
      </c>
      <c r="H129" s="93">
        <v>18.7</v>
      </c>
      <c r="I129" s="93"/>
      <c r="J129" s="103"/>
      <c r="K129" s="108"/>
      <c r="L129" s="108"/>
      <c r="M129" s="108"/>
      <c r="N129" s="107"/>
      <c r="O129" s="103"/>
      <c r="P129" s="103"/>
      <c r="Q129" s="103"/>
      <c r="R129" s="103"/>
      <c r="S129" s="94">
        <f t="shared" si="5"/>
        <v>18.7</v>
      </c>
      <c r="T129" s="95">
        <f t="shared" si="6"/>
        <v>470</v>
      </c>
      <c r="U129" s="95">
        <f t="shared" si="7"/>
        <v>0</v>
      </c>
      <c r="V129" s="95">
        <f t="shared" si="0"/>
        <v>0</v>
      </c>
      <c r="W129" s="96">
        <f t="shared" si="3"/>
        <v>439.86972917380876</v>
      </c>
      <c r="X129" s="96">
        <f>V129/[1]Manure!$I$2</f>
        <v>0</v>
      </c>
      <c r="Y129" s="96">
        <f>W129/[1]Manure!$I$2</f>
        <v>313.70243641672585</v>
      </c>
      <c r="Z129" s="96"/>
      <c r="AA129" s="96"/>
      <c r="AB129" s="98"/>
      <c r="AC129" s="11"/>
    </row>
    <row r="130" spans="1:29" ht="15.75" thickBot="1" x14ac:dyDescent="0.3">
      <c r="A130" s="97">
        <v>45496</v>
      </c>
      <c r="B130" s="92">
        <v>0.41666666666666702</v>
      </c>
      <c r="C130" s="99"/>
      <c r="D130" s="91"/>
      <c r="E130" s="91" t="s">
        <v>60</v>
      </c>
      <c r="F130" s="91">
        <v>20</v>
      </c>
      <c r="G130" s="93">
        <v>249499</v>
      </c>
      <c r="H130" s="93">
        <v>21.5</v>
      </c>
      <c r="I130" s="93"/>
      <c r="J130" s="103"/>
      <c r="K130" s="107"/>
      <c r="L130" s="107"/>
      <c r="M130" s="107"/>
      <c r="N130" s="107"/>
      <c r="O130" s="103"/>
      <c r="P130" s="103"/>
      <c r="Q130" s="103"/>
      <c r="R130" s="103"/>
      <c r="S130" s="94">
        <f t="shared" si="5"/>
        <v>21.5</v>
      </c>
      <c r="T130" s="95">
        <f t="shared" si="6"/>
        <v>158</v>
      </c>
      <c r="U130" s="95">
        <f t="shared" si="7"/>
        <v>0</v>
      </c>
      <c r="V130" s="95">
        <f t="shared" si="0"/>
        <v>0</v>
      </c>
      <c r="W130" s="96">
        <f t="shared" si="3"/>
        <v>146.46519524617997</v>
      </c>
      <c r="X130" s="96">
        <f>V130/[1]Manure!$I$2</f>
        <v>0</v>
      </c>
      <c r="Y130" s="96">
        <f>W130/[1]Manure!$I$2</f>
        <v>104.45476365304275</v>
      </c>
      <c r="Z130" s="96"/>
      <c r="AA130" s="96"/>
      <c r="AB130" s="95"/>
      <c r="AC130" s="11"/>
    </row>
    <row r="131" spans="1:29" ht="15.75" thickBot="1" x14ac:dyDescent="0.3">
      <c r="A131" s="97">
        <v>45497</v>
      </c>
      <c r="B131" s="92">
        <v>0.41666666666666702</v>
      </c>
      <c r="C131" s="99"/>
      <c r="D131" s="91"/>
      <c r="E131" s="91" t="s">
        <v>60</v>
      </c>
      <c r="F131" s="91">
        <v>20</v>
      </c>
      <c r="G131" s="93">
        <v>249611</v>
      </c>
      <c r="H131" s="111">
        <v>19.399999999999999</v>
      </c>
      <c r="I131" s="93"/>
      <c r="J131" s="103"/>
      <c r="K131" s="107"/>
      <c r="L131" s="107"/>
      <c r="M131" s="107"/>
      <c r="N131" s="107"/>
      <c r="O131" s="103"/>
      <c r="P131" s="103"/>
      <c r="Q131" s="103"/>
      <c r="R131" s="103"/>
      <c r="S131" s="94">
        <f t="shared" ref="S131:S194" si="8">H131</f>
        <v>19.399999999999999</v>
      </c>
      <c r="T131" s="95">
        <f t="shared" si="6"/>
        <v>112</v>
      </c>
      <c r="U131" s="95">
        <f t="shared" si="7"/>
        <v>0</v>
      </c>
      <c r="V131" s="95">
        <f t="shared" si="0"/>
        <v>0</v>
      </c>
      <c r="W131" s="96">
        <f t="shared" si="3"/>
        <v>104.56908344733243</v>
      </c>
      <c r="X131" s="96">
        <f>V131/[1]Manure!$I$2</f>
        <v>0</v>
      </c>
      <c r="Y131" s="96">
        <f>W131/[1]Manure!$I$2</f>
        <v>74.575662009990694</v>
      </c>
      <c r="Z131" s="96"/>
      <c r="AA131" s="96"/>
      <c r="AB131" s="95"/>
      <c r="AC131" s="11"/>
    </row>
    <row r="132" spans="1:29" ht="15.75" thickBot="1" x14ac:dyDescent="0.3">
      <c r="A132" s="97">
        <v>45498</v>
      </c>
      <c r="B132" s="92">
        <v>0.41666666666666702</v>
      </c>
      <c r="C132" s="100"/>
      <c r="D132" s="91"/>
      <c r="E132" s="91" t="s">
        <v>60</v>
      </c>
      <c r="F132" s="91">
        <v>20</v>
      </c>
      <c r="G132" s="93">
        <v>249787</v>
      </c>
      <c r="H132" s="111">
        <v>19.100000000000001</v>
      </c>
      <c r="I132" s="93"/>
      <c r="J132" s="103"/>
      <c r="K132" s="107"/>
      <c r="L132" s="107"/>
      <c r="M132" s="107"/>
      <c r="N132" s="107"/>
      <c r="O132" s="103"/>
      <c r="P132" s="103"/>
      <c r="Q132" s="103"/>
      <c r="R132" s="103"/>
      <c r="S132" s="94">
        <f t="shared" si="8"/>
        <v>19.100000000000001</v>
      </c>
      <c r="T132" s="95">
        <f t="shared" ref="T132:T195" si="9">G132-G131</f>
        <v>176</v>
      </c>
      <c r="U132" s="95">
        <f t="shared" si="7"/>
        <v>0</v>
      </c>
      <c r="V132" s="95">
        <f t="shared" si="0"/>
        <v>0</v>
      </c>
      <c r="W132" s="96">
        <f t="shared" si="3"/>
        <v>164.49161246148577</v>
      </c>
      <c r="X132" s="96">
        <f>V132/[1]Manure!$I$2</f>
        <v>0</v>
      </c>
      <c r="Y132" s="96">
        <f>W132/[1]Manure!$I$2</f>
        <v>117.31068581646892</v>
      </c>
      <c r="Z132" s="96"/>
      <c r="AA132" s="96"/>
      <c r="AB132" s="95"/>
      <c r="AC132" s="11"/>
    </row>
    <row r="133" spans="1:29" ht="15.75" thickBot="1" x14ac:dyDescent="0.3">
      <c r="A133" s="97">
        <v>45499</v>
      </c>
      <c r="B133" s="92">
        <v>0.41666666666666702</v>
      </c>
      <c r="C133" s="99"/>
      <c r="D133" s="91"/>
      <c r="E133" s="91" t="s">
        <v>60</v>
      </c>
      <c r="F133" s="91">
        <v>20</v>
      </c>
      <c r="G133" s="93">
        <v>250151</v>
      </c>
      <c r="H133" s="93">
        <v>20.2</v>
      </c>
      <c r="I133" s="93"/>
      <c r="J133" s="103"/>
      <c r="K133" s="107"/>
      <c r="L133" s="107"/>
      <c r="M133" s="107"/>
      <c r="N133" s="107"/>
      <c r="O133" s="103"/>
      <c r="P133" s="103"/>
      <c r="Q133" s="103"/>
      <c r="R133" s="103"/>
      <c r="S133" s="94">
        <f t="shared" si="8"/>
        <v>20.2</v>
      </c>
      <c r="T133" s="95">
        <f t="shared" si="9"/>
        <v>364</v>
      </c>
      <c r="U133" s="95">
        <f t="shared" si="7"/>
        <v>0</v>
      </c>
      <c r="V133" s="95">
        <f t="shared" si="0"/>
        <v>0</v>
      </c>
      <c r="W133" s="96">
        <f t="shared" si="3"/>
        <v>338.92223738062756</v>
      </c>
      <c r="X133" s="96">
        <f>V133/[1]Manure!$I$2</f>
        <v>0</v>
      </c>
      <c r="Y133" s="96">
        <f>W133/[1]Manure!$I$2</f>
        <v>241.7095893864057</v>
      </c>
      <c r="Z133" s="96"/>
      <c r="AA133" s="96"/>
      <c r="AB133" s="95"/>
      <c r="AC133" s="11"/>
    </row>
    <row r="134" spans="1:29" ht="15.75" thickBot="1" x14ac:dyDescent="0.3">
      <c r="A134" s="97">
        <v>45500</v>
      </c>
      <c r="B134" s="92">
        <v>0.41666666666666702</v>
      </c>
      <c r="C134" s="99"/>
      <c r="D134" s="91"/>
      <c r="E134" s="91" t="s">
        <v>60</v>
      </c>
      <c r="F134" s="91">
        <v>20</v>
      </c>
      <c r="G134" s="93">
        <v>250360</v>
      </c>
      <c r="H134" s="93">
        <v>21.8</v>
      </c>
      <c r="I134" s="93"/>
      <c r="J134" s="103"/>
      <c r="K134" s="107"/>
      <c r="L134" s="107"/>
      <c r="M134" s="107"/>
      <c r="N134" s="107"/>
      <c r="O134" s="103"/>
      <c r="P134" s="103"/>
      <c r="Q134" s="103"/>
      <c r="R134" s="103"/>
      <c r="S134" s="94">
        <f t="shared" si="8"/>
        <v>21.8</v>
      </c>
      <c r="T134" s="95">
        <f t="shared" si="9"/>
        <v>209</v>
      </c>
      <c r="U134" s="95">
        <f t="shared" si="7"/>
        <v>0</v>
      </c>
      <c r="V134" s="95">
        <f t="shared" si="0"/>
        <v>0</v>
      </c>
      <c r="W134" s="96">
        <f t="shared" si="3"/>
        <v>193.54477611940297</v>
      </c>
      <c r="X134" s="96">
        <f>V134/[1]Manure!$I$2</f>
        <v>0</v>
      </c>
      <c r="Y134" s="96">
        <f>W134/[1]Manure!$I$2</f>
        <v>138.03056631886469</v>
      </c>
      <c r="Z134" s="96"/>
      <c r="AA134" s="96"/>
      <c r="AB134" s="95"/>
      <c r="AC134" s="11"/>
    </row>
    <row r="135" spans="1:29" ht="15.75" thickBot="1" x14ac:dyDescent="0.3">
      <c r="A135" s="97">
        <v>45502</v>
      </c>
      <c r="B135" s="92">
        <v>0.41666666666666702</v>
      </c>
      <c r="C135" s="99"/>
      <c r="D135" s="91"/>
      <c r="E135" s="91" t="s">
        <v>60</v>
      </c>
      <c r="F135" s="91">
        <v>20</v>
      </c>
      <c r="G135" s="93">
        <v>250457</v>
      </c>
      <c r="H135" s="93">
        <v>20.6</v>
      </c>
      <c r="I135" s="93"/>
      <c r="J135" s="103"/>
      <c r="K135" s="107"/>
      <c r="L135" s="107"/>
      <c r="M135" s="107"/>
      <c r="N135" s="107"/>
      <c r="O135" s="103"/>
      <c r="P135" s="103"/>
      <c r="Q135" s="103"/>
      <c r="R135" s="103"/>
      <c r="S135" s="94">
        <f t="shared" si="8"/>
        <v>20.6</v>
      </c>
      <c r="T135" s="95">
        <f t="shared" si="9"/>
        <v>97</v>
      </c>
      <c r="U135" s="95">
        <f t="shared" si="7"/>
        <v>0</v>
      </c>
      <c r="V135" s="95">
        <f t="shared" si="0"/>
        <v>0</v>
      </c>
      <c r="W135" s="96">
        <f t="shared" si="3"/>
        <v>90.194141689373282</v>
      </c>
      <c r="X135" s="96">
        <f>V135/[1]Manure!$I$2</f>
        <v>0</v>
      </c>
      <c r="Y135" s="96">
        <f>W135/[1]Manure!$I$2</f>
        <v>64.323867094959226</v>
      </c>
      <c r="Z135" s="96"/>
      <c r="AA135" s="96"/>
      <c r="AB135" s="95"/>
      <c r="AC135" s="11"/>
    </row>
    <row r="136" spans="1:29" ht="15.75" thickBot="1" x14ac:dyDescent="0.3">
      <c r="A136" s="97">
        <v>45503</v>
      </c>
      <c r="B136" s="92">
        <v>0.41666666666666702</v>
      </c>
      <c r="C136" s="99"/>
      <c r="D136" s="91"/>
      <c r="E136" s="91" t="s">
        <v>60</v>
      </c>
      <c r="F136" s="91">
        <v>20</v>
      </c>
      <c r="G136" s="93">
        <v>250457</v>
      </c>
      <c r="H136" s="93">
        <v>20.6</v>
      </c>
      <c r="I136" s="93"/>
      <c r="J136" s="103"/>
      <c r="K136" s="107"/>
      <c r="L136" s="107"/>
      <c r="M136" s="107"/>
      <c r="N136" s="107"/>
      <c r="O136" s="103"/>
      <c r="P136" s="103"/>
      <c r="Q136" s="103"/>
      <c r="R136" s="103"/>
      <c r="S136" s="94">
        <f t="shared" si="8"/>
        <v>20.6</v>
      </c>
      <c r="T136" s="95">
        <f t="shared" si="9"/>
        <v>0</v>
      </c>
      <c r="U136" s="95">
        <f t="shared" si="7"/>
        <v>0</v>
      </c>
      <c r="V136" s="95">
        <f t="shared" si="0"/>
        <v>0</v>
      </c>
      <c r="W136" s="96">
        <f t="shared" si="3"/>
        <v>0</v>
      </c>
      <c r="X136" s="96">
        <f>V136/[1]Manure!$I$2</f>
        <v>0</v>
      </c>
      <c r="Y136" s="96">
        <f>W136/[1]Manure!$I$2</f>
        <v>0</v>
      </c>
      <c r="Z136" s="96"/>
      <c r="AA136" s="96"/>
      <c r="AB136" s="95"/>
      <c r="AC136" s="11"/>
    </row>
    <row r="137" spans="1:29" ht="15.75" thickBot="1" x14ac:dyDescent="0.3">
      <c r="A137" s="97">
        <v>45504</v>
      </c>
      <c r="B137" s="92">
        <v>0.41666666666666702</v>
      </c>
      <c r="C137" s="99"/>
      <c r="D137" s="91"/>
      <c r="E137" s="91" t="s">
        <v>60</v>
      </c>
      <c r="F137" s="91">
        <v>20</v>
      </c>
      <c r="G137" s="93">
        <v>251179</v>
      </c>
      <c r="H137" s="93">
        <v>15.8</v>
      </c>
      <c r="I137" s="93"/>
      <c r="J137" s="103"/>
      <c r="K137" s="107"/>
      <c r="L137" s="107"/>
      <c r="M137" s="107"/>
      <c r="N137" s="107"/>
      <c r="O137" s="103"/>
      <c r="P137" s="103"/>
      <c r="Q137" s="103"/>
      <c r="R137" s="103"/>
      <c r="S137" s="94">
        <f t="shared" si="8"/>
        <v>15.8</v>
      </c>
      <c r="T137" s="95">
        <f t="shared" si="9"/>
        <v>722</v>
      </c>
      <c r="U137" s="95">
        <f t="shared" si="7"/>
        <v>0</v>
      </c>
      <c r="V137" s="95">
        <f t="shared" si="0"/>
        <v>0</v>
      </c>
      <c r="W137" s="96">
        <f t="shared" si="3"/>
        <v>682.49999999999989</v>
      </c>
      <c r="X137" s="96">
        <f>V137/[1]Manure!$I$2</f>
        <v>0</v>
      </c>
      <c r="Y137" s="96">
        <f>W137/[1]Manure!$I$2</f>
        <v>486.739365440207</v>
      </c>
      <c r="Z137" s="96"/>
      <c r="AA137" s="96"/>
      <c r="AB137" s="95"/>
      <c r="AC137" s="11"/>
    </row>
    <row r="138" spans="1:29" ht="15.75" thickBot="1" x14ac:dyDescent="0.3">
      <c r="A138" s="97">
        <v>45505</v>
      </c>
      <c r="B138" s="92">
        <v>0.41666666666666702</v>
      </c>
      <c r="C138" s="92"/>
      <c r="D138" s="91"/>
      <c r="E138" s="91" t="s">
        <v>60</v>
      </c>
      <c r="F138" s="91">
        <v>20</v>
      </c>
      <c r="G138" s="93">
        <v>252006</v>
      </c>
      <c r="H138" s="111">
        <v>19.100000000000001</v>
      </c>
      <c r="I138" s="93"/>
      <c r="J138" s="103"/>
      <c r="K138" s="107"/>
      <c r="L138" s="107"/>
      <c r="M138" s="107"/>
      <c r="N138" s="107"/>
      <c r="O138" s="103"/>
      <c r="P138" s="103"/>
      <c r="Q138" s="103"/>
      <c r="R138" s="103"/>
      <c r="S138" s="94">
        <f t="shared" si="8"/>
        <v>19.100000000000001</v>
      </c>
      <c r="T138" s="95">
        <f t="shared" si="9"/>
        <v>827</v>
      </c>
      <c r="U138" s="95">
        <f t="shared" si="7"/>
        <v>0</v>
      </c>
      <c r="V138" s="95">
        <f t="shared" si="0"/>
        <v>0</v>
      </c>
      <c r="W138" s="96">
        <f t="shared" si="3"/>
        <v>772.92365628209507</v>
      </c>
      <c r="X138" s="96">
        <f>V138/[1]Manure!$I$2</f>
        <v>0</v>
      </c>
      <c r="Y138" s="96">
        <f>W138/[1]Manure!$I$2</f>
        <v>551.22691573988516</v>
      </c>
      <c r="Z138" s="96"/>
      <c r="AA138" s="96"/>
      <c r="AB138" s="95"/>
      <c r="AC138" s="11"/>
    </row>
    <row r="139" spans="1:29" ht="15.75" thickBot="1" x14ac:dyDescent="0.3">
      <c r="A139" s="97">
        <v>45506</v>
      </c>
      <c r="B139" s="92">
        <v>0.41666666666666702</v>
      </c>
      <c r="C139" s="99"/>
      <c r="D139" s="91"/>
      <c r="E139" s="91" t="s">
        <v>60</v>
      </c>
      <c r="F139" s="91">
        <v>20</v>
      </c>
      <c r="G139" s="93">
        <v>252839</v>
      </c>
      <c r="H139" s="93">
        <v>16.3</v>
      </c>
      <c r="I139" s="93"/>
      <c r="J139" s="103"/>
      <c r="K139" s="107"/>
      <c r="L139" s="107"/>
      <c r="M139" s="107"/>
      <c r="N139" s="107"/>
      <c r="O139" s="103"/>
      <c r="P139" s="103"/>
      <c r="Q139" s="103"/>
      <c r="R139" s="103"/>
      <c r="S139" s="94">
        <f t="shared" si="8"/>
        <v>16.3</v>
      </c>
      <c r="T139" s="95">
        <f t="shared" si="9"/>
        <v>833</v>
      </c>
      <c r="U139" s="95">
        <f t="shared" si="7"/>
        <v>0</v>
      </c>
      <c r="V139" s="95">
        <f t="shared" si="0"/>
        <v>0</v>
      </c>
      <c r="W139" s="96">
        <f t="shared" si="3"/>
        <v>786.06636709298311</v>
      </c>
      <c r="X139" s="96">
        <f>V139/[1]Manure!$I$2</f>
        <v>0</v>
      </c>
      <c r="Y139" s="96">
        <f>W139/[1]Manure!$I$2</f>
        <v>560.59991899300724</v>
      </c>
      <c r="Z139" s="96"/>
      <c r="AA139" s="96"/>
      <c r="AB139" s="95"/>
      <c r="AC139" s="11"/>
    </row>
    <row r="140" spans="1:29" ht="15.75" thickBot="1" x14ac:dyDescent="0.3">
      <c r="A140" s="97">
        <v>45507</v>
      </c>
      <c r="B140" s="92">
        <v>0.41666666666666702</v>
      </c>
      <c r="C140" s="99"/>
      <c r="D140" s="91"/>
      <c r="E140" s="91" t="s">
        <v>60</v>
      </c>
      <c r="F140" s="91">
        <v>20</v>
      </c>
      <c r="G140" s="93">
        <v>253690</v>
      </c>
      <c r="H140" s="93">
        <v>24.7</v>
      </c>
      <c r="I140" s="93"/>
      <c r="J140" s="103"/>
      <c r="K140" s="107"/>
      <c r="L140" s="107"/>
      <c r="M140" s="107"/>
      <c r="N140" s="107"/>
      <c r="O140" s="103"/>
      <c r="P140" s="103"/>
      <c r="Q140" s="103"/>
      <c r="R140" s="103"/>
      <c r="S140" s="94">
        <f t="shared" si="8"/>
        <v>24.7</v>
      </c>
      <c r="T140" s="95">
        <f t="shared" si="9"/>
        <v>851</v>
      </c>
      <c r="U140" s="95">
        <f t="shared" si="7"/>
        <v>0</v>
      </c>
      <c r="V140" s="95">
        <f t="shared" si="0"/>
        <v>0</v>
      </c>
      <c r="W140" s="96">
        <f t="shared" si="3"/>
        <v>780.39301310043675</v>
      </c>
      <c r="X140" s="96">
        <f>V140/[1]Manure!$I$2</f>
        <v>0</v>
      </c>
      <c r="Y140" s="96">
        <f>W140/[1]Manure!$I$2</f>
        <v>556.55384613989418</v>
      </c>
      <c r="Z140" s="96"/>
      <c r="AA140" s="96"/>
      <c r="AB140" s="95"/>
      <c r="AC140" s="11"/>
    </row>
    <row r="141" spans="1:29" ht="15.75" thickBot="1" x14ac:dyDescent="0.3">
      <c r="A141" s="97">
        <v>45509</v>
      </c>
      <c r="B141" s="92">
        <v>0.41666666666666702</v>
      </c>
      <c r="C141" s="99"/>
      <c r="D141" s="91"/>
      <c r="E141" s="91" t="s">
        <v>60</v>
      </c>
      <c r="F141" s="91">
        <v>20</v>
      </c>
      <c r="G141" s="93">
        <v>255339</v>
      </c>
      <c r="H141" s="93">
        <v>30.4</v>
      </c>
      <c r="I141" s="114"/>
      <c r="J141" s="103"/>
      <c r="K141" s="108"/>
      <c r="L141" s="108"/>
      <c r="M141" s="108"/>
      <c r="N141" s="107"/>
      <c r="O141" s="103"/>
      <c r="P141" s="103"/>
      <c r="Q141" s="103"/>
      <c r="R141" s="103"/>
      <c r="S141" s="94">
        <f t="shared" si="8"/>
        <v>30.4</v>
      </c>
      <c r="T141" s="95">
        <f t="shared" si="9"/>
        <v>1649</v>
      </c>
      <c r="U141" s="95">
        <f t="shared" si="7"/>
        <v>0</v>
      </c>
      <c r="V141" s="95">
        <f t="shared" si="0"/>
        <v>0</v>
      </c>
      <c r="W141" s="96">
        <f t="shared" si="3"/>
        <v>1483.7738958470668</v>
      </c>
      <c r="X141" s="96">
        <f>V141/[1]Manure!$I$2</f>
        <v>0</v>
      </c>
      <c r="Y141" s="96">
        <f>W141/[1]Manure!$I$2</f>
        <v>1058.1848564415313</v>
      </c>
      <c r="Z141" s="96"/>
      <c r="AA141" s="96"/>
      <c r="AB141" s="95"/>
      <c r="AC141" s="11"/>
    </row>
    <row r="142" spans="1:29" ht="15.75" thickBot="1" x14ac:dyDescent="0.3">
      <c r="A142" s="97">
        <v>45510</v>
      </c>
      <c r="B142" s="92">
        <v>0.41666666666666702</v>
      </c>
      <c r="C142" s="99"/>
      <c r="D142" s="91"/>
      <c r="E142" s="91" t="s">
        <v>60</v>
      </c>
      <c r="F142" s="91">
        <v>20</v>
      </c>
      <c r="G142" s="93">
        <v>256163</v>
      </c>
      <c r="H142" s="93">
        <v>27.4</v>
      </c>
      <c r="I142" s="93"/>
      <c r="J142" s="103"/>
      <c r="K142" s="108"/>
      <c r="L142" s="108"/>
      <c r="M142" s="108"/>
      <c r="N142" s="107"/>
      <c r="O142" s="103"/>
      <c r="P142" s="103"/>
      <c r="Q142" s="103"/>
      <c r="R142" s="103"/>
      <c r="S142" s="94">
        <f t="shared" si="8"/>
        <v>27.4</v>
      </c>
      <c r="T142" s="95">
        <f t="shared" si="9"/>
        <v>824</v>
      </c>
      <c r="U142" s="95">
        <f t="shared" si="7"/>
        <v>0</v>
      </c>
      <c r="V142" s="95">
        <f t="shared" si="0"/>
        <v>0</v>
      </c>
      <c r="W142" s="96">
        <f t="shared" si="3"/>
        <v>748.84154460719049</v>
      </c>
      <c r="X142" s="96">
        <f>V142/[1]Manure!$I$2</f>
        <v>0</v>
      </c>
      <c r="Y142" s="96">
        <f>W142/[1]Manure!$I$2</f>
        <v>534.05224650163871</v>
      </c>
      <c r="Z142" s="96"/>
      <c r="AA142" s="96"/>
      <c r="AB142" s="95"/>
      <c r="AC142" s="11"/>
    </row>
    <row r="143" spans="1:29" ht="15.75" thickBot="1" x14ac:dyDescent="0.3">
      <c r="A143" s="97">
        <v>45511</v>
      </c>
      <c r="B143" s="92">
        <v>0.41666666666666702</v>
      </c>
      <c r="C143" s="99"/>
      <c r="D143" s="91"/>
      <c r="E143" s="91" t="s">
        <v>60</v>
      </c>
      <c r="F143" s="91">
        <v>20</v>
      </c>
      <c r="G143" s="93">
        <v>256983</v>
      </c>
      <c r="H143" s="93">
        <v>25.2</v>
      </c>
      <c r="I143" s="93"/>
      <c r="J143" s="103"/>
      <c r="K143" s="108"/>
      <c r="L143" s="108"/>
      <c r="M143" s="108"/>
      <c r="N143" s="107"/>
      <c r="O143" s="103"/>
      <c r="P143" s="103"/>
      <c r="Q143" s="103"/>
      <c r="R143" s="103"/>
      <c r="S143" s="94">
        <f t="shared" si="8"/>
        <v>25.2</v>
      </c>
      <c r="T143" s="95">
        <f t="shared" si="9"/>
        <v>820</v>
      </c>
      <c r="U143" s="95">
        <f t="shared" si="7"/>
        <v>0</v>
      </c>
      <c r="V143" s="95">
        <f t="shared" si="0"/>
        <v>0</v>
      </c>
      <c r="W143" s="96">
        <f t="shared" si="3"/>
        <v>750.70422535211264</v>
      </c>
      <c r="X143" s="96">
        <f>V143/[1]Manure!$I$2</f>
        <v>0</v>
      </c>
      <c r="Y143" s="96">
        <f>W143/[1]Manure!$I$2</f>
        <v>535.38065682222634</v>
      </c>
      <c r="Z143" s="96"/>
      <c r="AA143" s="96"/>
      <c r="AB143" s="95"/>
      <c r="AC143" s="11"/>
    </row>
    <row r="144" spans="1:29" ht="15.75" thickBot="1" x14ac:dyDescent="0.3">
      <c r="A144" s="97">
        <v>45512</v>
      </c>
      <c r="B144" s="92">
        <v>0.41666666666666669</v>
      </c>
      <c r="C144" s="99"/>
      <c r="D144" s="91"/>
      <c r="E144" s="114" t="s">
        <v>60</v>
      </c>
      <c r="F144" s="91">
        <v>20</v>
      </c>
      <c r="G144" s="93">
        <v>257863</v>
      </c>
      <c r="H144" s="93"/>
      <c r="I144" s="93"/>
      <c r="J144" s="103"/>
      <c r="K144" s="108"/>
      <c r="L144" s="108"/>
      <c r="M144" s="108"/>
      <c r="N144" s="107"/>
      <c r="O144" s="103"/>
      <c r="P144" s="103"/>
      <c r="Q144" s="103"/>
      <c r="R144" s="103"/>
      <c r="S144" s="94">
        <f t="shared" si="8"/>
        <v>0</v>
      </c>
      <c r="T144" s="95">
        <f t="shared" si="9"/>
        <v>880</v>
      </c>
      <c r="U144" s="95">
        <f t="shared" si="7"/>
        <v>0</v>
      </c>
      <c r="V144" s="95"/>
      <c r="W144" s="96"/>
      <c r="X144" s="96"/>
      <c r="Y144" s="96"/>
      <c r="Z144" s="96"/>
      <c r="AA144" s="96"/>
      <c r="AB144" s="95"/>
      <c r="AC144" s="11"/>
    </row>
    <row r="145" spans="1:29" ht="15.75" thickBot="1" x14ac:dyDescent="0.3">
      <c r="A145" s="97">
        <v>45513</v>
      </c>
      <c r="B145" s="92">
        <v>0.41666666666666702</v>
      </c>
      <c r="C145" s="99"/>
      <c r="D145" s="91"/>
      <c r="E145" s="91" t="s">
        <v>60</v>
      </c>
      <c r="F145" s="91">
        <v>20</v>
      </c>
      <c r="G145" s="93">
        <v>258664</v>
      </c>
      <c r="H145" s="93">
        <v>16.899999999999999</v>
      </c>
      <c r="I145" s="93"/>
      <c r="J145" s="103"/>
      <c r="K145" s="108"/>
      <c r="L145" s="108"/>
      <c r="M145" s="108"/>
      <c r="N145" s="107"/>
      <c r="O145" s="103"/>
      <c r="P145" s="103"/>
      <c r="Q145" s="103"/>
      <c r="R145" s="103"/>
      <c r="S145" s="94">
        <f t="shared" si="8"/>
        <v>16.899999999999999</v>
      </c>
      <c r="T145" s="95">
        <f t="shared" si="9"/>
        <v>801</v>
      </c>
      <c r="U145" s="95">
        <f t="shared" si="7"/>
        <v>0</v>
      </c>
      <c r="V145" s="95">
        <f t="shared" si="0"/>
        <v>0</v>
      </c>
      <c r="W145" s="96">
        <f t="shared" si="3"/>
        <v>754.30493273542606</v>
      </c>
      <c r="X145" s="96">
        <f>V145/[1]Manure!$I$2</f>
        <v>0</v>
      </c>
      <c r="Y145" s="96">
        <f>W145/[1]Manure!$I$2</f>
        <v>537.94857774074626</v>
      </c>
      <c r="Z145" s="96"/>
      <c r="AA145" s="96"/>
      <c r="AB145" s="95"/>
      <c r="AC145" s="11"/>
    </row>
    <row r="146" spans="1:29" ht="15.75" thickBot="1" x14ac:dyDescent="0.3">
      <c r="A146" s="97">
        <v>45514</v>
      </c>
      <c r="B146" s="92">
        <v>0.41666666666666702</v>
      </c>
      <c r="C146" s="99"/>
      <c r="D146" s="91"/>
      <c r="E146" s="91" t="s">
        <v>60</v>
      </c>
      <c r="F146" s="91">
        <v>20</v>
      </c>
      <c r="G146" s="93">
        <v>259497</v>
      </c>
      <c r="H146" s="93">
        <v>16.2</v>
      </c>
      <c r="I146" s="93"/>
      <c r="J146" s="103"/>
      <c r="K146" s="108"/>
      <c r="L146" s="108"/>
      <c r="M146" s="108"/>
      <c r="N146" s="107"/>
      <c r="O146" s="103"/>
      <c r="P146" s="103"/>
      <c r="Q146" s="103"/>
      <c r="R146" s="103"/>
      <c r="S146" s="94">
        <f t="shared" si="8"/>
        <v>16.2</v>
      </c>
      <c r="T146" s="95">
        <f t="shared" si="9"/>
        <v>833</v>
      </c>
      <c r="U146" s="95">
        <f t="shared" si="7"/>
        <v>0</v>
      </c>
      <c r="V146" s="95">
        <f t="shared" si="0"/>
        <v>0</v>
      </c>
      <c r="W146" s="96">
        <f t="shared" si="3"/>
        <v>786.33817427385895</v>
      </c>
      <c r="X146" s="96">
        <f>V146/[1]Manure!$I$2</f>
        <v>0</v>
      </c>
      <c r="Y146" s="96">
        <f>W146/[1]Manure!$I$2</f>
        <v>560.79376405489973</v>
      </c>
      <c r="Z146" s="96"/>
      <c r="AA146" s="96"/>
      <c r="AB146" s="95"/>
      <c r="AC146" s="11"/>
    </row>
    <row r="147" spans="1:29" ht="15.75" thickBot="1" x14ac:dyDescent="0.3">
      <c r="A147" s="97">
        <v>45516</v>
      </c>
      <c r="B147" s="92">
        <v>0.41666666666666702</v>
      </c>
      <c r="C147" s="99"/>
      <c r="D147" s="91"/>
      <c r="E147" s="91" t="s">
        <v>60</v>
      </c>
      <c r="F147" s="91">
        <v>20</v>
      </c>
      <c r="G147" s="93">
        <v>261122</v>
      </c>
      <c r="H147" s="93">
        <v>18.100000000000001</v>
      </c>
      <c r="I147" s="93"/>
      <c r="J147" s="103"/>
      <c r="K147" s="108"/>
      <c r="L147" s="108"/>
      <c r="M147" s="108"/>
      <c r="N147" s="107"/>
      <c r="O147" s="103"/>
      <c r="P147" s="103"/>
      <c r="Q147" s="103"/>
      <c r="R147" s="103"/>
      <c r="S147" s="94">
        <f t="shared" si="8"/>
        <v>18.100000000000001</v>
      </c>
      <c r="T147" s="95">
        <f t="shared" si="9"/>
        <v>1625</v>
      </c>
      <c r="U147" s="95">
        <f t="shared" si="7"/>
        <v>0</v>
      </c>
      <c r="V147" s="95">
        <f t="shared" si="0"/>
        <v>0</v>
      </c>
      <c r="W147" s="96">
        <f t="shared" si="3"/>
        <v>1523.9608381999312</v>
      </c>
      <c r="X147" s="96">
        <f>V147/[1]Manure!$I$2</f>
        <v>0</v>
      </c>
      <c r="Y147" s="96">
        <f>W147/[1]Manure!$I$2</f>
        <v>1086.845027606096</v>
      </c>
      <c r="Z147" s="96"/>
      <c r="AA147" s="96"/>
      <c r="AB147" s="95"/>
      <c r="AC147" s="11"/>
    </row>
    <row r="148" spans="1:29" ht="15.75" thickBot="1" x14ac:dyDescent="0.3">
      <c r="A148" s="97">
        <v>45517</v>
      </c>
      <c r="B148" s="92">
        <v>0.41666666666666702</v>
      </c>
      <c r="C148" s="99"/>
      <c r="D148" s="91"/>
      <c r="E148" s="91" t="s">
        <v>60</v>
      </c>
      <c r="F148" s="91">
        <v>20</v>
      </c>
      <c r="G148" s="93">
        <v>261949</v>
      </c>
      <c r="H148" s="93">
        <v>18.100000000000001</v>
      </c>
      <c r="I148" s="93"/>
      <c r="J148" s="103"/>
      <c r="K148" s="108"/>
      <c r="L148" s="108"/>
      <c r="M148" s="108"/>
      <c r="N148" s="107"/>
      <c r="O148" s="103"/>
      <c r="P148" s="103"/>
      <c r="Q148" s="103"/>
      <c r="R148" s="103"/>
      <c r="S148" s="94">
        <f t="shared" si="8"/>
        <v>18.100000000000001</v>
      </c>
      <c r="T148" s="95">
        <f t="shared" si="9"/>
        <v>827</v>
      </c>
      <c r="U148" s="95">
        <f t="shared" si="7"/>
        <v>0</v>
      </c>
      <c r="V148" s="95">
        <f t="shared" si="0"/>
        <v>0</v>
      </c>
      <c r="W148" s="96">
        <f t="shared" si="3"/>
        <v>775.57883888698029</v>
      </c>
      <c r="X148" s="96">
        <f>V148/[1]Manure!$I$2</f>
        <v>0</v>
      </c>
      <c r="Y148" s="96">
        <f>W148/[1]Manure!$I$2</f>
        <v>553.12051558784083</v>
      </c>
      <c r="Z148" s="96"/>
      <c r="AA148" s="96"/>
      <c r="AB148" s="95"/>
      <c r="AC148" s="11"/>
    </row>
    <row r="149" spans="1:29" ht="15.75" thickBot="1" x14ac:dyDescent="0.3">
      <c r="A149" s="97">
        <v>45518</v>
      </c>
      <c r="B149" s="92">
        <v>0.41666666666666702</v>
      </c>
      <c r="C149" s="99"/>
      <c r="D149" s="91"/>
      <c r="E149" s="91" t="s">
        <v>60</v>
      </c>
      <c r="F149" s="91">
        <v>20</v>
      </c>
      <c r="G149" s="93">
        <v>262767</v>
      </c>
      <c r="H149" s="93">
        <v>22</v>
      </c>
      <c r="I149" s="93"/>
      <c r="J149" s="103"/>
      <c r="K149" s="108"/>
      <c r="L149" s="108"/>
      <c r="M149" s="108"/>
      <c r="N149" s="107"/>
      <c r="O149" s="103"/>
      <c r="P149" s="103"/>
      <c r="Q149" s="103"/>
      <c r="R149" s="103"/>
      <c r="S149" s="94">
        <f t="shared" si="8"/>
        <v>22</v>
      </c>
      <c r="T149" s="95">
        <f t="shared" si="9"/>
        <v>818</v>
      </c>
      <c r="U149" s="95">
        <f t="shared" si="7"/>
        <v>0</v>
      </c>
      <c r="V149" s="95">
        <f t="shared" si="0"/>
        <v>0</v>
      </c>
      <c r="W149" s="96">
        <f t="shared" si="3"/>
        <v>756.99661016949153</v>
      </c>
      <c r="X149" s="96">
        <f>V149/[1]Manure!$I$2</f>
        <v>0</v>
      </c>
      <c r="Y149" s="96">
        <f>W149/[1]Manure!$I$2</f>
        <v>539.86820465096866</v>
      </c>
      <c r="Z149" s="96"/>
      <c r="AA149" s="96"/>
      <c r="AB149" s="95"/>
      <c r="AC149" s="11"/>
    </row>
    <row r="150" spans="1:29" ht="15.75" thickBot="1" x14ac:dyDescent="0.3">
      <c r="A150" s="97">
        <v>45519</v>
      </c>
      <c r="B150" s="92">
        <v>0.41666666666666702</v>
      </c>
      <c r="C150" s="99"/>
      <c r="D150" s="91"/>
      <c r="E150" s="91" t="s">
        <v>60</v>
      </c>
      <c r="F150" s="91">
        <v>20</v>
      </c>
      <c r="G150" s="93">
        <v>263591</v>
      </c>
      <c r="H150" s="93">
        <v>20.5</v>
      </c>
      <c r="I150" s="93"/>
      <c r="J150" s="103"/>
      <c r="K150" s="108"/>
      <c r="L150" s="108"/>
      <c r="M150" s="108"/>
      <c r="N150" s="107"/>
      <c r="O150" s="103"/>
      <c r="P150" s="103"/>
      <c r="Q150" s="103"/>
      <c r="R150" s="103"/>
      <c r="S150" s="94">
        <f t="shared" si="8"/>
        <v>20.5</v>
      </c>
      <c r="T150" s="95">
        <f t="shared" si="9"/>
        <v>824</v>
      </c>
      <c r="U150" s="95">
        <f t="shared" si="7"/>
        <v>0</v>
      </c>
      <c r="V150" s="95">
        <f t="shared" si="0"/>
        <v>0</v>
      </c>
      <c r="W150" s="96">
        <f t="shared" si="3"/>
        <v>766.44633730834744</v>
      </c>
      <c r="X150" s="96">
        <f>V150/[1]Manure!$I$2</f>
        <v>0</v>
      </c>
      <c r="Y150" s="96">
        <f>W150/[1]Manure!$I$2</f>
        <v>546.60747819111486</v>
      </c>
      <c r="Z150" s="96"/>
      <c r="AA150" s="96"/>
      <c r="AB150" s="95"/>
      <c r="AC150" s="11"/>
    </row>
    <row r="151" spans="1:29" ht="15.75" thickBot="1" x14ac:dyDescent="0.3">
      <c r="A151" s="97">
        <v>45520</v>
      </c>
      <c r="B151" s="92">
        <v>0.41666666666666702</v>
      </c>
      <c r="C151" s="99"/>
      <c r="D151" s="91"/>
      <c r="E151" s="91" t="s">
        <v>60</v>
      </c>
      <c r="F151" s="91">
        <v>20</v>
      </c>
      <c r="G151" s="93">
        <v>264347</v>
      </c>
      <c r="H151" s="93">
        <v>17.600000000000001</v>
      </c>
      <c r="I151" s="93"/>
      <c r="J151" s="103"/>
      <c r="K151" s="108"/>
      <c r="L151" s="108"/>
      <c r="M151" s="108"/>
      <c r="N151" s="107"/>
      <c r="O151" s="103"/>
      <c r="P151" s="103"/>
      <c r="Q151" s="103"/>
      <c r="R151" s="103"/>
      <c r="S151" s="94">
        <f t="shared" si="8"/>
        <v>17.600000000000001</v>
      </c>
      <c r="T151" s="95">
        <f t="shared" si="9"/>
        <v>756</v>
      </c>
      <c r="U151" s="95">
        <f t="shared" si="7"/>
        <v>0</v>
      </c>
      <c r="V151" s="95">
        <f t="shared" si="0"/>
        <v>0</v>
      </c>
      <c r="W151" s="96">
        <f t="shared" si="3"/>
        <v>710.21335168616656</v>
      </c>
      <c r="X151" s="96">
        <f>V151/[1]Manure!$I$2</f>
        <v>0</v>
      </c>
      <c r="Y151" s="96">
        <f>W151/[1]Manure!$I$2</f>
        <v>506.50373058884588</v>
      </c>
      <c r="Z151" s="96"/>
      <c r="AA151" s="96"/>
      <c r="AB151" s="95"/>
      <c r="AC151" s="11"/>
    </row>
    <row r="152" spans="1:29" ht="15.75" thickBot="1" x14ac:dyDescent="0.3">
      <c r="A152" s="97">
        <v>45521</v>
      </c>
      <c r="B152" s="92">
        <v>0.41666666666666702</v>
      </c>
      <c r="C152" s="99"/>
      <c r="D152" s="91"/>
      <c r="E152" s="91" t="s">
        <v>60</v>
      </c>
      <c r="F152" s="91">
        <v>20</v>
      </c>
      <c r="G152" s="93">
        <v>265155</v>
      </c>
      <c r="H152" s="93">
        <v>23.1</v>
      </c>
      <c r="I152" s="93"/>
      <c r="J152" s="103"/>
      <c r="K152" s="108"/>
      <c r="L152" s="108"/>
      <c r="M152" s="108"/>
      <c r="N152" s="107"/>
      <c r="O152" s="103"/>
      <c r="P152" s="103"/>
      <c r="Q152" s="103"/>
      <c r="R152" s="103"/>
      <c r="S152" s="94">
        <f t="shared" si="8"/>
        <v>23.1</v>
      </c>
      <c r="T152" s="95">
        <f t="shared" si="9"/>
        <v>808</v>
      </c>
      <c r="U152" s="95">
        <f t="shared" si="7"/>
        <v>0</v>
      </c>
      <c r="V152" s="95">
        <f t="shared" si="0"/>
        <v>0</v>
      </c>
      <c r="W152" s="96">
        <f t="shared" si="3"/>
        <v>744.96453900709207</v>
      </c>
      <c r="X152" s="96">
        <f>V152/[1]Manure!$I$2</f>
        <v>0</v>
      </c>
      <c r="Y152" s="96">
        <f>W152/[1]Manure!$I$2</f>
        <v>531.28727764361668</v>
      </c>
      <c r="Z152" s="96"/>
      <c r="AA152" s="96"/>
      <c r="AB152" s="95"/>
      <c r="AC152" s="11"/>
    </row>
    <row r="153" spans="1:29" ht="15.75" thickBot="1" x14ac:dyDescent="0.3">
      <c r="A153" s="97">
        <v>45523</v>
      </c>
      <c r="B153" s="92">
        <v>0.41666666666666702</v>
      </c>
      <c r="C153" s="99"/>
      <c r="D153" s="91"/>
      <c r="E153" s="91" t="s">
        <v>60</v>
      </c>
      <c r="F153" s="91">
        <v>20</v>
      </c>
      <c r="G153" s="93">
        <v>266685</v>
      </c>
      <c r="H153" s="93">
        <v>19</v>
      </c>
      <c r="I153" s="93"/>
      <c r="J153" s="103"/>
      <c r="K153" s="108"/>
      <c r="L153" s="108"/>
      <c r="M153" s="108"/>
      <c r="N153" s="107"/>
      <c r="O153" s="103"/>
      <c r="P153" s="103"/>
      <c r="Q153" s="103"/>
      <c r="R153" s="103"/>
      <c r="S153" s="94">
        <f t="shared" si="8"/>
        <v>19</v>
      </c>
      <c r="T153" s="95">
        <f t="shared" si="9"/>
        <v>1530</v>
      </c>
      <c r="U153" s="95">
        <f t="shared" si="7"/>
        <v>0</v>
      </c>
      <c r="V153" s="95">
        <f t="shared" si="0"/>
        <v>0</v>
      </c>
      <c r="W153" s="96">
        <f t="shared" si="3"/>
        <v>1430.4452054794519</v>
      </c>
      <c r="X153" s="96">
        <f>V153/[1]Manure!$I$2</f>
        <v>0</v>
      </c>
      <c r="Y153" s="96">
        <f>W153/[1]Manure!$I$2</f>
        <v>1020.1523686623517</v>
      </c>
      <c r="Z153" s="96"/>
      <c r="AA153" s="96"/>
      <c r="AB153" s="95"/>
      <c r="AC153" s="11"/>
    </row>
    <row r="154" spans="1:29" ht="15.75" thickBot="1" x14ac:dyDescent="0.3">
      <c r="A154" s="97">
        <v>45524</v>
      </c>
      <c r="B154" s="92">
        <v>0.41666666666666702</v>
      </c>
      <c r="C154" s="99"/>
      <c r="D154" s="91"/>
      <c r="E154" s="91" t="s">
        <v>60</v>
      </c>
      <c r="F154" s="91">
        <v>20</v>
      </c>
      <c r="G154" s="93">
        <v>267517</v>
      </c>
      <c r="H154" s="93">
        <v>22.4</v>
      </c>
      <c r="I154" s="93"/>
      <c r="J154" s="103"/>
      <c r="K154" s="107"/>
      <c r="L154" s="107"/>
      <c r="M154" s="107"/>
      <c r="N154" s="107"/>
      <c r="O154" s="103"/>
      <c r="P154" s="103"/>
      <c r="Q154" s="103"/>
      <c r="R154" s="103"/>
      <c r="S154" s="94">
        <f t="shared" si="8"/>
        <v>22.4</v>
      </c>
      <c r="T154" s="95">
        <f t="shared" si="9"/>
        <v>832</v>
      </c>
      <c r="U154" s="95">
        <f t="shared" si="7"/>
        <v>0</v>
      </c>
      <c r="V154" s="95">
        <f t="shared" si="0"/>
        <v>0</v>
      </c>
      <c r="W154" s="96">
        <f t="shared" si="3"/>
        <v>768.90995260663522</v>
      </c>
      <c r="X154" s="96">
        <f>V154/[1]Manure!$I$2</f>
        <v>0</v>
      </c>
      <c r="Y154" s="96">
        <f>W154/[1]Manure!$I$2</f>
        <v>548.3644577471257</v>
      </c>
      <c r="Z154" s="96"/>
      <c r="AA154" s="96"/>
      <c r="AB154" s="95"/>
      <c r="AC154" s="11"/>
    </row>
    <row r="155" spans="1:29" ht="15.75" thickBot="1" x14ac:dyDescent="0.3">
      <c r="A155" s="97">
        <v>45525</v>
      </c>
      <c r="B155" s="92">
        <v>0.41666666666666702</v>
      </c>
      <c r="C155" s="99"/>
      <c r="D155" s="91"/>
      <c r="E155" s="91" t="s">
        <v>60</v>
      </c>
      <c r="F155" s="91">
        <v>20</v>
      </c>
      <c r="G155" s="93">
        <v>268291</v>
      </c>
      <c r="H155" s="93">
        <v>16</v>
      </c>
      <c r="I155" s="93"/>
      <c r="J155" s="103"/>
      <c r="K155" s="107"/>
      <c r="L155" s="107"/>
      <c r="M155" s="107"/>
      <c r="N155" s="107"/>
      <c r="O155" s="103"/>
      <c r="P155" s="103"/>
      <c r="Q155" s="103"/>
      <c r="R155" s="103"/>
      <c r="S155" s="94">
        <f t="shared" si="8"/>
        <v>16</v>
      </c>
      <c r="T155" s="95">
        <f t="shared" si="9"/>
        <v>774</v>
      </c>
      <c r="U155" s="95">
        <f t="shared" si="7"/>
        <v>0</v>
      </c>
      <c r="V155" s="95">
        <f t="shared" si="0"/>
        <v>0</v>
      </c>
      <c r="W155" s="96">
        <f t="shared" si="3"/>
        <v>731.14878892733566</v>
      </c>
      <c r="X155" s="96">
        <f>V155/[1]Manure!$I$2</f>
        <v>0</v>
      </c>
      <c r="Y155" s="96">
        <f>W155/[1]Manure!$I$2</f>
        <v>521.43428214632559</v>
      </c>
      <c r="Z155" s="96"/>
      <c r="AA155" s="96"/>
      <c r="AB155" s="95"/>
      <c r="AC155" s="11"/>
    </row>
    <row r="156" spans="1:29" ht="15.75" thickBot="1" x14ac:dyDescent="0.3">
      <c r="A156" s="97">
        <v>45526</v>
      </c>
      <c r="B156" s="92">
        <v>0.41666666666666702</v>
      </c>
      <c r="C156" s="99"/>
      <c r="D156" s="91"/>
      <c r="E156" s="91" t="s">
        <v>60</v>
      </c>
      <c r="F156" s="91">
        <v>20</v>
      </c>
      <c r="G156" s="93">
        <v>269148</v>
      </c>
      <c r="H156" s="93">
        <v>16.3</v>
      </c>
      <c r="I156" s="93"/>
      <c r="J156" s="103"/>
      <c r="K156" s="107"/>
      <c r="L156" s="107"/>
      <c r="M156" s="107"/>
      <c r="N156" s="107"/>
      <c r="O156" s="103"/>
      <c r="P156" s="103"/>
      <c r="Q156" s="103"/>
      <c r="R156" s="103"/>
      <c r="S156" s="94">
        <f t="shared" si="8"/>
        <v>16.3</v>
      </c>
      <c r="T156" s="95">
        <f t="shared" si="9"/>
        <v>857</v>
      </c>
      <c r="U156" s="95">
        <f t="shared" si="7"/>
        <v>0</v>
      </c>
      <c r="V156" s="95">
        <f t="shared" si="0"/>
        <v>0</v>
      </c>
      <c r="W156" s="96">
        <f t="shared" si="3"/>
        <v>808.71413757345317</v>
      </c>
      <c r="X156" s="96">
        <f>V156/[1]Manure!$I$2</f>
        <v>0</v>
      </c>
      <c r="Y156" s="96">
        <f>W156/[1]Manure!$I$2</f>
        <v>576.75165735535074</v>
      </c>
      <c r="Z156" s="96"/>
      <c r="AA156" s="96"/>
      <c r="AB156" s="95"/>
      <c r="AC156" s="11"/>
    </row>
    <row r="157" spans="1:29" ht="15.75" thickBot="1" x14ac:dyDescent="0.3">
      <c r="A157" s="97">
        <v>45527</v>
      </c>
      <c r="B157" s="92">
        <v>0.41666666666666702</v>
      </c>
      <c r="C157" s="99"/>
      <c r="D157" s="91"/>
      <c r="E157" s="91" t="s">
        <v>60</v>
      </c>
      <c r="F157" s="91">
        <v>20</v>
      </c>
      <c r="G157" s="93">
        <v>269983</v>
      </c>
      <c r="H157" s="93">
        <v>19.899999999999999</v>
      </c>
      <c r="I157" s="93"/>
      <c r="J157" s="103"/>
      <c r="K157" s="107"/>
      <c r="L157" s="107"/>
      <c r="M157" s="107"/>
      <c r="N157" s="107"/>
      <c r="O157" s="103"/>
      <c r="P157" s="103"/>
      <c r="Q157" s="103"/>
      <c r="R157" s="103"/>
      <c r="S157" s="94">
        <f t="shared" si="8"/>
        <v>19.899999999999999</v>
      </c>
      <c r="T157" s="95">
        <f t="shared" si="9"/>
        <v>835</v>
      </c>
      <c r="U157" s="95">
        <f t="shared" si="7"/>
        <v>0</v>
      </c>
      <c r="V157" s="95">
        <f t="shared" si="0"/>
        <v>0</v>
      </c>
      <c r="W157" s="96">
        <f t="shared" si="3"/>
        <v>778.26903379993178</v>
      </c>
      <c r="X157" s="96">
        <f>V157/[1]Manure!$I$2</f>
        <v>0</v>
      </c>
      <c r="Y157" s="96">
        <f>W157/[1]Manure!$I$2</f>
        <v>555.0390852066547</v>
      </c>
      <c r="Z157" s="96"/>
      <c r="AA157" s="96"/>
      <c r="AB157" s="95"/>
      <c r="AC157" s="11"/>
    </row>
    <row r="158" spans="1:29" ht="15.75" thickBot="1" x14ac:dyDescent="0.3">
      <c r="A158" s="97">
        <v>45528</v>
      </c>
      <c r="B158" s="92">
        <v>0.41666666666666702</v>
      </c>
      <c r="C158" s="99"/>
      <c r="D158" s="91"/>
      <c r="E158" s="91" t="s">
        <v>60</v>
      </c>
      <c r="F158" s="91">
        <v>20</v>
      </c>
      <c r="G158" s="93">
        <v>270704</v>
      </c>
      <c r="H158" s="93">
        <v>16.3</v>
      </c>
      <c r="I158" s="93"/>
      <c r="J158" s="103"/>
      <c r="K158" s="107"/>
      <c r="L158" s="107"/>
      <c r="M158" s="107"/>
      <c r="N158" s="107"/>
      <c r="O158" s="103"/>
      <c r="P158" s="103"/>
      <c r="Q158" s="103"/>
      <c r="R158" s="103"/>
      <c r="S158" s="94">
        <f t="shared" si="8"/>
        <v>16.3</v>
      </c>
      <c r="T158" s="95">
        <f t="shared" si="9"/>
        <v>721</v>
      </c>
      <c r="U158" s="95">
        <f t="shared" si="7"/>
        <v>0</v>
      </c>
      <c r="V158" s="95">
        <f t="shared" si="0"/>
        <v>0</v>
      </c>
      <c r="W158" s="96">
        <f t="shared" si="3"/>
        <v>680.37677151745595</v>
      </c>
      <c r="X158" s="96">
        <f>V158/[1]Manure!$I$2</f>
        <v>0</v>
      </c>
      <c r="Y158" s="96">
        <f>W158/[1]Manure!$I$2</f>
        <v>485.22513996873738</v>
      </c>
      <c r="Z158" s="96"/>
      <c r="AA158" s="96"/>
      <c r="AB158" s="95"/>
      <c r="AC158" s="11"/>
    </row>
    <row r="159" spans="1:29" ht="15.75" thickBot="1" x14ac:dyDescent="0.3">
      <c r="A159" s="97">
        <v>45530</v>
      </c>
      <c r="B159" s="92">
        <v>0.41666666666666702</v>
      </c>
      <c r="C159" s="99"/>
      <c r="D159" s="91"/>
      <c r="E159" s="91" t="s">
        <v>60</v>
      </c>
      <c r="F159" s="91">
        <v>20</v>
      </c>
      <c r="G159" s="93">
        <v>272247</v>
      </c>
      <c r="H159" s="93">
        <v>17.899999999999999</v>
      </c>
      <c r="I159" s="93"/>
      <c r="J159" s="103"/>
      <c r="K159" s="107"/>
      <c r="L159" s="107"/>
      <c r="M159" s="107"/>
      <c r="N159" s="107"/>
      <c r="O159" s="103"/>
      <c r="P159" s="103"/>
      <c r="Q159" s="103"/>
      <c r="R159" s="103"/>
      <c r="S159" s="94">
        <f t="shared" si="8"/>
        <v>17.899999999999999</v>
      </c>
      <c r="T159" s="95">
        <f t="shared" si="9"/>
        <v>1543</v>
      </c>
      <c r="U159" s="95">
        <f t="shared" si="7"/>
        <v>0</v>
      </c>
      <c r="V159" s="95">
        <f t="shared" si="0"/>
        <v>0</v>
      </c>
      <c r="W159" s="96">
        <f t="shared" si="3"/>
        <v>1448.0543141973187</v>
      </c>
      <c r="X159" s="96">
        <f>V159/[1]Manure!$I$2</f>
        <v>0</v>
      </c>
      <c r="Y159" s="96">
        <f>W159/[1]Manure!$I$2</f>
        <v>1032.7106784107796</v>
      </c>
      <c r="Z159" s="96"/>
      <c r="AA159" s="96"/>
      <c r="AB159" s="95"/>
      <c r="AC159" s="11"/>
    </row>
    <row r="160" spans="1:29" ht="15.75" thickBot="1" x14ac:dyDescent="0.3">
      <c r="A160" s="97">
        <v>45531</v>
      </c>
      <c r="B160" s="92">
        <v>0.41666666666666702</v>
      </c>
      <c r="C160" s="99"/>
      <c r="D160" s="91"/>
      <c r="E160" s="91" t="s">
        <v>60</v>
      </c>
      <c r="F160" s="91">
        <v>20</v>
      </c>
      <c r="G160" s="93">
        <v>273051</v>
      </c>
      <c r="H160" s="93">
        <v>20.9</v>
      </c>
      <c r="I160" s="93"/>
      <c r="J160" s="103"/>
      <c r="K160" s="107"/>
      <c r="L160" s="107"/>
      <c r="M160" s="107"/>
      <c r="N160" s="107"/>
      <c r="O160" s="103"/>
      <c r="P160" s="103"/>
      <c r="Q160" s="103"/>
      <c r="R160" s="103"/>
      <c r="S160" s="94">
        <f t="shared" si="8"/>
        <v>20.9</v>
      </c>
      <c r="T160" s="95">
        <f t="shared" si="9"/>
        <v>804</v>
      </c>
      <c r="U160" s="95">
        <f t="shared" si="7"/>
        <v>0</v>
      </c>
      <c r="V160" s="95">
        <f t="shared" si="0"/>
        <v>0</v>
      </c>
      <c r="W160" s="96">
        <f t="shared" si="3"/>
        <v>746.82545083361697</v>
      </c>
      <c r="X160" s="96">
        <f>V160/[1]Manure!$I$2</f>
        <v>0</v>
      </c>
      <c r="Y160" s="96">
        <f>W160/[1]Manure!$I$2</f>
        <v>532.61442642249267</v>
      </c>
      <c r="Z160" s="96"/>
      <c r="AA160" s="96"/>
      <c r="AB160" s="95"/>
      <c r="AC160" s="11"/>
    </row>
    <row r="161" spans="1:29" ht="15.75" thickBot="1" x14ac:dyDescent="0.3">
      <c r="A161" s="97">
        <v>45532</v>
      </c>
      <c r="B161" s="92">
        <v>0.41666666666666702</v>
      </c>
      <c r="C161" s="99"/>
      <c r="D161" s="91"/>
      <c r="E161" s="91" t="s">
        <v>60</v>
      </c>
      <c r="F161" s="91">
        <v>20</v>
      </c>
      <c r="G161" s="93">
        <v>273805</v>
      </c>
      <c r="H161" s="93">
        <v>24.6</v>
      </c>
      <c r="I161" s="93"/>
      <c r="J161" s="103"/>
      <c r="K161" s="107"/>
      <c r="L161" s="107"/>
      <c r="M161" s="107"/>
      <c r="N161" s="107"/>
      <c r="O161" s="103"/>
      <c r="P161" s="103"/>
      <c r="Q161" s="103"/>
      <c r="R161" s="103"/>
      <c r="S161" s="94">
        <f t="shared" si="8"/>
        <v>24.6</v>
      </c>
      <c r="T161" s="95">
        <f t="shared" si="9"/>
        <v>754</v>
      </c>
      <c r="U161" s="95">
        <f t="shared" si="7"/>
        <v>0</v>
      </c>
      <c r="V161" s="95">
        <f t="shared" si="0"/>
        <v>0</v>
      </c>
      <c r="W161" s="96">
        <f t="shared" si="3"/>
        <v>691.67338709677415</v>
      </c>
      <c r="X161" s="96">
        <f>V161/[1]Manure!$I$2</f>
        <v>0</v>
      </c>
      <c r="Y161" s="96">
        <f>W161/[1]Manure!$I$2</f>
        <v>493.28156121225283</v>
      </c>
      <c r="Z161" s="96"/>
      <c r="AA161" s="96"/>
      <c r="AB161" s="95"/>
      <c r="AC161" s="11"/>
    </row>
    <row r="162" spans="1:29" ht="15.75" thickBot="1" x14ac:dyDescent="0.3">
      <c r="A162" s="97">
        <v>45533</v>
      </c>
      <c r="B162" s="92">
        <v>0.41666666666666702</v>
      </c>
      <c r="C162" s="99"/>
      <c r="D162" s="91"/>
      <c r="E162" s="91" t="s">
        <v>60</v>
      </c>
      <c r="F162" s="91">
        <v>20</v>
      </c>
      <c r="G162" s="93">
        <v>274632</v>
      </c>
      <c r="H162" s="93">
        <v>21.9</v>
      </c>
      <c r="I162" s="93"/>
      <c r="J162" s="103"/>
      <c r="K162" s="107"/>
      <c r="L162" s="107"/>
      <c r="M162" s="107"/>
      <c r="N162" s="107"/>
      <c r="O162" s="103"/>
      <c r="P162" s="103"/>
      <c r="Q162" s="103"/>
      <c r="R162" s="103"/>
      <c r="S162" s="94">
        <f t="shared" si="8"/>
        <v>21.9</v>
      </c>
      <c r="T162" s="95">
        <f t="shared" si="9"/>
        <v>827</v>
      </c>
      <c r="U162" s="95">
        <f t="shared" si="7"/>
        <v>0</v>
      </c>
      <c r="V162" s="95">
        <f t="shared" si="0"/>
        <v>0</v>
      </c>
      <c r="W162" s="96">
        <f t="shared" si="3"/>
        <v>765.58494404883015</v>
      </c>
      <c r="X162" s="96">
        <f>V162/[1]Manure!$I$2</f>
        <v>0</v>
      </c>
      <c r="Y162" s="96">
        <f>W162/[1]Manure!$I$2</f>
        <v>545.99315729949308</v>
      </c>
      <c r="Z162" s="96"/>
      <c r="AA162" s="96"/>
      <c r="AB162" s="98"/>
      <c r="AC162" s="11"/>
    </row>
    <row r="163" spans="1:29" ht="15.75" thickBot="1" x14ac:dyDescent="0.3">
      <c r="A163" s="97">
        <v>45534</v>
      </c>
      <c r="B163" s="92">
        <v>0.41666666666666702</v>
      </c>
      <c r="C163" s="99"/>
      <c r="D163" s="91"/>
      <c r="E163" s="91" t="s">
        <v>60</v>
      </c>
      <c r="F163" s="91">
        <v>20</v>
      </c>
      <c r="G163" s="93">
        <v>275482</v>
      </c>
      <c r="H163" s="93">
        <v>21.7</v>
      </c>
      <c r="I163" s="93"/>
      <c r="J163" s="103"/>
      <c r="K163" s="107"/>
      <c r="L163" s="107"/>
      <c r="M163" s="107"/>
      <c r="N163" s="107"/>
      <c r="O163" s="103"/>
      <c r="P163" s="103"/>
      <c r="Q163" s="103"/>
      <c r="R163" s="103"/>
      <c r="S163" s="94">
        <f t="shared" si="8"/>
        <v>21.7</v>
      </c>
      <c r="T163" s="95">
        <f t="shared" si="9"/>
        <v>850</v>
      </c>
      <c r="U163" s="95">
        <f t="shared" si="7"/>
        <v>0</v>
      </c>
      <c r="V163" s="95">
        <f t="shared" si="0"/>
        <v>0</v>
      </c>
      <c r="W163" s="96">
        <f t="shared" si="3"/>
        <v>787.41092636579583</v>
      </c>
      <c r="X163" s="96">
        <f>V163/[1]Manure!$I$2</f>
        <v>0</v>
      </c>
      <c r="Y163" s="96">
        <f>W163/[1]Manure!$I$2</f>
        <v>561.55881998530856</v>
      </c>
      <c r="Z163" s="96"/>
      <c r="AA163" s="96"/>
      <c r="AB163" s="95"/>
      <c r="AC163" s="11"/>
    </row>
    <row r="164" spans="1:29" ht="15.75" thickBot="1" x14ac:dyDescent="0.3">
      <c r="A164" s="97">
        <v>45535</v>
      </c>
      <c r="B164" s="92">
        <v>0.41666666666666702</v>
      </c>
      <c r="C164" s="91"/>
      <c r="D164" s="91"/>
      <c r="E164" s="91" t="s">
        <v>60</v>
      </c>
      <c r="F164" s="91">
        <v>20</v>
      </c>
      <c r="G164" s="93">
        <v>276321</v>
      </c>
      <c r="H164" s="93">
        <v>21.3</v>
      </c>
      <c r="I164" s="93"/>
      <c r="J164" s="103"/>
      <c r="K164" s="103"/>
      <c r="L164" s="103"/>
      <c r="M164" s="103"/>
      <c r="N164" s="103"/>
      <c r="O164" s="103"/>
      <c r="P164" s="103"/>
      <c r="Q164" s="103"/>
      <c r="R164" s="103"/>
      <c r="S164" s="94">
        <f t="shared" si="8"/>
        <v>21.3</v>
      </c>
      <c r="T164" s="95">
        <f t="shared" si="9"/>
        <v>839</v>
      </c>
      <c r="U164" s="95">
        <f t="shared" si="7"/>
        <v>0</v>
      </c>
      <c r="V164" s="95">
        <f t="shared" si="0"/>
        <v>0</v>
      </c>
      <c r="W164" s="96">
        <f t="shared" si="3"/>
        <v>778.2772680937818</v>
      </c>
      <c r="X164" s="96">
        <f>V164/[1]Manure!$I$2</f>
        <v>0</v>
      </c>
      <c r="Y164" s="96">
        <f>W164/[1]Manure!$I$2</f>
        <v>555.04495766813955</v>
      </c>
      <c r="Z164" s="96"/>
      <c r="AA164" s="96"/>
      <c r="AB164" s="95"/>
      <c r="AC164" s="11"/>
    </row>
    <row r="165" spans="1:29" ht="15.75" thickBot="1" x14ac:dyDescent="0.3">
      <c r="A165" s="97">
        <v>45537</v>
      </c>
      <c r="B165" s="92">
        <v>0.41666666666666702</v>
      </c>
      <c r="C165" s="91"/>
      <c r="D165" s="91"/>
      <c r="E165" s="91" t="s">
        <v>60</v>
      </c>
      <c r="F165" s="91">
        <v>20</v>
      </c>
      <c r="G165" s="93">
        <v>277829</v>
      </c>
      <c r="H165" s="93">
        <v>18.399999999999999</v>
      </c>
      <c r="I165" s="91"/>
      <c r="J165" s="103"/>
      <c r="K165" s="103"/>
      <c r="L165" s="103"/>
      <c r="M165" s="103"/>
      <c r="N165" s="103"/>
      <c r="O165" s="103"/>
      <c r="P165" s="103"/>
      <c r="Q165" s="103"/>
      <c r="R165" s="103"/>
      <c r="S165" s="94">
        <f t="shared" si="8"/>
        <v>18.399999999999999</v>
      </c>
      <c r="T165" s="95">
        <f t="shared" si="9"/>
        <v>1508</v>
      </c>
      <c r="U165" s="95">
        <f t="shared" ref="U165:U228" si="10">T165*(P165/100)</f>
        <v>0</v>
      </c>
      <c r="V165" s="95">
        <f t="shared" si="0"/>
        <v>0</v>
      </c>
      <c r="W165" s="96">
        <f t="shared" ref="W165:W228" si="11">T165*(273/(273+S165))</f>
        <v>1412.7796842827729</v>
      </c>
      <c r="X165" s="96">
        <f>V165/[1]Manure!$I$2</f>
        <v>0</v>
      </c>
      <c r="Y165" s="96">
        <f>W165/[1]Manure!$I$2</f>
        <v>1007.553827156942</v>
      </c>
      <c r="Z165" s="96"/>
      <c r="AA165" s="96"/>
      <c r="AB165" s="95"/>
      <c r="AC165" s="11"/>
    </row>
    <row r="166" spans="1:29" ht="15.75" thickBot="1" x14ac:dyDescent="0.3">
      <c r="A166" s="97">
        <v>45538</v>
      </c>
      <c r="B166" s="92">
        <v>0.41666666666666702</v>
      </c>
      <c r="C166" s="91"/>
      <c r="D166" s="91"/>
      <c r="E166" s="91" t="s">
        <v>60</v>
      </c>
      <c r="F166" s="91">
        <v>20</v>
      </c>
      <c r="G166" s="93">
        <v>278615</v>
      </c>
      <c r="H166" s="93">
        <v>18.399999999999999</v>
      </c>
      <c r="I166" s="91"/>
      <c r="J166" s="103"/>
      <c r="K166" s="103"/>
      <c r="L166" s="103"/>
      <c r="M166" s="103"/>
      <c r="N166" s="103"/>
      <c r="O166" s="103"/>
      <c r="P166" s="103"/>
      <c r="Q166" s="103"/>
      <c r="R166" s="103"/>
      <c r="S166" s="94">
        <f t="shared" si="8"/>
        <v>18.399999999999999</v>
      </c>
      <c r="T166" s="95">
        <f t="shared" si="9"/>
        <v>786</v>
      </c>
      <c r="U166" s="95">
        <f t="shared" si="10"/>
        <v>0</v>
      </c>
      <c r="V166" s="95">
        <f t="shared" si="0"/>
        <v>0</v>
      </c>
      <c r="W166" s="96">
        <f t="shared" si="11"/>
        <v>736.36925188743999</v>
      </c>
      <c r="X166" s="96">
        <f>V166/[1]Manure!$I$2</f>
        <v>0</v>
      </c>
      <c r="Y166" s="96">
        <f>W166/[1]Manure!$I$2</f>
        <v>525.15736614413561</v>
      </c>
      <c r="Z166" s="96"/>
      <c r="AA166" s="96"/>
      <c r="AB166" s="95"/>
      <c r="AC166" s="11"/>
    </row>
    <row r="167" spans="1:29" ht="15.75" thickBot="1" x14ac:dyDescent="0.3">
      <c r="A167" s="97">
        <v>45539</v>
      </c>
      <c r="B167" s="92">
        <v>0.41666666666666702</v>
      </c>
      <c r="C167" s="91"/>
      <c r="D167" s="91"/>
      <c r="E167" s="91" t="s">
        <v>60</v>
      </c>
      <c r="F167" s="91">
        <v>20</v>
      </c>
      <c r="G167" s="93">
        <v>279395</v>
      </c>
      <c r="H167" s="93">
        <v>16.2</v>
      </c>
      <c r="I167" s="91"/>
      <c r="J167" s="103"/>
      <c r="K167" s="103"/>
      <c r="L167" s="103"/>
      <c r="M167" s="103"/>
      <c r="N167" s="103"/>
      <c r="O167" s="103"/>
      <c r="P167" s="103"/>
      <c r="Q167" s="103"/>
      <c r="R167" s="103"/>
      <c r="S167" s="94">
        <f t="shared" si="8"/>
        <v>16.2</v>
      </c>
      <c r="T167" s="95">
        <f t="shared" si="9"/>
        <v>780</v>
      </c>
      <c r="U167" s="95">
        <f t="shared" si="10"/>
        <v>0</v>
      </c>
      <c r="V167" s="95">
        <f t="shared" si="0"/>
        <v>0</v>
      </c>
      <c r="W167" s="96">
        <f t="shared" si="11"/>
        <v>736.30705394190875</v>
      </c>
      <c r="X167" s="96">
        <f>V167/[1]Manure!$I$2</f>
        <v>0</v>
      </c>
      <c r="Y167" s="96">
        <f>W167/[1]Manure!$I$2</f>
        <v>525.11300835872964</v>
      </c>
      <c r="Z167" s="96"/>
      <c r="AA167" s="96"/>
      <c r="AB167" s="95"/>
      <c r="AC167" s="11"/>
    </row>
    <row r="168" spans="1:29" ht="15.75" thickBot="1" x14ac:dyDescent="0.3">
      <c r="A168" s="97">
        <v>45540</v>
      </c>
      <c r="B168" s="92">
        <v>0.41666666666666702</v>
      </c>
      <c r="C168" s="91"/>
      <c r="D168" s="91"/>
      <c r="E168" s="91" t="s">
        <v>60</v>
      </c>
      <c r="F168" s="91">
        <v>20</v>
      </c>
      <c r="G168" s="93">
        <v>280182</v>
      </c>
      <c r="H168" s="93">
        <v>19.8</v>
      </c>
      <c r="I168" s="91"/>
      <c r="J168" s="103"/>
      <c r="K168" s="103"/>
      <c r="L168" s="103"/>
      <c r="M168" s="103"/>
      <c r="N168" s="103"/>
      <c r="O168" s="103"/>
      <c r="P168" s="103"/>
      <c r="Q168" s="103"/>
      <c r="R168" s="103"/>
      <c r="S168" s="94">
        <f t="shared" si="8"/>
        <v>19.8</v>
      </c>
      <c r="T168" s="95">
        <f t="shared" si="9"/>
        <v>787</v>
      </c>
      <c r="U168" s="95">
        <f t="shared" si="10"/>
        <v>0</v>
      </c>
      <c r="V168" s="95">
        <f t="shared" si="0"/>
        <v>0</v>
      </c>
      <c r="W168" s="96">
        <f t="shared" si="11"/>
        <v>733.78073770491801</v>
      </c>
      <c r="X168" s="96">
        <f>V168/[1]Manure!$I$2</f>
        <v>0</v>
      </c>
      <c r="Y168" s="96">
        <f>W168/[1]Manure!$I$2</f>
        <v>523.31131229705318</v>
      </c>
      <c r="Z168" s="96"/>
      <c r="AA168" s="96"/>
      <c r="AB168" s="95"/>
      <c r="AC168" s="11"/>
    </row>
    <row r="169" spans="1:29" ht="15.75" thickBot="1" x14ac:dyDescent="0.3">
      <c r="A169" s="97">
        <v>45541</v>
      </c>
      <c r="B169" s="92">
        <v>0.41666666666666702</v>
      </c>
      <c r="C169" s="91"/>
      <c r="D169" s="91"/>
      <c r="E169" s="91" t="s">
        <v>60</v>
      </c>
      <c r="F169" s="91">
        <v>20</v>
      </c>
      <c r="G169" s="93">
        <v>280999</v>
      </c>
      <c r="H169" s="93">
        <v>20.399999999999999</v>
      </c>
      <c r="I169" s="91"/>
      <c r="J169" s="103"/>
      <c r="K169" s="103"/>
      <c r="L169" s="103"/>
      <c r="M169" s="103"/>
      <c r="N169" s="103"/>
      <c r="O169" s="103"/>
      <c r="P169" s="103"/>
      <c r="Q169" s="103"/>
      <c r="R169" s="103"/>
      <c r="S169" s="94">
        <f t="shared" si="8"/>
        <v>20.399999999999999</v>
      </c>
      <c r="T169" s="95">
        <f t="shared" si="9"/>
        <v>817</v>
      </c>
      <c r="U169" s="95">
        <f t="shared" si="10"/>
        <v>0</v>
      </c>
      <c r="V169" s="95">
        <f t="shared" si="0"/>
        <v>0</v>
      </c>
      <c r="W169" s="96">
        <f t="shared" si="11"/>
        <v>760.19427402862993</v>
      </c>
      <c r="X169" s="96">
        <f>V169/[1]Manure!$I$2</f>
        <v>0</v>
      </c>
      <c r="Y169" s="96">
        <f>W169/[1]Manure!$I$2</f>
        <v>542.14868652303915</v>
      </c>
      <c r="Z169" s="96"/>
      <c r="AA169" s="96"/>
      <c r="AB169" s="95"/>
      <c r="AC169" s="11"/>
    </row>
    <row r="170" spans="1:29" ht="15.75" thickBot="1" x14ac:dyDescent="0.3">
      <c r="A170" s="97">
        <v>45542</v>
      </c>
      <c r="B170" s="92">
        <v>0.41666666666666702</v>
      </c>
      <c r="C170" s="91"/>
      <c r="D170" s="91"/>
      <c r="E170" s="91" t="s">
        <v>60</v>
      </c>
      <c r="F170" s="91">
        <v>20</v>
      </c>
      <c r="G170" s="93">
        <v>281805</v>
      </c>
      <c r="H170" s="93">
        <v>24</v>
      </c>
      <c r="I170" s="91"/>
      <c r="J170" s="103"/>
      <c r="K170" s="103"/>
      <c r="L170" s="103"/>
      <c r="M170" s="103"/>
      <c r="N170" s="103"/>
      <c r="O170" s="103"/>
      <c r="P170" s="103"/>
      <c r="Q170" s="103"/>
      <c r="R170" s="103"/>
      <c r="S170" s="94">
        <f t="shared" si="8"/>
        <v>24</v>
      </c>
      <c r="T170" s="95">
        <f t="shared" si="9"/>
        <v>806</v>
      </c>
      <c r="U170" s="95">
        <f t="shared" si="10"/>
        <v>0</v>
      </c>
      <c r="V170" s="95">
        <f t="shared" si="0"/>
        <v>0</v>
      </c>
      <c r="W170" s="96">
        <f t="shared" si="11"/>
        <v>740.86868686868695</v>
      </c>
      <c r="X170" s="96">
        <f>V170/[1]Manure!$I$2</f>
        <v>0</v>
      </c>
      <c r="Y170" s="96">
        <f>W170/[1]Manure!$I$2</f>
        <v>528.36623373037969</v>
      </c>
      <c r="Z170" s="96"/>
      <c r="AA170" s="96"/>
      <c r="AB170" s="95"/>
      <c r="AC170" s="11"/>
    </row>
    <row r="171" spans="1:29" ht="15.75" thickBot="1" x14ac:dyDescent="0.3">
      <c r="A171" s="97">
        <v>45543</v>
      </c>
      <c r="B171" s="92">
        <v>0.41666666666666702</v>
      </c>
      <c r="C171" s="91"/>
      <c r="D171" s="91"/>
      <c r="E171" s="91" t="s">
        <v>60</v>
      </c>
      <c r="F171" s="91">
        <v>20</v>
      </c>
      <c r="G171" s="91"/>
      <c r="H171" s="93"/>
      <c r="I171" s="91"/>
      <c r="J171" s="103"/>
      <c r="K171" s="103"/>
      <c r="L171" s="103"/>
      <c r="M171" s="103"/>
      <c r="N171" s="103"/>
      <c r="O171" s="103"/>
      <c r="P171" s="103"/>
      <c r="Q171" s="103"/>
      <c r="R171" s="103"/>
      <c r="S171" s="94">
        <f t="shared" si="8"/>
        <v>0</v>
      </c>
      <c r="T171" s="95">
        <f t="shared" si="9"/>
        <v>-281805</v>
      </c>
      <c r="U171" s="95">
        <f t="shared" si="10"/>
        <v>0</v>
      </c>
      <c r="V171" s="95">
        <f t="shared" si="0"/>
        <v>0</v>
      </c>
      <c r="W171" s="96">
        <f t="shared" si="11"/>
        <v>-281805</v>
      </c>
      <c r="X171" s="96">
        <f>V171/[1]Manure!$I$2</f>
        <v>0</v>
      </c>
      <c r="Y171" s="96">
        <f>W171/[1]Manure!$I$2</f>
        <v>-200975.21886868504</v>
      </c>
      <c r="Z171" s="96"/>
      <c r="AA171" s="96"/>
      <c r="AB171" s="95"/>
      <c r="AC171" s="11"/>
    </row>
    <row r="172" spans="1:29" ht="15.75" thickBot="1" x14ac:dyDescent="0.3">
      <c r="A172" s="97">
        <v>45547</v>
      </c>
      <c r="B172" s="92">
        <v>0.41666666666666702</v>
      </c>
      <c r="C172" s="91"/>
      <c r="D172" s="91"/>
      <c r="E172" s="91" t="s">
        <v>60</v>
      </c>
      <c r="F172" s="91">
        <v>20</v>
      </c>
      <c r="G172" s="91">
        <v>285181</v>
      </c>
      <c r="H172" s="93">
        <v>21.8</v>
      </c>
      <c r="I172" s="91"/>
      <c r="J172" s="103"/>
      <c r="K172" s="103"/>
      <c r="L172" s="103"/>
      <c r="M172" s="103"/>
      <c r="N172" s="103"/>
      <c r="O172" s="103"/>
      <c r="P172" s="103"/>
      <c r="Q172" s="103"/>
      <c r="R172" s="103"/>
      <c r="S172" s="94">
        <f t="shared" si="8"/>
        <v>21.8</v>
      </c>
      <c r="T172" s="95">
        <f t="shared" si="9"/>
        <v>285181</v>
      </c>
      <c r="U172" s="95">
        <f t="shared" si="10"/>
        <v>0</v>
      </c>
      <c r="V172" s="95">
        <f t="shared" si="0"/>
        <v>0</v>
      </c>
      <c r="W172" s="96">
        <f t="shared" si="11"/>
        <v>264092.31004070555</v>
      </c>
      <c r="X172" s="96">
        <f>V172/[1]Manure!$I$2</f>
        <v>0</v>
      </c>
      <c r="Y172" s="96">
        <f>W172/[1]Manure!$I$2</f>
        <v>188343.0379587567</v>
      </c>
      <c r="Z172" s="96"/>
      <c r="AA172" s="96"/>
      <c r="AB172" s="95"/>
      <c r="AC172" s="11"/>
    </row>
    <row r="173" spans="1:29" ht="15.75" thickBot="1" x14ac:dyDescent="0.3">
      <c r="A173" s="97">
        <v>45548</v>
      </c>
      <c r="B173" s="92">
        <v>0.41666666666666702</v>
      </c>
      <c r="C173" s="91"/>
      <c r="D173" s="91"/>
      <c r="E173" s="91" t="s">
        <v>60</v>
      </c>
      <c r="F173" s="91">
        <v>20</v>
      </c>
      <c r="G173" s="91">
        <v>285818</v>
      </c>
      <c r="H173" s="93">
        <v>28.7</v>
      </c>
      <c r="I173" s="91"/>
      <c r="J173" s="103"/>
      <c r="K173" s="103"/>
      <c r="L173" s="103"/>
      <c r="M173" s="103"/>
      <c r="N173" s="103"/>
      <c r="O173" s="103"/>
      <c r="P173" s="103"/>
      <c r="Q173" s="103"/>
      <c r="R173" s="103"/>
      <c r="S173" s="94">
        <f t="shared" si="8"/>
        <v>28.7</v>
      </c>
      <c r="T173" s="95">
        <f t="shared" si="9"/>
        <v>637</v>
      </c>
      <c r="U173" s="95">
        <f t="shared" si="10"/>
        <v>0</v>
      </c>
      <c r="V173" s="95">
        <f t="shared" si="0"/>
        <v>0</v>
      </c>
      <c r="W173" s="96">
        <f t="shared" si="11"/>
        <v>576.40371229698383</v>
      </c>
      <c r="X173" s="96">
        <f>V173/[1]Manure!$I$2</f>
        <v>0</v>
      </c>
      <c r="Y173" s="96">
        <f>W173/[1]Manure!$I$2</f>
        <v>411.07454529056935</v>
      </c>
      <c r="Z173" s="96"/>
      <c r="AA173" s="96"/>
      <c r="AB173" s="95"/>
      <c r="AC173" s="11"/>
    </row>
    <row r="174" spans="1:29" ht="15.75" thickBot="1" x14ac:dyDescent="0.3">
      <c r="A174" s="97">
        <v>45549</v>
      </c>
      <c r="B174" s="92">
        <v>0.41666666666666702</v>
      </c>
      <c r="C174" s="91"/>
      <c r="D174" s="91"/>
      <c r="E174" s="91" t="s">
        <v>60</v>
      </c>
      <c r="F174" s="91">
        <v>20</v>
      </c>
      <c r="G174" s="91">
        <v>286448</v>
      </c>
      <c r="H174" s="93">
        <v>30</v>
      </c>
      <c r="I174" s="91"/>
      <c r="J174" s="103"/>
      <c r="K174" s="103"/>
      <c r="L174" s="103"/>
      <c r="M174" s="103"/>
      <c r="N174" s="103"/>
      <c r="O174" s="103"/>
      <c r="P174" s="103"/>
      <c r="Q174" s="103"/>
      <c r="R174" s="103"/>
      <c r="S174" s="94">
        <f t="shared" si="8"/>
        <v>30</v>
      </c>
      <c r="T174" s="95">
        <f t="shared" si="9"/>
        <v>630</v>
      </c>
      <c r="U174" s="95">
        <f t="shared" si="10"/>
        <v>0</v>
      </c>
      <c r="V174" s="95">
        <f t="shared" si="0"/>
        <v>0</v>
      </c>
      <c r="W174" s="96">
        <f t="shared" si="11"/>
        <v>567.62376237623766</v>
      </c>
      <c r="X174" s="96">
        <f>V174/[1]Manure!$I$2</f>
        <v>0</v>
      </c>
      <c r="Y174" s="96">
        <f>W174/[1]Manure!$I$2</f>
        <v>404.81293759383561</v>
      </c>
      <c r="Z174" s="96"/>
      <c r="AA174" s="96"/>
      <c r="AB174" s="95"/>
      <c r="AC174" s="11"/>
    </row>
    <row r="175" spans="1:29" ht="15.75" thickBot="1" x14ac:dyDescent="0.3">
      <c r="A175" s="97">
        <v>45550</v>
      </c>
      <c r="B175" s="92">
        <v>0.41666666666666702</v>
      </c>
      <c r="C175" s="91"/>
      <c r="D175" s="91"/>
      <c r="E175" s="91" t="s">
        <v>60</v>
      </c>
      <c r="F175" s="91">
        <v>20</v>
      </c>
      <c r="G175" s="91">
        <v>286750</v>
      </c>
      <c r="H175" s="93">
        <v>28</v>
      </c>
      <c r="I175" s="91"/>
      <c r="J175" s="103"/>
      <c r="K175" s="103"/>
      <c r="L175" s="103"/>
      <c r="M175" s="103"/>
      <c r="N175" s="103"/>
      <c r="O175" s="103"/>
      <c r="P175" s="103"/>
      <c r="Q175" s="103"/>
      <c r="R175" s="103"/>
      <c r="S175" s="94">
        <f t="shared" si="8"/>
        <v>28</v>
      </c>
      <c r="T175" s="95">
        <f t="shared" si="9"/>
        <v>302</v>
      </c>
      <c r="U175" s="95">
        <f t="shared" si="10"/>
        <v>0</v>
      </c>
      <c r="V175" s="95">
        <f t="shared" si="0"/>
        <v>0</v>
      </c>
      <c r="W175" s="96">
        <f t="shared" si="11"/>
        <v>273.90697674418601</v>
      </c>
      <c r="X175" s="96">
        <f>V175/[1]Manure!$I$2</f>
        <v>0</v>
      </c>
      <c r="Y175" s="96">
        <f>W175/[1]Manure!$I$2</f>
        <v>195.34257589759801</v>
      </c>
      <c r="Z175" s="96"/>
      <c r="AA175" s="96"/>
      <c r="AB175" s="95"/>
      <c r="AC175" s="11"/>
    </row>
    <row r="176" spans="1:29" ht="15.75" thickBot="1" x14ac:dyDescent="0.3">
      <c r="A176" s="97">
        <v>45551</v>
      </c>
      <c r="B176" s="92">
        <v>0.41666666666666702</v>
      </c>
      <c r="C176" s="91"/>
      <c r="D176" s="91"/>
      <c r="E176" s="91" t="s">
        <v>60</v>
      </c>
      <c r="F176" s="91">
        <v>20</v>
      </c>
      <c r="G176" s="91">
        <v>287072</v>
      </c>
      <c r="H176" s="93">
        <v>19.3</v>
      </c>
      <c r="I176" s="91"/>
      <c r="J176" s="103"/>
      <c r="K176" s="103"/>
      <c r="L176" s="103"/>
      <c r="M176" s="103"/>
      <c r="N176" s="103"/>
      <c r="O176" s="103"/>
      <c r="P176" s="103"/>
      <c r="Q176" s="103"/>
      <c r="R176" s="103"/>
      <c r="S176" s="94">
        <f t="shared" si="8"/>
        <v>19.3</v>
      </c>
      <c r="T176" s="95">
        <f t="shared" si="9"/>
        <v>322</v>
      </c>
      <c r="U176" s="95">
        <f t="shared" si="10"/>
        <v>0</v>
      </c>
      <c r="V176" s="95">
        <f t="shared" si="0"/>
        <v>0</v>
      </c>
      <c r="W176" s="96">
        <f t="shared" si="11"/>
        <v>300.73896681491618</v>
      </c>
      <c r="X176" s="96">
        <f>V176/[1]Manure!$I$2</f>
        <v>0</v>
      </c>
      <c r="Y176" s="96">
        <f>W176/[1]Manure!$I$2</f>
        <v>214.47837929763486</v>
      </c>
      <c r="Z176" s="96"/>
      <c r="AA176" s="96"/>
      <c r="AB176" s="95"/>
      <c r="AC176" s="11"/>
    </row>
    <row r="177" spans="1:29" ht="15.75" thickBot="1" x14ac:dyDescent="0.3">
      <c r="A177" s="97">
        <v>45552</v>
      </c>
      <c r="B177" s="92">
        <v>0.41666666666666702</v>
      </c>
      <c r="C177" s="91"/>
      <c r="D177" s="91"/>
      <c r="E177" s="91" t="s">
        <v>60</v>
      </c>
      <c r="F177" s="91">
        <v>20</v>
      </c>
      <c r="G177" s="91">
        <v>287304</v>
      </c>
      <c r="H177" s="93">
        <v>26</v>
      </c>
      <c r="I177" s="91"/>
      <c r="J177" s="103"/>
      <c r="K177" s="103"/>
      <c r="L177" s="103"/>
      <c r="M177" s="103"/>
      <c r="N177" s="103"/>
      <c r="O177" s="103"/>
      <c r="P177" s="103"/>
      <c r="Q177" s="103"/>
      <c r="R177" s="103"/>
      <c r="S177" s="94">
        <f t="shared" si="8"/>
        <v>26</v>
      </c>
      <c r="T177" s="95">
        <f t="shared" si="9"/>
        <v>232</v>
      </c>
      <c r="U177" s="95">
        <f t="shared" si="10"/>
        <v>0</v>
      </c>
      <c r="V177" s="95">
        <f t="shared" si="0"/>
        <v>0</v>
      </c>
      <c r="W177" s="96">
        <f t="shared" si="11"/>
        <v>211.82608695652172</v>
      </c>
      <c r="X177" s="96">
        <f>V177/[1]Manure!$I$2</f>
        <v>0</v>
      </c>
      <c r="Y177" s="96">
        <f>W177/[1]Manure!$I$2</f>
        <v>151.06827128043884</v>
      </c>
      <c r="Z177" s="96"/>
      <c r="AA177" s="96"/>
      <c r="AB177" s="95"/>
      <c r="AC177" s="11"/>
    </row>
    <row r="178" spans="1:29" ht="15.75" thickBot="1" x14ac:dyDescent="0.3">
      <c r="A178" s="97">
        <v>45553</v>
      </c>
      <c r="B178" s="92">
        <v>0.41666666666666702</v>
      </c>
      <c r="C178" s="91"/>
      <c r="D178" s="91"/>
      <c r="E178" s="91" t="s">
        <v>60</v>
      </c>
      <c r="F178" s="91">
        <v>20</v>
      </c>
      <c r="G178" s="91">
        <v>287504</v>
      </c>
      <c r="H178" s="93">
        <v>24</v>
      </c>
      <c r="I178" s="91"/>
      <c r="J178" s="103"/>
      <c r="K178" s="103"/>
      <c r="L178" s="103"/>
      <c r="M178" s="103"/>
      <c r="N178" s="103"/>
      <c r="O178" s="103"/>
      <c r="P178" s="103"/>
      <c r="Q178" s="103"/>
      <c r="R178" s="103"/>
      <c r="S178" s="94">
        <f t="shared" si="8"/>
        <v>24</v>
      </c>
      <c r="T178" s="95">
        <f t="shared" si="9"/>
        <v>200</v>
      </c>
      <c r="U178" s="95">
        <f t="shared" si="10"/>
        <v>0</v>
      </c>
      <c r="V178" s="95">
        <f t="shared" si="0"/>
        <v>0</v>
      </c>
      <c r="W178" s="96">
        <f t="shared" si="11"/>
        <v>183.83838383838383</v>
      </c>
      <c r="X178" s="96">
        <f>V178/[1]Manure!$I$2</f>
        <v>0</v>
      </c>
      <c r="Y178" s="96">
        <f>W178/[1]Manure!$I$2</f>
        <v>131.10824658322076</v>
      </c>
      <c r="Z178" s="96"/>
      <c r="AA178" s="96"/>
      <c r="AB178" s="95"/>
      <c r="AC178" s="11"/>
    </row>
    <row r="179" spans="1:29" ht="15.75" thickBot="1" x14ac:dyDescent="0.3">
      <c r="A179" s="97">
        <v>45554</v>
      </c>
      <c r="B179" s="92">
        <v>0.41666666666666702</v>
      </c>
      <c r="C179" s="91"/>
      <c r="D179" s="91"/>
      <c r="E179" s="91" t="s">
        <v>60</v>
      </c>
      <c r="F179" s="91">
        <v>20</v>
      </c>
      <c r="G179" s="91">
        <v>287694</v>
      </c>
      <c r="H179" s="93">
        <v>27.6</v>
      </c>
      <c r="I179" s="91"/>
      <c r="J179" s="103"/>
      <c r="K179" s="103"/>
      <c r="L179" s="103"/>
      <c r="M179" s="103"/>
      <c r="N179" s="103"/>
      <c r="O179" s="103"/>
      <c r="P179" s="103"/>
      <c r="Q179" s="103"/>
      <c r="R179" s="103"/>
      <c r="S179" s="94">
        <f t="shared" si="8"/>
        <v>27.6</v>
      </c>
      <c r="T179" s="95">
        <f t="shared" si="9"/>
        <v>190</v>
      </c>
      <c r="U179" s="95">
        <f t="shared" si="10"/>
        <v>0</v>
      </c>
      <c r="V179" s="95">
        <f t="shared" si="0"/>
        <v>0</v>
      </c>
      <c r="W179" s="96">
        <f t="shared" si="11"/>
        <v>172.55489021956086</v>
      </c>
      <c r="X179" s="96">
        <f>V179/[1]Manure!$I$2</f>
        <v>0</v>
      </c>
      <c r="Y179" s="96">
        <f>W179/[1]Manure!$I$2</f>
        <v>123.06118354443025</v>
      </c>
      <c r="Z179" s="96"/>
      <c r="AA179" s="96"/>
      <c r="AB179" s="95"/>
      <c r="AC179" s="11"/>
    </row>
    <row r="180" spans="1:29" ht="15.75" thickBot="1" x14ac:dyDescent="0.3">
      <c r="A180" s="97">
        <v>45555</v>
      </c>
      <c r="B180" s="92">
        <v>0.41666666666666702</v>
      </c>
      <c r="C180" s="91"/>
      <c r="D180" s="91"/>
      <c r="E180" s="91" t="s">
        <v>60</v>
      </c>
      <c r="F180" s="91">
        <v>20</v>
      </c>
      <c r="G180" s="91">
        <v>288527</v>
      </c>
      <c r="H180" s="93">
        <v>23.7</v>
      </c>
      <c r="I180" s="91"/>
      <c r="J180" s="103"/>
      <c r="K180" s="103"/>
      <c r="L180" s="103"/>
      <c r="M180" s="103"/>
      <c r="N180" s="103"/>
      <c r="O180" s="103"/>
      <c r="P180" s="103"/>
      <c r="Q180" s="103"/>
      <c r="R180" s="103"/>
      <c r="S180" s="94">
        <f t="shared" si="8"/>
        <v>23.7</v>
      </c>
      <c r="T180" s="95">
        <f t="shared" si="9"/>
        <v>833</v>
      </c>
      <c r="U180" s="95">
        <f t="shared" si="10"/>
        <v>0</v>
      </c>
      <c r="V180" s="95">
        <f t="shared" si="0"/>
        <v>0</v>
      </c>
      <c r="W180" s="96">
        <f t="shared" si="11"/>
        <v>766.46107178968657</v>
      </c>
      <c r="X180" s="96">
        <f>V180/[1]Manure!$I$2</f>
        <v>0</v>
      </c>
      <c r="Y180" s="96">
        <f>W180/[1]Manure!$I$2</f>
        <v>546.61798639931578</v>
      </c>
      <c r="Z180" s="96"/>
      <c r="AA180" s="96"/>
      <c r="AB180" s="95"/>
      <c r="AC180" s="11"/>
    </row>
    <row r="181" spans="1:29" ht="15.75" thickBot="1" x14ac:dyDescent="0.3">
      <c r="A181" s="97">
        <v>45558</v>
      </c>
      <c r="B181" s="92">
        <v>0.41666666666666702</v>
      </c>
      <c r="C181" s="91"/>
      <c r="D181" s="91"/>
      <c r="E181" s="91" t="s">
        <v>60</v>
      </c>
      <c r="F181" s="91">
        <v>20</v>
      </c>
      <c r="G181" s="91">
        <v>288592</v>
      </c>
      <c r="H181" s="93">
        <v>21.6</v>
      </c>
      <c r="I181" s="91"/>
      <c r="J181" s="103"/>
      <c r="K181" s="103"/>
      <c r="L181" s="103"/>
      <c r="M181" s="103"/>
      <c r="N181" s="103"/>
      <c r="O181" s="103"/>
      <c r="P181" s="103"/>
      <c r="Q181" s="103"/>
      <c r="R181" s="103"/>
      <c r="S181" s="94">
        <f t="shared" si="8"/>
        <v>21.6</v>
      </c>
      <c r="T181" s="95">
        <f t="shared" si="9"/>
        <v>65</v>
      </c>
      <c r="U181" s="95">
        <f t="shared" si="10"/>
        <v>0</v>
      </c>
      <c r="V181" s="95">
        <f t="shared" si="0"/>
        <v>0</v>
      </c>
      <c r="W181" s="96">
        <f t="shared" si="11"/>
        <v>60.234215885947044</v>
      </c>
      <c r="X181" s="96">
        <f>V181/[1]Manure!$I$2</f>
        <v>0</v>
      </c>
      <c r="Y181" s="96">
        <f>W181/[1]Manure!$I$2</f>
        <v>42.957309916650992</v>
      </c>
      <c r="Z181" s="96"/>
      <c r="AA181" s="96"/>
      <c r="AB181" s="95"/>
      <c r="AC181" s="11"/>
    </row>
    <row r="182" spans="1:29" ht="15.75" thickBot="1" x14ac:dyDescent="0.3">
      <c r="A182" s="97">
        <v>45559</v>
      </c>
      <c r="B182" s="92">
        <v>0.41666666666666702</v>
      </c>
      <c r="C182" s="91"/>
      <c r="D182" s="91"/>
      <c r="E182" s="91" t="s">
        <v>60</v>
      </c>
      <c r="F182" s="91">
        <v>20</v>
      </c>
      <c r="G182" s="91">
        <v>288752</v>
      </c>
      <c r="H182" s="93">
        <v>19.8</v>
      </c>
      <c r="I182" s="91"/>
      <c r="J182" s="103"/>
      <c r="K182" s="103"/>
      <c r="L182" s="103"/>
      <c r="M182" s="103"/>
      <c r="N182" s="103"/>
      <c r="O182" s="103"/>
      <c r="P182" s="103"/>
      <c r="Q182" s="103"/>
      <c r="R182" s="103"/>
      <c r="S182" s="94">
        <f t="shared" si="8"/>
        <v>19.8</v>
      </c>
      <c r="T182" s="95">
        <f t="shared" si="9"/>
        <v>160</v>
      </c>
      <c r="U182" s="95">
        <f t="shared" si="10"/>
        <v>0</v>
      </c>
      <c r="V182" s="95">
        <f t="shared" si="0"/>
        <v>0</v>
      </c>
      <c r="W182" s="96">
        <f t="shared" si="11"/>
        <v>149.18032786885246</v>
      </c>
      <c r="X182" s="96">
        <f>V182/[1]Manure!$I$2</f>
        <v>0</v>
      </c>
      <c r="Y182" s="96">
        <f>W182/[1]Manure!$I$2</f>
        <v>106.39111812900701</v>
      </c>
      <c r="Z182" s="96"/>
      <c r="AA182" s="96"/>
      <c r="AB182" s="95"/>
      <c r="AC182" s="11"/>
    </row>
    <row r="183" spans="1:29" ht="15.75" thickBot="1" x14ac:dyDescent="0.3">
      <c r="A183" s="97">
        <v>45560</v>
      </c>
      <c r="B183" s="92">
        <v>0.41666666666666702</v>
      </c>
      <c r="C183" s="91"/>
      <c r="D183" s="91"/>
      <c r="E183" s="91" t="s">
        <v>60</v>
      </c>
      <c r="F183" s="91">
        <v>20</v>
      </c>
      <c r="G183" s="91">
        <v>288832</v>
      </c>
      <c r="H183" s="93">
        <v>25.6</v>
      </c>
      <c r="I183" s="91"/>
      <c r="J183" s="103"/>
      <c r="K183" s="103"/>
      <c r="L183" s="103"/>
      <c r="M183" s="103"/>
      <c r="N183" s="103"/>
      <c r="O183" s="103"/>
      <c r="P183" s="103"/>
      <c r="Q183" s="103"/>
      <c r="R183" s="103"/>
      <c r="S183" s="94">
        <f t="shared" si="8"/>
        <v>25.6</v>
      </c>
      <c r="T183" s="95">
        <f t="shared" si="9"/>
        <v>80</v>
      </c>
      <c r="U183" s="95">
        <f t="shared" si="10"/>
        <v>0</v>
      </c>
      <c r="V183" s="95">
        <f t="shared" si="0"/>
        <v>0</v>
      </c>
      <c r="W183" s="96">
        <f t="shared" si="11"/>
        <v>73.141326188881436</v>
      </c>
      <c r="X183" s="96">
        <f>V183/[1]Manure!$I$2</f>
        <v>0</v>
      </c>
      <c r="Y183" s="96">
        <f>W183/[1]Manure!$I$2</f>
        <v>52.162289665393914</v>
      </c>
      <c r="Z183" s="96"/>
      <c r="AA183" s="96"/>
      <c r="AB183" s="95"/>
      <c r="AC183" s="11"/>
    </row>
    <row r="184" spans="1:29" ht="15.75" thickBot="1" x14ac:dyDescent="0.3">
      <c r="A184" s="97">
        <v>45561</v>
      </c>
      <c r="B184" s="92">
        <v>0.41666666666666702</v>
      </c>
      <c r="C184" s="91"/>
      <c r="D184" s="91"/>
      <c r="E184" s="91" t="s">
        <v>60</v>
      </c>
      <c r="F184" s="91">
        <v>20</v>
      </c>
      <c r="G184" s="91">
        <v>288961</v>
      </c>
      <c r="H184" s="93">
        <v>29</v>
      </c>
      <c r="I184" s="91"/>
      <c r="J184" s="103"/>
      <c r="K184" s="103"/>
      <c r="L184" s="103"/>
      <c r="M184" s="103"/>
      <c r="N184" s="103"/>
      <c r="O184" s="103"/>
      <c r="P184" s="103"/>
      <c r="Q184" s="103"/>
      <c r="R184" s="103"/>
      <c r="S184" s="94">
        <f t="shared" si="8"/>
        <v>29</v>
      </c>
      <c r="T184" s="95">
        <f t="shared" si="9"/>
        <v>129</v>
      </c>
      <c r="U184" s="95">
        <f t="shared" si="10"/>
        <v>0</v>
      </c>
      <c r="V184" s="95">
        <f t="shared" si="0"/>
        <v>0</v>
      </c>
      <c r="W184" s="96">
        <f t="shared" si="11"/>
        <v>116.61258278145695</v>
      </c>
      <c r="X184" s="96">
        <f>V184/[1]Manure!$I$2</f>
        <v>0</v>
      </c>
      <c r="Y184" s="96">
        <f>W184/[1]Manure!$I$2</f>
        <v>83.164739260644652</v>
      </c>
      <c r="Z184" s="96"/>
      <c r="AA184" s="96"/>
      <c r="AB184" s="95"/>
      <c r="AC184" s="11"/>
    </row>
    <row r="185" spans="1:29" ht="15.75" thickBot="1" x14ac:dyDescent="0.3">
      <c r="A185" s="97">
        <v>45562</v>
      </c>
      <c r="B185" s="92">
        <v>0.41666666666666702</v>
      </c>
      <c r="C185" s="91"/>
      <c r="D185" s="91"/>
      <c r="E185" s="91" t="s">
        <v>60</v>
      </c>
      <c r="F185" s="91">
        <v>20</v>
      </c>
      <c r="G185" s="91">
        <v>289055</v>
      </c>
      <c r="H185" s="91">
        <v>27.2</v>
      </c>
      <c r="I185" s="91"/>
      <c r="J185" s="103"/>
      <c r="K185" s="103"/>
      <c r="L185" s="103"/>
      <c r="M185" s="103"/>
      <c r="N185" s="103"/>
      <c r="O185" s="103"/>
      <c r="P185" s="103"/>
      <c r="Q185" s="103"/>
      <c r="R185" s="103"/>
      <c r="S185" s="94">
        <f t="shared" si="8"/>
        <v>27.2</v>
      </c>
      <c r="T185" s="95">
        <f t="shared" si="9"/>
        <v>94</v>
      </c>
      <c r="U185" s="95">
        <f t="shared" si="10"/>
        <v>0</v>
      </c>
      <c r="V185" s="95">
        <f t="shared" si="0"/>
        <v>0</v>
      </c>
      <c r="W185" s="96">
        <f t="shared" si="11"/>
        <v>85.483011325782826</v>
      </c>
      <c r="X185" s="96">
        <f>V185/[1]Manure!$I$2</f>
        <v>0</v>
      </c>
      <c r="Y185" s="96">
        <f>W185/[1]Manure!$I$2</f>
        <v>60.964024452204491</v>
      </c>
      <c r="Z185" s="96"/>
      <c r="AA185" s="96"/>
      <c r="AB185" s="95"/>
      <c r="AC185" s="11"/>
    </row>
    <row r="186" spans="1:29" ht="15.75" thickBot="1" x14ac:dyDescent="0.3">
      <c r="A186" s="97">
        <v>45563</v>
      </c>
      <c r="B186" s="92">
        <v>0.41666666666666702</v>
      </c>
      <c r="C186" s="91"/>
      <c r="D186" s="91"/>
      <c r="E186" s="91" t="s">
        <v>60</v>
      </c>
      <c r="F186" s="91">
        <v>20</v>
      </c>
      <c r="G186" s="91">
        <v>289254</v>
      </c>
      <c r="H186" s="91">
        <v>27.1</v>
      </c>
      <c r="I186" s="91"/>
      <c r="J186" s="103"/>
      <c r="K186" s="103"/>
      <c r="L186" s="103"/>
      <c r="M186" s="103"/>
      <c r="N186" s="103"/>
      <c r="O186" s="103"/>
      <c r="P186" s="103"/>
      <c r="Q186" s="103"/>
      <c r="R186" s="103"/>
      <c r="S186" s="94">
        <f t="shared" si="8"/>
        <v>27.1</v>
      </c>
      <c r="T186" s="95">
        <f t="shared" si="9"/>
        <v>199</v>
      </c>
      <c r="U186" s="95">
        <f t="shared" si="10"/>
        <v>0</v>
      </c>
      <c r="V186" s="95">
        <f t="shared" si="0"/>
        <v>0</v>
      </c>
      <c r="W186" s="96">
        <f t="shared" si="11"/>
        <v>181.02965678107296</v>
      </c>
      <c r="X186" s="96">
        <f>V186/[1]Manure!$I$2</f>
        <v>0</v>
      </c>
      <c r="Y186" s="96">
        <f>W186/[1]Manure!$I$2</f>
        <v>129.10514324905191</v>
      </c>
      <c r="Z186" s="96"/>
      <c r="AA186" s="96"/>
      <c r="AB186" s="95"/>
      <c r="AC186" s="11"/>
    </row>
    <row r="187" spans="1:29" ht="15.75" thickBot="1" x14ac:dyDescent="0.3">
      <c r="A187" s="97">
        <v>45565</v>
      </c>
      <c r="B187" s="92">
        <v>0.41666666666666702</v>
      </c>
      <c r="C187" s="91"/>
      <c r="D187" s="91"/>
      <c r="E187" s="91" t="s">
        <v>60</v>
      </c>
      <c r="F187" s="91">
        <v>20</v>
      </c>
      <c r="G187" s="91">
        <v>289434</v>
      </c>
      <c r="H187" s="91">
        <v>28.9</v>
      </c>
      <c r="I187" s="91"/>
      <c r="J187" s="103"/>
      <c r="K187" s="103"/>
      <c r="L187" s="103"/>
      <c r="M187" s="103"/>
      <c r="N187" s="103"/>
      <c r="O187" s="103"/>
      <c r="P187" s="103"/>
      <c r="Q187" s="103"/>
      <c r="R187" s="103"/>
      <c r="S187" s="94">
        <f t="shared" si="8"/>
        <v>28.9</v>
      </c>
      <c r="T187" s="95">
        <f t="shared" si="9"/>
        <v>180</v>
      </c>
      <c r="U187" s="95">
        <f t="shared" si="10"/>
        <v>0</v>
      </c>
      <c r="V187" s="95">
        <f t="shared" si="0"/>
        <v>0</v>
      </c>
      <c r="W187" s="96">
        <f t="shared" si="11"/>
        <v>162.76912885061282</v>
      </c>
      <c r="X187" s="96">
        <f>V187/[1]Manure!$I$2</f>
        <v>0</v>
      </c>
      <c r="Y187" s="96">
        <f>W187/[1]Manure!$I$2</f>
        <v>116.08226005861184</v>
      </c>
      <c r="Z187" s="96"/>
      <c r="AA187" s="96"/>
      <c r="AB187" s="95"/>
      <c r="AC187" s="11"/>
    </row>
    <row r="188" spans="1:29" ht="15.75" thickBot="1" x14ac:dyDescent="0.3">
      <c r="A188" s="97">
        <v>45566</v>
      </c>
      <c r="B188" s="92">
        <v>0.41666666666666702</v>
      </c>
      <c r="C188" s="91"/>
      <c r="D188" s="91"/>
      <c r="E188" s="91" t="s">
        <v>60</v>
      </c>
      <c r="F188" s="91">
        <v>20</v>
      </c>
      <c r="G188" s="91">
        <v>289541</v>
      </c>
      <c r="H188" s="91">
        <v>23.9</v>
      </c>
      <c r="I188" s="91"/>
      <c r="J188" s="103"/>
      <c r="K188" s="103"/>
      <c r="L188" s="103"/>
      <c r="M188" s="103"/>
      <c r="N188" s="103"/>
      <c r="O188" s="103"/>
      <c r="P188" s="103"/>
      <c r="Q188" s="103"/>
      <c r="R188" s="103"/>
      <c r="S188" s="94">
        <f t="shared" si="8"/>
        <v>23.9</v>
      </c>
      <c r="T188" s="95">
        <f t="shared" si="9"/>
        <v>107</v>
      </c>
      <c r="U188" s="95">
        <f t="shared" si="10"/>
        <v>0</v>
      </c>
      <c r="V188" s="95">
        <f t="shared" si="0"/>
        <v>0</v>
      </c>
      <c r="W188" s="96">
        <f t="shared" si="11"/>
        <v>98.386662175816781</v>
      </c>
      <c r="X188" s="96">
        <f>V188/[1]Manure!$I$2</f>
        <v>0</v>
      </c>
      <c r="Y188" s="96">
        <f>W188/[1]Manure!$I$2</f>
        <v>70.166537018662396</v>
      </c>
      <c r="Z188" s="96"/>
      <c r="AA188" s="96"/>
      <c r="AB188" s="95"/>
      <c r="AC188" s="11"/>
    </row>
    <row r="189" spans="1:29" ht="15.75" thickBot="1" x14ac:dyDescent="0.3">
      <c r="A189" s="97">
        <v>45567</v>
      </c>
      <c r="B189" s="92">
        <v>0.41666666666666702</v>
      </c>
      <c r="C189" s="91"/>
      <c r="D189" s="91"/>
      <c r="E189" s="91" t="s">
        <v>60</v>
      </c>
      <c r="F189" s="91">
        <v>20</v>
      </c>
      <c r="G189" s="91">
        <v>289576</v>
      </c>
      <c r="H189" s="91">
        <v>22.9</v>
      </c>
      <c r="I189" s="91"/>
      <c r="J189" s="103"/>
      <c r="K189" s="103"/>
      <c r="L189" s="103"/>
      <c r="M189" s="103"/>
      <c r="N189" s="103"/>
      <c r="O189" s="103"/>
      <c r="P189" s="103"/>
      <c r="Q189" s="103"/>
      <c r="R189" s="103"/>
      <c r="S189" s="94">
        <f t="shared" si="8"/>
        <v>22.9</v>
      </c>
      <c r="T189" s="95">
        <f t="shared" si="9"/>
        <v>35</v>
      </c>
      <c r="U189" s="95">
        <f t="shared" si="10"/>
        <v>0</v>
      </c>
      <c r="V189" s="95">
        <f t="shared" si="0"/>
        <v>0</v>
      </c>
      <c r="W189" s="96">
        <f t="shared" si="11"/>
        <v>32.291314633322067</v>
      </c>
      <c r="X189" s="96">
        <f>V189/[1]Manure!$I$2</f>
        <v>0</v>
      </c>
      <c r="Y189" s="96">
        <f>W189/[1]Manure!$I$2</f>
        <v>23.02923662103041</v>
      </c>
      <c r="Z189" s="96"/>
      <c r="AA189" s="96"/>
      <c r="AB189" s="95"/>
      <c r="AC189" s="11"/>
    </row>
    <row r="190" spans="1:29" ht="15.75" thickBot="1" x14ac:dyDescent="0.3">
      <c r="A190" s="97">
        <v>45568</v>
      </c>
      <c r="B190" s="92">
        <v>0.41666666666666702</v>
      </c>
      <c r="C190" s="91"/>
      <c r="D190" s="91"/>
      <c r="E190" s="91" t="s">
        <v>60</v>
      </c>
      <c r="F190" s="91">
        <v>20</v>
      </c>
      <c r="G190" s="91">
        <v>289659</v>
      </c>
      <c r="H190" s="91">
        <v>26</v>
      </c>
      <c r="I190" s="91"/>
      <c r="J190" s="103"/>
      <c r="K190" s="103"/>
      <c r="L190" s="103"/>
      <c r="M190" s="103"/>
      <c r="N190" s="103"/>
      <c r="O190" s="103"/>
      <c r="P190" s="103"/>
      <c r="Q190" s="103"/>
      <c r="R190" s="103"/>
      <c r="S190" s="94">
        <f t="shared" si="8"/>
        <v>26</v>
      </c>
      <c r="T190" s="95">
        <f t="shared" si="9"/>
        <v>83</v>
      </c>
      <c r="U190" s="95">
        <f t="shared" si="10"/>
        <v>0</v>
      </c>
      <c r="V190" s="95">
        <f t="shared" si="0"/>
        <v>0</v>
      </c>
      <c r="W190" s="96">
        <f t="shared" si="11"/>
        <v>75.782608695652172</v>
      </c>
      <c r="X190" s="96">
        <f>V190/[1]Manure!$I$2</f>
        <v>0</v>
      </c>
      <c r="Y190" s="96">
        <f>W190/[1]Manure!$I$2</f>
        <v>54.045976363260444</v>
      </c>
      <c r="Z190" s="96"/>
      <c r="AA190" s="96"/>
      <c r="AB190" s="95"/>
      <c r="AC190" s="11"/>
    </row>
    <row r="191" spans="1:29" ht="15.75" thickBot="1" x14ac:dyDescent="0.3">
      <c r="A191" s="97">
        <v>45569</v>
      </c>
      <c r="B191" s="92">
        <v>0.41666666666666702</v>
      </c>
      <c r="C191" s="91"/>
      <c r="D191" s="91"/>
      <c r="E191" s="91" t="s">
        <v>60</v>
      </c>
      <c r="F191" s="91">
        <v>20</v>
      </c>
      <c r="G191" s="91">
        <v>289999</v>
      </c>
      <c r="H191" s="91">
        <v>19.3</v>
      </c>
      <c r="I191" s="91"/>
      <c r="J191" s="103"/>
      <c r="K191" s="103"/>
      <c r="L191" s="103"/>
      <c r="M191" s="103"/>
      <c r="N191" s="103"/>
      <c r="O191" s="103"/>
      <c r="P191" s="103"/>
      <c r="Q191" s="103"/>
      <c r="R191" s="103"/>
      <c r="S191" s="94">
        <f t="shared" si="8"/>
        <v>19.3</v>
      </c>
      <c r="T191" s="95">
        <f t="shared" si="9"/>
        <v>340</v>
      </c>
      <c r="U191" s="95">
        <f t="shared" si="10"/>
        <v>0</v>
      </c>
      <c r="V191" s="95">
        <f t="shared" si="0"/>
        <v>0</v>
      </c>
      <c r="W191" s="96">
        <f t="shared" si="11"/>
        <v>317.55046185425931</v>
      </c>
      <c r="X191" s="96">
        <f>V191/[1]Manure!$I$2</f>
        <v>0</v>
      </c>
      <c r="Y191" s="96">
        <f>W191/[1]Manure!$I$2</f>
        <v>226.46785391675729</v>
      </c>
      <c r="Z191" s="96"/>
      <c r="AA191" s="96"/>
      <c r="AB191" s="95"/>
      <c r="AC191" s="11"/>
    </row>
    <row r="192" spans="1:29" ht="15.75" thickBot="1" x14ac:dyDescent="0.3">
      <c r="A192" s="97">
        <v>45572</v>
      </c>
      <c r="B192" s="92">
        <v>0.41666666666666702</v>
      </c>
      <c r="C192" s="91"/>
      <c r="D192" s="91"/>
      <c r="E192" s="91" t="s">
        <v>60</v>
      </c>
      <c r="F192" s="91">
        <v>20</v>
      </c>
      <c r="G192" s="91">
        <v>290339</v>
      </c>
      <c r="H192" s="91">
        <v>23.3</v>
      </c>
      <c r="I192" s="91"/>
      <c r="J192" s="103"/>
      <c r="K192" s="103"/>
      <c r="L192" s="103"/>
      <c r="M192" s="103"/>
      <c r="N192" s="103"/>
      <c r="O192" s="103"/>
      <c r="P192" s="103"/>
      <c r="Q192" s="103"/>
      <c r="R192" s="103"/>
      <c r="S192" s="94">
        <f t="shared" si="8"/>
        <v>23.3</v>
      </c>
      <c r="T192" s="95">
        <f t="shared" si="9"/>
        <v>340</v>
      </c>
      <c r="U192" s="95">
        <f t="shared" si="10"/>
        <v>0</v>
      </c>
      <c r="V192" s="95">
        <f t="shared" si="0"/>
        <v>0</v>
      </c>
      <c r="W192" s="96">
        <f t="shared" si="11"/>
        <v>313.26358420519739</v>
      </c>
      <c r="X192" s="96">
        <f>V192/[1]Manure!$I$2</f>
        <v>0</v>
      </c>
      <c r="Y192" s="96">
        <f>W192/[1]Manure!$I$2</f>
        <v>223.4105761048537</v>
      </c>
      <c r="Z192" s="96"/>
      <c r="AA192" s="96"/>
      <c r="AB192" s="95"/>
      <c r="AC192" s="11"/>
    </row>
    <row r="193" spans="1:29" ht="15.75" thickBot="1" x14ac:dyDescent="0.3">
      <c r="A193" s="97"/>
      <c r="B193" s="92"/>
      <c r="C193" s="91"/>
      <c r="D193" s="91"/>
      <c r="E193" s="91"/>
      <c r="F193" s="91">
        <v>20</v>
      </c>
      <c r="G193" s="91"/>
      <c r="H193" s="91"/>
      <c r="I193" s="91"/>
      <c r="J193" s="103"/>
      <c r="K193" s="103"/>
      <c r="L193" s="103"/>
      <c r="M193" s="103"/>
      <c r="N193" s="103"/>
      <c r="O193" s="103"/>
      <c r="P193" s="103"/>
      <c r="Q193" s="103"/>
      <c r="R193" s="103"/>
      <c r="S193" s="94">
        <f t="shared" si="8"/>
        <v>0</v>
      </c>
      <c r="T193" s="95">
        <f t="shared" si="9"/>
        <v>-290339</v>
      </c>
      <c r="U193" s="95">
        <f t="shared" si="10"/>
        <v>0</v>
      </c>
      <c r="V193" s="95">
        <f t="shared" si="0"/>
        <v>0</v>
      </c>
      <c r="W193" s="96">
        <f t="shared" si="11"/>
        <v>-290339</v>
      </c>
      <c r="X193" s="96">
        <f>V193/[1]Manure!$I$2</f>
        <v>0</v>
      </c>
      <c r="Y193" s="96">
        <f>W193/[1]Manure!$I$2</f>
        <v>-207061.42215757404</v>
      </c>
      <c r="Z193" s="96"/>
      <c r="AA193" s="96"/>
      <c r="AB193" s="95"/>
      <c r="AC193" s="11"/>
    </row>
    <row r="194" spans="1:29" ht="15.75" thickBot="1" x14ac:dyDescent="0.3">
      <c r="A194" s="97"/>
      <c r="B194" s="92"/>
      <c r="C194" s="91"/>
      <c r="D194" s="91"/>
      <c r="E194" s="91"/>
      <c r="F194" s="91">
        <v>20</v>
      </c>
      <c r="G194" s="91"/>
      <c r="H194" s="91"/>
      <c r="I194" s="91"/>
      <c r="J194" s="103"/>
      <c r="K194" s="103"/>
      <c r="L194" s="103"/>
      <c r="M194" s="103"/>
      <c r="N194" s="103"/>
      <c r="O194" s="103"/>
      <c r="P194" s="103"/>
      <c r="Q194" s="103"/>
      <c r="R194" s="103"/>
      <c r="S194" s="94">
        <f t="shared" si="8"/>
        <v>0</v>
      </c>
      <c r="T194" s="95">
        <f t="shared" si="9"/>
        <v>0</v>
      </c>
      <c r="U194" s="95">
        <f t="shared" si="10"/>
        <v>0</v>
      </c>
      <c r="V194" s="95">
        <f t="shared" si="0"/>
        <v>0</v>
      </c>
      <c r="W194" s="96">
        <f t="shared" si="11"/>
        <v>0</v>
      </c>
      <c r="X194" s="96">
        <f>V194/[1]Manure!$I$2</f>
        <v>0</v>
      </c>
      <c r="Y194" s="96">
        <f>W194/[1]Manure!$I$2</f>
        <v>0</v>
      </c>
      <c r="Z194" s="96"/>
      <c r="AA194" s="96"/>
      <c r="AB194" s="95"/>
      <c r="AC194" s="11"/>
    </row>
    <row r="195" spans="1:29" ht="15.75" thickBot="1" x14ac:dyDescent="0.3">
      <c r="A195" s="97">
        <v>45573</v>
      </c>
      <c r="B195" s="92">
        <v>0.41666666666666702</v>
      </c>
      <c r="C195" s="91"/>
      <c r="D195" s="91"/>
      <c r="E195" s="91" t="s">
        <v>60</v>
      </c>
      <c r="F195" s="91">
        <v>20</v>
      </c>
      <c r="G195" s="91">
        <v>294208</v>
      </c>
      <c r="H195" s="91">
        <v>25.2</v>
      </c>
      <c r="I195" s="91"/>
      <c r="J195" s="103"/>
      <c r="K195" s="103"/>
      <c r="L195" s="103"/>
      <c r="M195" s="103"/>
      <c r="N195" s="103"/>
      <c r="O195" s="103"/>
      <c r="P195" s="103"/>
      <c r="Q195" s="103"/>
      <c r="R195" s="103"/>
      <c r="S195" s="94">
        <f t="shared" ref="S195:S258" si="12">H195</f>
        <v>25.2</v>
      </c>
      <c r="T195" s="95">
        <f t="shared" si="9"/>
        <v>294208</v>
      </c>
      <c r="U195" s="95">
        <f t="shared" si="10"/>
        <v>0</v>
      </c>
      <c r="V195" s="95">
        <f t="shared" si="0"/>
        <v>0</v>
      </c>
      <c r="W195" s="96">
        <f t="shared" si="11"/>
        <v>269345.35211267608</v>
      </c>
      <c r="X195" s="96">
        <f>V195/[1]Manure!$I$2</f>
        <v>0</v>
      </c>
      <c r="Y195" s="96">
        <f>W195/[1]Manure!$I$2</f>
        <v>192089.35644189463</v>
      </c>
      <c r="Z195" s="96"/>
      <c r="AA195" s="96"/>
      <c r="AB195" s="95"/>
      <c r="AC195" s="11"/>
    </row>
    <row r="196" spans="1:29" ht="15.75" thickBot="1" x14ac:dyDescent="0.3">
      <c r="A196" s="97">
        <v>45574</v>
      </c>
      <c r="B196" s="92">
        <v>0.41666666666666702</v>
      </c>
      <c r="C196" s="91"/>
      <c r="D196" s="91"/>
      <c r="E196" s="91" t="s">
        <v>60</v>
      </c>
      <c r="F196" s="91">
        <v>20</v>
      </c>
      <c r="G196" s="91">
        <v>294825</v>
      </c>
      <c r="H196" s="91">
        <v>24.1</v>
      </c>
      <c r="I196" s="91"/>
      <c r="J196" s="103"/>
      <c r="K196" s="103"/>
      <c r="L196" s="103"/>
      <c r="M196" s="103"/>
      <c r="N196" s="103"/>
      <c r="O196" s="103"/>
      <c r="P196" s="103"/>
      <c r="Q196" s="103"/>
      <c r="R196" s="103"/>
      <c r="S196" s="94">
        <f t="shared" si="12"/>
        <v>24.1</v>
      </c>
      <c r="T196" s="95">
        <f t="shared" ref="T196:T259" si="13">G196-G195</f>
        <v>617</v>
      </c>
      <c r="U196" s="95">
        <f t="shared" si="10"/>
        <v>0</v>
      </c>
      <c r="V196" s="95">
        <f t="shared" si="0"/>
        <v>0</v>
      </c>
      <c r="W196" s="96">
        <f t="shared" si="11"/>
        <v>566.95052170986196</v>
      </c>
      <c r="X196" s="96">
        <f>V196/[1]Manure!$I$2</f>
        <v>0</v>
      </c>
      <c r="Y196" s="96">
        <f>W196/[1]Manure!$I$2</f>
        <v>404.33280171875828</v>
      </c>
      <c r="Z196" s="96"/>
      <c r="AA196" s="96"/>
      <c r="AB196" s="95"/>
      <c r="AC196" s="11"/>
    </row>
    <row r="197" spans="1:29" ht="15.75" thickBot="1" x14ac:dyDescent="0.3">
      <c r="A197" s="97">
        <v>45575</v>
      </c>
      <c r="B197" s="92">
        <v>0.41666666666666702</v>
      </c>
      <c r="C197" s="91"/>
      <c r="D197" s="91"/>
      <c r="E197" s="91" t="s">
        <v>60</v>
      </c>
      <c r="F197" s="91">
        <v>20</v>
      </c>
      <c r="G197" s="91">
        <v>295131</v>
      </c>
      <c r="H197" s="91">
        <v>22.8</v>
      </c>
      <c r="I197" s="91"/>
      <c r="J197" s="103"/>
      <c r="K197" s="103"/>
      <c r="L197" s="103"/>
      <c r="M197" s="103"/>
      <c r="N197" s="103"/>
      <c r="O197" s="103"/>
      <c r="P197" s="103"/>
      <c r="Q197" s="103"/>
      <c r="R197" s="103"/>
      <c r="S197" s="94">
        <f t="shared" si="12"/>
        <v>22.8</v>
      </c>
      <c r="T197" s="95">
        <f t="shared" si="13"/>
        <v>306</v>
      </c>
      <c r="U197" s="95">
        <f t="shared" si="10"/>
        <v>0</v>
      </c>
      <c r="V197" s="95">
        <f t="shared" si="0"/>
        <v>0</v>
      </c>
      <c r="W197" s="96">
        <f t="shared" si="11"/>
        <v>282.41379310344826</v>
      </c>
      <c r="X197" s="96">
        <f>V197/[1]Manure!$I$2</f>
        <v>0</v>
      </c>
      <c r="Y197" s="96">
        <f>W197/[1]Manure!$I$2</f>
        <v>201.40939259594774</v>
      </c>
      <c r="Z197" s="96"/>
      <c r="AA197" s="96"/>
      <c r="AB197" s="95"/>
      <c r="AC197" s="11"/>
    </row>
    <row r="198" spans="1:29" ht="15.75" thickBot="1" x14ac:dyDescent="0.3">
      <c r="A198" s="97">
        <v>45576</v>
      </c>
      <c r="B198" s="92">
        <v>0.41666666666666702</v>
      </c>
      <c r="C198" s="91"/>
      <c r="D198" s="91"/>
      <c r="E198" s="91" t="s">
        <v>60</v>
      </c>
      <c r="F198" s="91">
        <v>20</v>
      </c>
      <c r="G198" s="91">
        <v>295163</v>
      </c>
      <c r="H198" s="91">
        <v>22.1</v>
      </c>
      <c r="I198" s="91"/>
      <c r="J198" s="103"/>
      <c r="K198" s="103"/>
      <c r="L198" s="103"/>
      <c r="M198" s="103"/>
      <c r="N198" s="103"/>
      <c r="O198" s="103"/>
      <c r="P198" s="103"/>
      <c r="Q198" s="103"/>
      <c r="R198" s="103"/>
      <c r="S198" s="94">
        <f t="shared" si="12"/>
        <v>22.1</v>
      </c>
      <c r="T198" s="95">
        <f t="shared" si="13"/>
        <v>32</v>
      </c>
      <c r="U198" s="95">
        <f t="shared" si="10"/>
        <v>0</v>
      </c>
      <c r="V198" s="95">
        <f t="shared" si="0"/>
        <v>0</v>
      </c>
      <c r="W198" s="96">
        <f t="shared" si="11"/>
        <v>29.603524229074889</v>
      </c>
      <c r="X198" s="96">
        <f>V198/[1]Manure!$I$2</f>
        <v>0</v>
      </c>
      <c r="Y198" s="96">
        <f>W198/[1]Manure!$I$2</f>
        <v>21.112381828650118</v>
      </c>
      <c r="Z198" s="96"/>
      <c r="AA198" s="96"/>
      <c r="AB198" s="95"/>
      <c r="AC198" s="11"/>
    </row>
    <row r="199" spans="1:29" ht="15.75" thickBot="1" x14ac:dyDescent="0.3">
      <c r="A199" s="97">
        <v>45577</v>
      </c>
      <c r="B199" s="92">
        <v>0.41666666666666702</v>
      </c>
      <c r="C199" s="91"/>
      <c r="D199" s="91"/>
      <c r="E199" s="91" t="s">
        <v>60</v>
      </c>
      <c r="F199" s="91">
        <v>20</v>
      </c>
      <c r="G199" s="91">
        <v>295454</v>
      </c>
      <c r="H199" s="91">
        <v>23.5</v>
      </c>
      <c r="I199" s="91"/>
      <c r="J199" s="103"/>
      <c r="K199" s="103"/>
      <c r="L199" s="103"/>
      <c r="M199" s="103"/>
      <c r="N199" s="103"/>
      <c r="O199" s="103"/>
      <c r="P199" s="103"/>
      <c r="Q199" s="103"/>
      <c r="R199" s="103"/>
      <c r="S199" s="94">
        <f t="shared" si="12"/>
        <v>23.5</v>
      </c>
      <c r="T199" s="95">
        <f t="shared" si="13"/>
        <v>291</v>
      </c>
      <c r="U199" s="95">
        <f t="shared" si="10"/>
        <v>0</v>
      </c>
      <c r="V199" s="95">
        <f t="shared" si="0"/>
        <v>0</v>
      </c>
      <c r="W199" s="96">
        <f t="shared" si="11"/>
        <v>267.93591905564921</v>
      </c>
      <c r="X199" s="96">
        <f>V199/[1]Manure!$I$2</f>
        <v>0</v>
      </c>
      <c r="Y199" s="96">
        <f>W199/[1]Manure!$I$2</f>
        <v>191.08418933301886</v>
      </c>
      <c r="Z199" s="96"/>
      <c r="AA199" s="96"/>
      <c r="AB199" s="95"/>
      <c r="AC199" s="11"/>
    </row>
    <row r="200" spans="1:29" ht="15.75" thickBot="1" x14ac:dyDescent="0.3">
      <c r="A200" s="97">
        <v>45579</v>
      </c>
      <c r="B200" s="92">
        <v>0.41666666666666702</v>
      </c>
      <c r="C200" s="91"/>
      <c r="D200" s="91"/>
      <c r="E200" s="91" t="s">
        <v>60</v>
      </c>
      <c r="F200" s="91">
        <v>20</v>
      </c>
      <c r="G200" s="91">
        <v>295408</v>
      </c>
      <c r="H200" s="91">
        <v>24.3</v>
      </c>
      <c r="I200" s="91"/>
      <c r="J200" s="103"/>
      <c r="K200" s="103"/>
      <c r="L200" s="103"/>
      <c r="M200" s="103"/>
      <c r="N200" s="103"/>
      <c r="O200" s="103"/>
      <c r="P200" s="103"/>
      <c r="Q200" s="103"/>
      <c r="R200" s="103"/>
      <c r="S200" s="94">
        <f t="shared" si="12"/>
        <v>24.3</v>
      </c>
      <c r="T200" s="95">
        <f t="shared" si="13"/>
        <v>-46</v>
      </c>
      <c r="U200" s="95">
        <f t="shared" si="10"/>
        <v>0</v>
      </c>
      <c r="V200" s="95">
        <f t="shared" si="0"/>
        <v>0</v>
      </c>
      <c r="W200" s="96">
        <f t="shared" si="11"/>
        <v>-42.240161453077697</v>
      </c>
      <c r="X200" s="96">
        <f>V200/[1]Manure!$I$2</f>
        <v>0</v>
      </c>
      <c r="Y200" s="96">
        <f>W200/[1]Manure!$I$2</f>
        <v>-30.124467958627008</v>
      </c>
      <c r="Z200" s="96"/>
      <c r="AA200" s="96"/>
      <c r="AB200" s="95"/>
      <c r="AC200" s="11"/>
    </row>
    <row r="201" spans="1:29" ht="15.75" thickBot="1" x14ac:dyDescent="0.3">
      <c r="A201" s="97">
        <v>45580</v>
      </c>
      <c r="B201" s="92">
        <v>0.41666666666666702</v>
      </c>
      <c r="C201" s="91"/>
      <c r="D201" s="91"/>
      <c r="E201" s="91" t="s">
        <v>60</v>
      </c>
      <c r="F201" s="91">
        <v>20</v>
      </c>
      <c r="G201" s="91">
        <v>295820</v>
      </c>
      <c r="H201" s="91">
        <v>25.5</v>
      </c>
      <c r="I201" s="91"/>
      <c r="J201" s="103"/>
      <c r="K201" s="103"/>
      <c r="L201" s="103"/>
      <c r="M201" s="103"/>
      <c r="N201" s="103"/>
      <c r="O201" s="103"/>
      <c r="P201" s="103"/>
      <c r="Q201" s="103"/>
      <c r="R201" s="103"/>
      <c r="S201" s="94">
        <f t="shared" si="12"/>
        <v>25.5</v>
      </c>
      <c r="T201" s="95">
        <f t="shared" si="13"/>
        <v>412</v>
      </c>
      <c r="U201" s="95">
        <f t="shared" si="10"/>
        <v>0</v>
      </c>
      <c r="V201" s="95">
        <f t="shared" si="0"/>
        <v>0</v>
      </c>
      <c r="W201" s="96">
        <f t="shared" si="11"/>
        <v>376.8040201005025</v>
      </c>
      <c r="X201" s="96">
        <f>V201/[1]Manure!$I$2</f>
        <v>0</v>
      </c>
      <c r="Y201" s="96">
        <f>W201/[1]Manure!$I$2</f>
        <v>268.72578701690492</v>
      </c>
      <c r="Z201" s="96"/>
      <c r="AA201" s="96"/>
      <c r="AB201" s="95"/>
      <c r="AC201" s="11"/>
    </row>
    <row r="202" spans="1:29" ht="15.75" thickBot="1" x14ac:dyDescent="0.3">
      <c r="A202" s="97">
        <v>45581</v>
      </c>
      <c r="B202" s="92">
        <v>0.41666666666666702</v>
      </c>
      <c r="C202" s="91"/>
      <c r="D202" s="91"/>
      <c r="E202" s="91" t="s">
        <v>60</v>
      </c>
      <c r="F202" s="91">
        <v>20</v>
      </c>
      <c r="G202" s="91">
        <v>296091</v>
      </c>
      <c r="H202" s="91">
        <v>29.2</v>
      </c>
      <c r="I202" s="91"/>
      <c r="J202" s="103"/>
      <c r="K202" s="103"/>
      <c r="L202" s="103"/>
      <c r="M202" s="103"/>
      <c r="N202" s="103"/>
      <c r="O202" s="103"/>
      <c r="P202" s="103"/>
      <c r="Q202" s="103"/>
      <c r="R202" s="103"/>
      <c r="S202" s="94">
        <f t="shared" si="12"/>
        <v>29.2</v>
      </c>
      <c r="T202" s="95">
        <f t="shared" si="13"/>
        <v>271</v>
      </c>
      <c r="U202" s="95">
        <f t="shared" si="10"/>
        <v>0</v>
      </c>
      <c r="V202" s="95">
        <f t="shared" si="0"/>
        <v>0</v>
      </c>
      <c r="W202" s="96">
        <f t="shared" si="11"/>
        <v>244.81469225678359</v>
      </c>
      <c r="X202" s="96">
        <f>V202/[1]Manure!$I$2</f>
        <v>0</v>
      </c>
      <c r="Y202" s="96">
        <f>W202/[1]Manure!$I$2</f>
        <v>174.59479554506433</v>
      </c>
      <c r="Z202" s="96"/>
      <c r="AA202" s="96"/>
      <c r="AB202" s="95"/>
      <c r="AC202" s="11"/>
    </row>
    <row r="203" spans="1:29" ht="15.75" thickBot="1" x14ac:dyDescent="0.3">
      <c r="A203" s="97">
        <v>45582</v>
      </c>
      <c r="B203" s="92">
        <v>0.41666666666666702</v>
      </c>
      <c r="C203" s="91"/>
      <c r="D203" s="91"/>
      <c r="E203" s="91" t="s">
        <v>60</v>
      </c>
      <c r="F203" s="91">
        <v>20</v>
      </c>
      <c r="G203" s="91">
        <v>296389</v>
      </c>
      <c r="H203" s="91">
        <v>24.6</v>
      </c>
      <c r="I203" s="91"/>
      <c r="J203" s="103"/>
      <c r="K203" s="103"/>
      <c r="L203" s="103"/>
      <c r="M203" s="103"/>
      <c r="N203" s="103"/>
      <c r="O203" s="103"/>
      <c r="P203" s="103"/>
      <c r="Q203" s="103"/>
      <c r="R203" s="103"/>
      <c r="S203" s="94">
        <f t="shared" si="12"/>
        <v>24.6</v>
      </c>
      <c r="T203" s="95">
        <f t="shared" si="13"/>
        <v>298</v>
      </c>
      <c r="U203" s="95">
        <f t="shared" si="10"/>
        <v>0</v>
      </c>
      <c r="V203" s="95">
        <f t="shared" si="0"/>
        <v>0</v>
      </c>
      <c r="W203" s="96">
        <f t="shared" si="11"/>
        <v>273.36693548387092</v>
      </c>
      <c r="X203" s="96">
        <f>V203/[1]Manure!$I$2</f>
        <v>0</v>
      </c>
      <c r="Y203" s="96">
        <f>W203/[1]Manure!$I$2</f>
        <v>194.9574340069646</v>
      </c>
      <c r="Z203" s="96"/>
      <c r="AA203" s="96"/>
      <c r="AB203" s="95"/>
      <c r="AC203" s="11"/>
    </row>
    <row r="204" spans="1:29" ht="15.75" thickBot="1" x14ac:dyDescent="0.3">
      <c r="A204" s="97">
        <v>45583</v>
      </c>
      <c r="B204" s="92">
        <v>0.41666666666666702</v>
      </c>
      <c r="C204" s="91"/>
      <c r="D204" s="91"/>
      <c r="E204" s="91" t="s">
        <v>60</v>
      </c>
      <c r="F204" s="91">
        <v>20</v>
      </c>
      <c r="G204" s="91">
        <v>296824</v>
      </c>
      <c r="H204" s="91">
        <v>25.4</v>
      </c>
      <c r="I204" s="91"/>
      <c r="J204" s="103"/>
      <c r="K204" s="103"/>
      <c r="L204" s="103"/>
      <c r="M204" s="103"/>
      <c r="N204" s="103"/>
      <c r="O204" s="103"/>
      <c r="P204" s="103"/>
      <c r="Q204" s="103"/>
      <c r="R204" s="103"/>
      <c r="S204" s="94">
        <f t="shared" si="12"/>
        <v>25.4</v>
      </c>
      <c r="T204" s="95">
        <f t="shared" si="13"/>
        <v>435</v>
      </c>
      <c r="U204" s="95">
        <f t="shared" si="10"/>
        <v>0</v>
      </c>
      <c r="V204" s="95">
        <f t="shared" si="0"/>
        <v>0</v>
      </c>
      <c r="W204" s="96">
        <f t="shared" si="11"/>
        <v>397.97252010723867</v>
      </c>
      <c r="X204" s="96">
        <f>V204/[1]Manure!$I$2</f>
        <v>0</v>
      </c>
      <c r="Y204" s="96">
        <f>W204/[1]Manure!$I$2</f>
        <v>283.82255223390092</v>
      </c>
      <c r="Z204" s="96"/>
      <c r="AA204" s="96"/>
      <c r="AB204" s="95"/>
      <c r="AC204" s="11"/>
    </row>
    <row r="205" spans="1:29" ht="15.75" thickBot="1" x14ac:dyDescent="0.3">
      <c r="A205" s="97">
        <v>45584</v>
      </c>
      <c r="B205" s="92">
        <v>0.41666666666666702</v>
      </c>
      <c r="C205" s="91"/>
      <c r="D205" s="91"/>
      <c r="E205" s="91" t="s">
        <v>60</v>
      </c>
      <c r="F205" s="91">
        <v>20</v>
      </c>
      <c r="G205" s="91">
        <v>296997</v>
      </c>
      <c r="H205" s="91">
        <v>20.9</v>
      </c>
      <c r="I205" s="91"/>
      <c r="J205" s="103"/>
      <c r="K205" s="103"/>
      <c r="L205" s="103"/>
      <c r="M205" s="103"/>
      <c r="N205" s="103"/>
      <c r="O205" s="103"/>
      <c r="P205" s="103"/>
      <c r="Q205" s="103"/>
      <c r="R205" s="103"/>
      <c r="S205" s="94">
        <f t="shared" si="12"/>
        <v>20.9</v>
      </c>
      <c r="T205" s="95">
        <f t="shared" si="13"/>
        <v>173</v>
      </c>
      <c r="U205" s="95">
        <f t="shared" si="10"/>
        <v>0</v>
      </c>
      <c r="V205" s="95">
        <f t="shared" si="0"/>
        <v>0</v>
      </c>
      <c r="W205" s="96">
        <f t="shared" si="11"/>
        <v>160.69751616195987</v>
      </c>
      <c r="X205" s="96">
        <f>V205/[1]Manure!$I$2</f>
        <v>0</v>
      </c>
      <c r="Y205" s="96">
        <f>W205/[1]Manure!$I$2</f>
        <v>114.60484548643188</v>
      </c>
      <c r="Z205" s="96"/>
      <c r="AA205" s="96"/>
      <c r="AB205" s="95"/>
      <c r="AC205" s="11"/>
    </row>
    <row r="206" spans="1:29" ht="15.75" thickBot="1" x14ac:dyDescent="0.3">
      <c r="A206" s="97">
        <v>45586</v>
      </c>
      <c r="B206" s="92">
        <v>0.41666666666666702</v>
      </c>
      <c r="C206" s="91"/>
      <c r="D206" s="91"/>
      <c r="E206" s="91" t="s">
        <v>60</v>
      </c>
      <c r="F206" s="91">
        <v>20</v>
      </c>
      <c r="G206" s="91">
        <v>297508</v>
      </c>
      <c r="H206" s="91">
        <v>27.9</v>
      </c>
      <c r="I206" s="91"/>
      <c r="J206" s="103"/>
      <c r="K206" s="103"/>
      <c r="L206" s="103"/>
      <c r="M206" s="103"/>
      <c r="N206" s="103"/>
      <c r="O206" s="103"/>
      <c r="P206" s="103"/>
      <c r="Q206" s="103"/>
      <c r="R206" s="103"/>
      <c r="S206" s="94">
        <f t="shared" si="12"/>
        <v>27.9</v>
      </c>
      <c r="T206" s="95">
        <f t="shared" si="13"/>
        <v>511</v>
      </c>
      <c r="U206" s="95">
        <f t="shared" si="10"/>
        <v>0</v>
      </c>
      <c r="V206" s="95">
        <f t="shared" si="0"/>
        <v>0</v>
      </c>
      <c r="W206" s="96">
        <f t="shared" si="11"/>
        <v>463.61914257228318</v>
      </c>
      <c r="X206" s="96">
        <f>V206/[1]Manure!$I$2</f>
        <v>0</v>
      </c>
      <c r="Y206" s="96">
        <f>W206/[1]Manure!$I$2</f>
        <v>330.63983481548132</v>
      </c>
      <c r="Z206" s="96"/>
      <c r="AA206" s="96"/>
      <c r="AB206" s="95"/>
      <c r="AC206" s="11"/>
    </row>
    <row r="207" spans="1:29" ht="15.75" thickBot="1" x14ac:dyDescent="0.3">
      <c r="A207" s="97">
        <v>45587</v>
      </c>
      <c r="B207" s="92">
        <v>0.41666666666666702</v>
      </c>
      <c r="C207" s="91"/>
      <c r="D207" s="91"/>
      <c r="E207" s="91" t="s">
        <v>60</v>
      </c>
      <c r="F207" s="91">
        <v>20</v>
      </c>
      <c r="G207" s="91">
        <v>298186</v>
      </c>
      <c r="H207" s="91">
        <v>27.1</v>
      </c>
      <c r="I207" s="91"/>
      <c r="J207" s="103"/>
      <c r="K207" s="103"/>
      <c r="L207" s="103"/>
      <c r="M207" s="103"/>
      <c r="N207" s="103"/>
      <c r="O207" s="103"/>
      <c r="P207" s="103"/>
      <c r="Q207" s="103"/>
      <c r="R207" s="103"/>
      <c r="S207" s="94">
        <f t="shared" si="12"/>
        <v>27.1</v>
      </c>
      <c r="T207" s="95">
        <f t="shared" si="13"/>
        <v>678</v>
      </c>
      <c r="U207" s="95">
        <f t="shared" si="10"/>
        <v>0</v>
      </c>
      <c r="V207" s="95">
        <f t="shared" si="0"/>
        <v>0</v>
      </c>
      <c r="W207" s="96">
        <f t="shared" si="11"/>
        <v>616.77440853048984</v>
      </c>
      <c r="X207" s="96">
        <f>V207/[1]Manure!$I$2</f>
        <v>0</v>
      </c>
      <c r="Y207" s="96">
        <f>W207/[1]Manure!$I$2</f>
        <v>439.86576443646834</v>
      </c>
      <c r="Z207" s="96"/>
      <c r="AA207" s="96"/>
      <c r="AB207" s="95"/>
      <c r="AC207" s="11"/>
    </row>
    <row r="208" spans="1:29" ht="15.75" thickBot="1" x14ac:dyDescent="0.3">
      <c r="A208" s="97">
        <v>45588</v>
      </c>
      <c r="B208" s="92">
        <v>0.41666666666666702</v>
      </c>
      <c r="C208" s="91"/>
      <c r="D208" s="91"/>
      <c r="E208" s="91" t="s">
        <v>60</v>
      </c>
      <c r="F208" s="91">
        <v>20</v>
      </c>
      <c r="G208" s="91">
        <v>299165</v>
      </c>
      <c r="H208" s="91">
        <v>27.4</v>
      </c>
      <c r="I208" s="91"/>
      <c r="J208" s="103"/>
      <c r="K208" s="103"/>
      <c r="L208" s="103"/>
      <c r="M208" s="103"/>
      <c r="N208" s="103"/>
      <c r="O208" s="103"/>
      <c r="P208" s="103"/>
      <c r="Q208" s="103"/>
      <c r="R208" s="103"/>
      <c r="S208" s="94">
        <f t="shared" si="12"/>
        <v>27.4</v>
      </c>
      <c r="T208" s="95">
        <f t="shared" si="13"/>
        <v>979</v>
      </c>
      <c r="U208" s="95">
        <f t="shared" si="10"/>
        <v>0</v>
      </c>
      <c r="V208" s="95">
        <f t="shared" si="0"/>
        <v>0</v>
      </c>
      <c r="W208" s="96">
        <f t="shared" si="11"/>
        <v>889.70372836218382</v>
      </c>
      <c r="X208" s="96">
        <f>V208/[1]Manure!$I$2</f>
        <v>0</v>
      </c>
      <c r="Y208" s="96">
        <f>W208/[1]Manure!$I$2</f>
        <v>634.51110354988384</v>
      </c>
      <c r="Z208" s="96"/>
      <c r="AA208" s="96"/>
      <c r="AB208" s="95"/>
      <c r="AC208" s="11"/>
    </row>
    <row r="209" spans="1:29" ht="15.75" thickBot="1" x14ac:dyDescent="0.3">
      <c r="A209" s="97">
        <v>45589</v>
      </c>
      <c r="B209" s="92">
        <v>0.41666666666666702</v>
      </c>
      <c r="C209" s="91"/>
      <c r="D209" s="91"/>
      <c r="E209" s="91" t="s">
        <v>60</v>
      </c>
      <c r="F209" s="91">
        <v>20</v>
      </c>
      <c r="G209" s="91">
        <v>300024</v>
      </c>
      <c r="H209" s="91">
        <v>29.2</v>
      </c>
      <c r="I209" s="91"/>
      <c r="J209" s="103"/>
      <c r="K209" s="103"/>
      <c r="L209" s="103"/>
      <c r="M209" s="103"/>
      <c r="N209" s="103"/>
      <c r="O209" s="103"/>
      <c r="P209" s="103"/>
      <c r="Q209" s="103"/>
      <c r="R209" s="103"/>
      <c r="S209" s="94">
        <f t="shared" si="12"/>
        <v>29.2</v>
      </c>
      <c r="T209" s="95">
        <f t="shared" si="13"/>
        <v>859</v>
      </c>
      <c r="U209" s="95">
        <f t="shared" si="10"/>
        <v>0</v>
      </c>
      <c r="V209" s="95">
        <f t="shared" si="0"/>
        <v>0</v>
      </c>
      <c r="W209" s="96">
        <f t="shared" si="11"/>
        <v>775.99933818663135</v>
      </c>
      <c r="X209" s="96">
        <f>V209/[1]Manure!$I$2</f>
        <v>0</v>
      </c>
      <c r="Y209" s="96">
        <f>W209/[1]Manure!$I$2</f>
        <v>553.42040359118175</v>
      </c>
      <c r="Z209" s="96"/>
      <c r="AA209" s="96"/>
      <c r="AB209" s="95"/>
      <c r="AC209" s="11"/>
    </row>
    <row r="210" spans="1:29" ht="15.75" thickBot="1" x14ac:dyDescent="0.3">
      <c r="A210" s="97">
        <v>45590</v>
      </c>
      <c r="B210" s="92">
        <v>0.41666666666666702</v>
      </c>
      <c r="C210" s="91"/>
      <c r="D210" s="91"/>
      <c r="E210" s="91" t="s">
        <v>60</v>
      </c>
      <c r="F210" s="91">
        <v>20</v>
      </c>
      <c r="G210" s="91">
        <v>300995</v>
      </c>
      <c r="H210" s="91">
        <v>26</v>
      </c>
      <c r="I210" s="91"/>
      <c r="J210" s="103"/>
      <c r="K210" s="103"/>
      <c r="L210" s="103"/>
      <c r="M210" s="103"/>
      <c r="N210" s="103"/>
      <c r="O210" s="103"/>
      <c r="P210" s="103"/>
      <c r="Q210" s="103"/>
      <c r="R210" s="103"/>
      <c r="S210" s="94">
        <f t="shared" si="12"/>
        <v>26</v>
      </c>
      <c r="T210" s="95">
        <f t="shared" si="13"/>
        <v>971</v>
      </c>
      <c r="U210" s="95">
        <f t="shared" si="10"/>
        <v>0</v>
      </c>
      <c r="V210" s="95">
        <f t="shared" si="0"/>
        <v>0</v>
      </c>
      <c r="W210" s="96">
        <f t="shared" si="11"/>
        <v>886.56521739130426</v>
      </c>
      <c r="X210" s="96">
        <f>V210/[1]Manure!$I$2</f>
        <v>0</v>
      </c>
      <c r="Y210" s="96">
        <f>W210/[1]Manure!$I$2</f>
        <v>632.2728078159746</v>
      </c>
      <c r="Z210" s="96"/>
      <c r="AA210" s="96"/>
      <c r="AB210" s="95"/>
      <c r="AC210" s="11"/>
    </row>
    <row r="211" spans="1:29" ht="15.75" thickBot="1" x14ac:dyDescent="0.3">
      <c r="A211" s="97">
        <v>45591</v>
      </c>
      <c r="B211" s="92">
        <v>0.41666666666666702</v>
      </c>
      <c r="C211" s="91"/>
      <c r="D211" s="91"/>
      <c r="E211" s="91" t="s">
        <v>60</v>
      </c>
      <c r="F211" s="91">
        <v>20</v>
      </c>
      <c r="G211" s="91">
        <v>302033</v>
      </c>
      <c r="H211" s="91">
        <v>27.1</v>
      </c>
      <c r="I211" s="91"/>
      <c r="J211" s="103"/>
      <c r="K211" s="103"/>
      <c r="L211" s="103"/>
      <c r="M211" s="103"/>
      <c r="N211" s="103"/>
      <c r="O211" s="103"/>
      <c r="P211" s="103"/>
      <c r="Q211" s="103"/>
      <c r="R211" s="103"/>
      <c r="S211" s="94">
        <f t="shared" si="12"/>
        <v>27.1</v>
      </c>
      <c r="T211" s="95">
        <f t="shared" si="13"/>
        <v>1038</v>
      </c>
      <c r="U211" s="95">
        <f t="shared" si="10"/>
        <v>0</v>
      </c>
      <c r="V211" s="95">
        <f t="shared" si="0"/>
        <v>0</v>
      </c>
      <c r="W211" s="96">
        <f t="shared" si="11"/>
        <v>944.26524491836051</v>
      </c>
      <c r="X211" s="96">
        <f>V211/[1]Manure!$I$2</f>
        <v>0</v>
      </c>
      <c r="Y211" s="96">
        <f>W211/[1]Manure!$I$2</f>
        <v>673.42280750007978</v>
      </c>
      <c r="Z211" s="96"/>
      <c r="AA211" s="96"/>
      <c r="AB211" s="95"/>
      <c r="AC211" s="11"/>
    </row>
    <row r="212" spans="1:29" ht="15.75" thickBot="1" x14ac:dyDescent="0.3">
      <c r="A212" s="97">
        <v>45593</v>
      </c>
      <c r="B212" s="92">
        <v>0.41666666666666702</v>
      </c>
      <c r="C212" s="91"/>
      <c r="D212" s="91"/>
      <c r="E212" s="91" t="s">
        <v>60</v>
      </c>
      <c r="F212" s="91">
        <v>20</v>
      </c>
      <c r="G212" s="91">
        <v>304039</v>
      </c>
      <c r="H212" s="91">
        <v>24.3</v>
      </c>
      <c r="I212" s="91"/>
      <c r="J212" s="103"/>
      <c r="K212" s="103"/>
      <c r="L212" s="103"/>
      <c r="M212" s="103"/>
      <c r="N212" s="103"/>
      <c r="O212" s="103"/>
      <c r="P212" s="103"/>
      <c r="Q212" s="103"/>
      <c r="R212" s="103"/>
      <c r="S212" s="94">
        <f t="shared" si="12"/>
        <v>24.3</v>
      </c>
      <c r="T212" s="95">
        <f t="shared" si="13"/>
        <v>2006</v>
      </c>
      <c r="U212" s="95">
        <f t="shared" si="10"/>
        <v>0</v>
      </c>
      <c r="V212" s="95">
        <f t="shared" si="0"/>
        <v>0</v>
      </c>
      <c r="W212" s="96">
        <f t="shared" si="11"/>
        <v>1842.0383451059536</v>
      </c>
      <c r="X212" s="96">
        <f>V212/[1]Manure!$I$2</f>
        <v>0</v>
      </c>
      <c r="Y212" s="96">
        <f>W212/[1]Manure!$I$2</f>
        <v>1313.6887548914299</v>
      </c>
      <c r="Z212" s="96"/>
      <c r="AA212" s="96"/>
      <c r="AB212" s="95"/>
      <c r="AC212" s="11"/>
    </row>
    <row r="213" spans="1:29" ht="15.75" thickBot="1" x14ac:dyDescent="0.3">
      <c r="A213" s="97">
        <v>45594</v>
      </c>
      <c r="B213" s="92">
        <v>0.41666666666666702</v>
      </c>
      <c r="C213" s="91"/>
      <c r="D213" s="91"/>
      <c r="E213" s="91" t="s">
        <v>60</v>
      </c>
      <c r="F213" s="91">
        <v>20</v>
      </c>
      <c r="G213" s="91">
        <v>305014</v>
      </c>
      <c r="H213" s="91">
        <v>26.6</v>
      </c>
      <c r="I213" s="91"/>
      <c r="J213" s="103"/>
      <c r="K213" s="103"/>
      <c r="L213" s="103"/>
      <c r="M213" s="103"/>
      <c r="N213" s="103"/>
      <c r="O213" s="103"/>
      <c r="P213" s="103"/>
      <c r="Q213" s="103"/>
      <c r="R213" s="103"/>
      <c r="S213" s="94">
        <f t="shared" si="12"/>
        <v>26.6</v>
      </c>
      <c r="T213" s="95">
        <f t="shared" si="13"/>
        <v>975</v>
      </c>
      <c r="U213" s="95">
        <f t="shared" si="10"/>
        <v>0</v>
      </c>
      <c r="V213" s="95">
        <f t="shared" si="0"/>
        <v>0</v>
      </c>
      <c r="W213" s="96">
        <f t="shared" si="11"/>
        <v>888.43457943925227</v>
      </c>
      <c r="X213" s="96">
        <f>V213/[1]Manure!$I$2</f>
        <v>0</v>
      </c>
      <c r="Y213" s="96">
        <f>W213/[1]Manure!$I$2</f>
        <v>633.60598304966868</v>
      </c>
      <c r="Z213" s="96"/>
      <c r="AA213" s="96"/>
      <c r="AB213" s="95"/>
      <c r="AC213" s="11"/>
    </row>
    <row r="214" spans="1:29" ht="15.75" thickBot="1" x14ac:dyDescent="0.3">
      <c r="A214" s="97">
        <v>45595</v>
      </c>
      <c r="B214" s="92">
        <v>0.41666666666666702</v>
      </c>
      <c r="C214" s="91"/>
      <c r="D214" s="91"/>
      <c r="E214" s="91" t="s">
        <v>60</v>
      </c>
      <c r="F214" s="91">
        <v>20</v>
      </c>
      <c r="G214" s="91">
        <v>306088</v>
      </c>
      <c r="H214" s="91">
        <v>30.3</v>
      </c>
      <c r="I214" s="91"/>
      <c r="J214" s="103"/>
      <c r="K214" s="103"/>
      <c r="L214" s="103"/>
      <c r="M214" s="103"/>
      <c r="N214" s="103"/>
      <c r="O214" s="103"/>
      <c r="P214" s="103"/>
      <c r="Q214" s="103"/>
      <c r="R214" s="103"/>
      <c r="S214" s="94">
        <f t="shared" si="12"/>
        <v>30.3</v>
      </c>
      <c r="T214" s="95">
        <f t="shared" si="13"/>
        <v>1074</v>
      </c>
      <c r="U214" s="95">
        <f t="shared" si="10"/>
        <v>0</v>
      </c>
      <c r="V214" s="95">
        <f t="shared" si="0"/>
        <v>0</v>
      </c>
      <c r="W214" s="96">
        <f t="shared" si="11"/>
        <v>966.70623145400589</v>
      </c>
      <c r="X214" s="96">
        <f>V214/[1]Manure!$I$2</f>
        <v>0</v>
      </c>
      <c r="Y214" s="96">
        <f>W214/[1]Manure!$I$2</f>
        <v>689.42707350185606</v>
      </c>
      <c r="Z214" s="96"/>
      <c r="AA214" s="96"/>
      <c r="AB214" s="95"/>
      <c r="AC214" s="11"/>
    </row>
    <row r="215" spans="1:29" ht="15.75" thickBot="1" x14ac:dyDescent="0.3">
      <c r="A215" s="97">
        <v>45596</v>
      </c>
      <c r="B215" s="92">
        <v>0.41666666666666702</v>
      </c>
      <c r="C215" s="91"/>
      <c r="D215" s="91"/>
      <c r="E215" s="91" t="s">
        <v>60</v>
      </c>
      <c r="F215" s="91">
        <v>20</v>
      </c>
      <c r="G215" s="91">
        <v>307143</v>
      </c>
      <c r="H215" s="91">
        <v>27.3</v>
      </c>
      <c r="I215" s="91"/>
      <c r="J215" s="103"/>
      <c r="K215" s="103"/>
      <c r="L215" s="103"/>
      <c r="M215" s="103"/>
      <c r="N215" s="103"/>
      <c r="O215" s="103"/>
      <c r="P215" s="103"/>
      <c r="Q215" s="103"/>
      <c r="R215" s="103"/>
      <c r="S215" s="94">
        <f t="shared" si="12"/>
        <v>27.3</v>
      </c>
      <c r="T215" s="95">
        <f t="shared" si="13"/>
        <v>1055</v>
      </c>
      <c r="U215" s="95">
        <f t="shared" si="10"/>
        <v>0</v>
      </c>
      <c r="V215" s="95">
        <f t="shared" si="0"/>
        <v>0</v>
      </c>
      <c r="W215" s="96">
        <f t="shared" si="11"/>
        <v>959.09090909090901</v>
      </c>
      <c r="X215" s="96">
        <f>V215/[1]Manure!$I$2</f>
        <v>0</v>
      </c>
      <c r="Y215" s="96">
        <f>W215/[1]Manure!$I$2</f>
        <v>683.99604467454992</v>
      </c>
      <c r="Z215" s="96"/>
      <c r="AA215" s="96"/>
      <c r="AB215" s="95"/>
      <c r="AC215" s="11"/>
    </row>
    <row r="216" spans="1:29" ht="15.75" thickBot="1" x14ac:dyDescent="0.3">
      <c r="A216" s="97">
        <v>45597</v>
      </c>
      <c r="B216" s="92">
        <v>0.41666666666666702</v>
      </c>
      <c r="C216" s="91"/>
      <c r="D216" s="91"/>
      <c r="E216" s="91" t="s">
        <v>60</v>
      </c>
      <c r="F216" s="91">
        <v>20</v>
      </c>
      <c r="G216" s="91">
        <v>308002</v>
      </c>
      <c r="H216" s="91">
        <v>26.3</v>
      </c>
      <c r="I216" s="91"/>
      <c r="J216" s="103"/>
      <c r="K216" s="103"/>
      <c r="L216" s="103"/>
      <c r="M216" s="103"/>
      <c r="N216" s="103"/>
      <c r="O216" s="103"/>
      <c r="P216" s="103"/>
      <c r="Q216" s="103"/>
      <c r="R216" s="103"/>
      <c r="S216" s="94">
        <f t="shared" si="12"/>
        <v>26.3</v>
      </c>
      <c r="T216" s="95">
        <f t="shared" si="13"/>
        <v>859</v>
      </c>
      <c r="U216" s="95">
        <f t="shared" si="10"/>
        <v>0</v>
      </c>
      <c r="V216" s="95">
        <f t="shared" si="0"/>
        <v>0</v>
      </c>
      <c r="W216" s="96">
        <f t="shared" si="11"/>
        <v>783.5182091546942</v>
      </c>
      <c r="X216" s="96">
        <f>V216/[1]Manure!$I$2</f>
        <v>0</v>
      </c>
      <c r="Y216" s="96">
        <f>W216/[1]Manure!$I$2</f>
        <v>558.78264605831987</v>
      </c>
      <c r="Z216" s="96"/>
      <c r="AA216" s="96"/>
      <c r="AB216" s="95"/>
      <c r="AC216" s="11"/>
    </row>
    <row r="217" spans="1:29" ht="15.75" thickBot="1" x14ac:dyDescent="0.3">
      <c r="A217" s="97">
        <v>45598</v>
      </c>
      <c r="B217" s="92">
        <v>0.41666666666666702</v>
      </c>
      <c r="C217" s="91"/>
      <c r="D217" s="91"/>
      <c r="E217" s="91" t="s">
        <v>60</v>
      </c>
      <c r="F217" s="91">
        <v>20</v>
      </c>
      <c r="G217" s="91">
        <v>308956</v>
      </c>
      <c r="H217" s="91">
        <v>25.9</v>
      </c>
      <c r="I217" s="91"/>
      <c r="J217" s="103"/>
      <c r="K217" s="103"/>
      <c r="L217" s="103"/>
      <c r="M217" s="103"/>
      <c r="N217" s="103"/>
      <c r="O217" s="103"/>
      <c r="P217" s="103"/>
      <c r="Q217" s="103"/>
      <c r="R217" s="103"/>
      <c r="S217" s="94">
        <f t="shared" si="12"/>
        <v>25.9</v>
      </c>
      <c r="T217" s="95">
        <f t="shared" si="13"/>
        <v>954</v>
      </c>
      <c r="U217" s="95">
        <f t="shared" si="10"/>
        <v>0</v>
      </c>
      <c r="V217" s="95">
        <f t="shared" si="0"/>
        <v>0</v>
      </c>
      <c r="W217" s="96">
        <f t="shared" si="11"/>
        <v>871.33489461358317</v>
      </c>
      <c r="X217" s="96">
        <f>V217/[1]Manure!$I$2</f>
        <v>0</v>
      </c>
      <c r="Y217" s="96">
        <f>W217/[1]Manure!$I$2</f>
        <v>621.41097976575111</v>
      </c>
      <c r="Z217" s="96"/>
      <c r="AA217" s="96"/>
      <c r="AB217" s="95"/>
      <c r="AC217" s="11"/>
    </row>
    <row r="218" spans="1:29" ht="15.75" thickBot="1" x14ac:dyDescent="0.3">
      <c r="A218" s="97">
        <v>45601</v>
      </c>
      <c r="B218" s="92">
        <v>0.41666666666666702</v>
      </c>
      <c r="C218" s="91"/>
      <c r="D218" s="91"/>
      <c r="E218" s="91" t="s">
        <v>60</v>
      </c>
      <c r="F218" s="91">
        <v>20</v>
      </c>
      <c r="G218" s="91">
        <v>310383</v>
      </c>
      <c r="H218" s="91">
        <v>24.5</v>
      </c>
      <c r="I218" s="91"/>
      <c r="J218" s="103"/>
      <c r="K218" s="103"/>
      <c r="L218" s="103"/>
      <c r="M218" s="103"/>
      <c r="N218" s="103"/>
      <c r="O218" s="103"/>
      <c r="P218" s="103"/>
      <c r="Q218" s="103"/>
      <c r="R218" s="103"/>
      <c r="S218" s="94">
        <f t="shared" si="12"/>
        <v>24.5</v>
      </c>
      <c r="T218" s="95">
        <f t="shared" si="13"/>
        <v>1427</v>
      </c>
      <c r="U218" s="95">
        <f t="shared" si="10"/>
        <v>0</v>
      </c>
      <c r="V218" s="95">
        <f t="shared" si="0"/>
        <v>0</v>
      </c>
      <c r="W218" s="96">
        <f t="shared" si="11"/>
        <v>1309.4823529411765</v>
      </c>
      <c r="X218" s="96">
        <f>V218/[1]Manure!$I$2</f>
        <v>0</v>
      </c>
      <c r="Y218" s="96">
        <f>W218/[1]Manure!$I$2</f>
        <v>933.88514216225269</v>
      </c>
      <c r="Z218" s="96"/>
      <c r="AA218" s="96"/>
      <c r="AB218" s="95"/>
      <c r="AC218" s="11"/>
    </row>
    <row r="219" spans="1:29" ht="15.75" thickBot="1" x14ac:dyDescent="0.3">
      <c r="A219" s="97">
        <v>45602</v>
      </c>
      <c r="B219" s="92">
        <v>0.41666666666666702</v>
      </c>
      <c r="C219" s="91"/>
      <c r="D219" s="91"/>
      <c r="E219" s="91" t="s">
        <v>60</v>
      </c>
      <c r="F219" s="91">
        <v>20</v>
      </c>
      <c r="G219" s="91">
        <v>310993</v>
      </c>
      <c r="H219" s="91">
        <v>24.4</v>
      </c>
      <c r="I219" s="91"/>
      <c r="J219" s="103"/>
      <c r="K219" s="103"/>
      <c r="L219" s="103"/>
      <c r="M219" s="103"/>
      <c r="N219" s="103"/>
      <c r="O219" s="103"/>
      <c r="P219" s="103"/>
      <c r="Q219" s="103"/>
      <c r="R219" s="103"/>
      <c r="S219" s="94">
        <f t="shared" si="12"/>
        <v>24.4</v>
      </c>
      <c r="T219" s="95">
        <f t="shared" si="13"/>
        <v>610</v>
      </c>
      <c r="U219" s="95">
        <f t="shared" si="10"/>
        <v>0</v>
      </c>
      <c r="V219" s="95">
        <f t="shared" si="0"/>
        <v>0</v>
      </c>
      <c r="W219" s="96">
        <f t="shared" si="11"/>
        <v>559.95292535305987</v>
      </c>
      <c r="X219" s="96">
        <f>V219/[1]Manure!$I$2</f>
        <v>0</v>
      </c>
      <c r="Y219" s="96">
        <f>W219/[1]Manure!$I$2</f>
        <v>399.34231730803805</v>
      </c>
      <c r="Z219" s="96"/>
      <c r="AA219" s="96"/>
      <c r="AB219" s="95"/>
      <c r="AC219" s="11"/>
    </row>
    <row r="220" spans="1:29" ht="15.75" thickBot="1" x14ac:dyDescent="0.3">
      <c r="A220" s="97">
        <v>45603</v>
      </c>
      <c r="B220" s="92">
        <v>0.41666666666666702</v>
      </c>
      <c r="C220" s="91"/>
      <c r="D220" s="91"/>
      <c r="E220" s="91" t="s">
        <v>60</v>
      </c>
      <c r="F220" s="91">
        <v>20</v>
      </c>
      <c r="G220" s="91">
        <v>311713</v>
      </c>
      <c r="H220" s="91">
        <v>25.2</v>
      </c>
      <c r="I220" s="91"/>
      <c r="J220" s="103"/>
      <c r="K220" s="103"/>
      <c r="L220" s="103"/>
      <c r="M220" s="103"/>
      <c r="N220" s="103"/>
      <c r="O220" s="103"/>
      <c r="P220" s="103"/>
      <c r="Q220" s="103"/>
      <c r="R220" s="103"/>
      <c r="S220" s="94">
        <f t="shared" si="12"/>
        <v>25.2</v>
      </c>
      <c r="T220" s="95">
        <f t="shared" si="13"/>
        <v>720</v>
      </c>
      <c r="U220" s="95">
        <f t="shared" si="10"/>
        <v>0</v>
      </c>
      <c r="V220" s="95">
        <f t="shared" si="0"/>
        <v>0</v>
      </c>
      <c r="W220" s="96">
        <f t="shared" si="11"/>
        <v>659.15492957746483</v>
      </c>
      <c r="X220" s="96">
        <f>V220/[1]Manure!$I$2</f>
        <v>0</v>
      </c>
      <c r="Y220" s="96">
        <f>W220/[1]Manure!$I$2</f>
        <v>470.09033281951588</v>
      </c>
      <c r="Z220" s="96"/>
      <c r="AA220" s="96"/>
      <c r="AB220" s="95"/>
      <c r="AC220" s="11"/>
    </row>
    <row r="221" spans="1:29" ht="15.75" thickBot="1" x14ac:dyDescent="0.3">
      <c r="A221" s="97">
        <v>45604</v>
      </c>
      <c r="B221" s="92">
        <v>0.41666666666666702</v>
      </c>
      <c r="C221" s="91"/>
      <c r="D221" s="91"/>
      <c r="E221" s="91" t="s">
        <v>60</v>
      </c>
      <c r="F221" s="91">
        <v>20</v>
      </c>
      <c r="G221" s="91">
        <v>312078</v>
      </c>
      <c r="H221" s="91"/>
      <c r="I221" s="91"/>
      <c r="J221" s="103"/>
      <c r="K221" s="103"/>
      <c r="L221" s="103"/>
      <c r="M221" s="103"/>
      <c r="N221" s="103"/>
      <c r="O221" s="103"/>
      <c r="P221" s="103"/>
      <c r="Q221" s="103"/>
      <c r="R221" s="103"/>
      <c r="S221" s="94">
        <f t="shared" si="12"/>
        <v>0</v>
      </c>
      <c r="T221" s="95">
        <f t="shared" si="13"/>
        <v>365</v>
      </c>
      <c r="U221" s="95">
        <f t="shared" si="10"/>
        <v>0</v>
      </c>
      <c r="V221" s="95">
        <f t="shared" si="0"/>
        <v>0</v>
      </c>
      <c r="W221" s="96">
        <f t="shared" si="11"/>
        <v>365</v>
      </c>
      <c r="X221" s="96">
        <f>V221/[1]Manure!$I$2</f>
        <v>0</v>
      </c>
      <c r="Y221" s="96">
        <f>W221/[1]Manure!$I$2</f>
        <v>260.3074994661913</v>
      </c>
      <c r="Z221" s="96"/>
      <c r="AA221" s="96"/>
      <c r="AB221" s="95"/>
      <c r="AC221" s="11"/>
    </row>
    <row r="222" spans="1:29" ht="15.75" thickBot="1" x14ac:dyDescent="0.3">
      <c r="A222" s="97">
        <v>45607</v>
      </c>
      <c r="B222" s="92">
        <v>0.41666666666666702</v>
      </c>
      <c r="C222" s="91"/>
      <c r="D222" s="91"/>
      <c r="E222" s="91" t="s">
        <v>60</v>
      </c>
      <c r="F222" s="91">
        <v>20</v>
      </c>
      <c r="G222" s="91">
        <v>313955</v>
      </c>
      <c r="H222" s="91">
        <v>18.600000000000001</v>
      </c>
      <c r="I222" s="91"/>
      <c r="J222" s="103"/>
      <c r="K222" s="103"/>
      <c r="L222" s="103"/>
      <c r="M222" s="103"/>
      <c r="N222" s="103"/>
      <c r="O222" s="103"/>
      <c r="P222" s="103"/>
      <c r="Q222" s="103"/>
      <c r="R222" s="103"/>
      <c r="S222" s="94">
        <f t="shared" si="12"/>
        <v>18.600000000000001</v>
      </c>
      <c r="T222" s="95">
        <f t="shared" si="13"/>
        <v>1877</v>
      </c>
      <c r="U222" s="95">
        <f t="shared" si="10"/>
        <v>0</v>
      </c>
      <c r="V222" s="95">
        <f t="shared" si="0"/>
        <v>0</v>
      </c>
      <c r="W222" s="96">
        <f t="shared" si="11"/>
        <v>1757.2736625514401</v>
      </c>
      <c r="X222" s="96">
        <f>V222/[1]Manure!$I$2</f>
        <v>0</v>
      </c>
      <c r="Y222" s="96">
        <f>W222/[1]Manure!$I$2</f>
        <v>1253.2370218535918</v>
      </c>
      <c r="Z222" s="96"/>
      <c r="AA222" s="96"/>
      <c r="AB222" s="95"/>
      <c r="AC222" s="11"/>
    </row>
    <row r="223" spans="1:29" ht="15.75" thickBot="1" x14ac:dyDescent="0.3">
      <c r="A223" s="97">
        <v>45608</v>
      </c>
      <c r="B223" s="92">
        <v>0.41666666666666702</v>
      </c>
      <c r="C223" s="91"/>
      <c r="D223" s="91"/>
      <c r="E223" s="91" t="s">
        <v>60</v>
      </c>
      <c r="F223" s="91">
        <v>20</v>
      </c>
      <c r="G223" s="91">
        <v>314657</v>
      </c>
      <c r="H223" s="91">
        <v>26.4</v>
      </c>
      <c r="I223" s="91"/>
      <c r="J223" s="103"/>
      <c r="K223" s="103"/>
      <c r="L223" s="103"/>
      <c r="M223" s="103"/>
      <c r="N223" s="103"/>
      <c r="O223" s="103"/>
      <c r="P223" s="103"/>
      <c r="Q223" s="103"/>
      <c r="R223" s="103"/>
      <c r="S223" s="94">
        <f t="shared" si="12"/>
        <v>26.4</v>
      </c>
      <c r="T223" s="95">
        <f t="shared" si="13"/>
        <v>702</v>
      </c>
      <c r="U223" s="95">
        <f t="shared" si="10"/>
        <v>0</v>
      </c>
      <c r="V223" s="95">
        <f t="shared" si="0"/>
        <v>0</v>
      </c>
      <c r="W223" s="96">
        <f t="shared" si="11"/>
        <v>640.10020040080167</v>
      </c>
      <c r="X223" s="96">
        <f>V223/[1]Manure!$I$2</f>
        <v>0</v>
      </c>
      <c r="Y223" s="96">
        <f>W223/[1]Manure!$I$2</f>
        <v>456.50104814833048</v>
      </c>
      <c r="Z223" s="96"/>
      <c r="AA223" s="96"/>
      <c r="AB223" s="95"/>
      <c r="AC223" s="11"/>
    </row>
    <row r="224" spans="1:29" ht="15.75" thickBot="1" x14ac:dyDescent="0.3">
      <c r="A224" s="97">
        <v>45609</v>
      </c>
      <c r="B224" s="92">
        <v>0.41666666666666702</v>
      </c>
      <c r="C224" s="91"/>
      <c r="D224" s="91"/>
      <c r="E224" s="91" t="s">
        <v>60</v>
      </c>
      <c r="F224" s="91">
        <v>20</v>
      </c>
      <c r="G224" s="91">
        <v>315259</v>
      </c>
      <c r="H224" s="91">
        <v>22.8</v>
      </c>
      <c r="I224" s="91"/>
      <c r="J224" s="103"/>
      <c r="K224" s="103"/>
      <c r="L224" s="103"/>
      <c r="M224" s="103"/>
      <c r="N224" s="103"/>
      <c r="O224" s="103"/>
      <c r="P224" s="103"/>
      <c r="Q224" s="103"/>
      <c r="R224" s="103"/>
      <c r="S224" s="94">
        <f t="shared" si="12"/>
        <v>22.8</v>
      </c>
      <c r="T224" s="95">
        <f t="shared" si="13"/>
        <v>602</v>
      </c>
      <c r="U224" s="95">
        <f t="shared" si="10"/>
        <v>0</v>
      </c>
      <c r="V224" s="95">
        <f t="shared" si="0"/>
        <v>0</v>
      </c>
      <c r="W224" s="96">
        <f t="shared" si="11"/>
        <v>555.59837728194725</v>
      </c>
      <c r="X224" s="96">
        <f>V224/[1]Manure!$I$2</f>
        <v>0</v>
      </c>
      <c r="Y224" s="96">
        <f>W224/[1]Manure!$I$2</f>
        <v>396.23677889791026</v>
      </c>
      <c r="Z224" s="96"/>
      <c r="AA224" s="96"/>
      <c r="AB224" s="95"/>
      <c r="AC224" s="11"/>
    </row>
    <row r="225" spans="1:29" ht="15.75" thickBot="1" x14ac:dyDescent="0.3">
      <c r="A225" s="97">
        <v>45610</v>
      </c>
      <c r="B225" s="92">
        <v>0.41666666666666702</v>
      </c>
      <c r="C225" s="91"/>
      <c r="D225" s="91"/>
      <c r="E225" s="91" t="s">
        <v>60</v>
      </c>
      <c r="F225" s="91">
        <v>20</v>
      </c>
      <c r="G225" s="91">
        <v>315969</v>
      </c>
      <c r="H225" s="91">
        <v>24.1</v>
      </c>
      <c r="I225" s="91"/>
      <c r="J225" s="103"/>
      <c r="K225" s="103"/>
      <c r="L225" s="103"/>
      <c r="M225" s="103"/>
      <c r="N225" s="103"/>
      <c r="O225" s="103"/>
      <c r="P225" s="103"/>
      <c r="Q225" s="103"/>
      <c r="R225" s="103"/>
      <c r="S225" s="94">
        <f t="shared" si="12"/>
        <v>24.1</v>
      </c>
      <c r="T225" s="95">
        <f t="shared" si="13"/>
        <v>710</v>
      </c>
      <c r="U225" s="95">
        <f t="shared" si="10"/>
        <v>0</v>
      </c>
      <c r="V225" s="95">
        <f t="shared" si="0"/>
        <v>0</v>
      </c>
      <c r="W225" s="96">
        <f t="shared" si="11"/>
        <v>652.40659710535169</v>
      </c>
      <c r="X225" s="96">
        <f>V225/[1]Manure!$I$2</f>
        <v>0</v>
      </c>
      <c r="Y225" s="96">
        <f>W225/[1]Manure!$I$2</f>
        <v>465.27761624038641</v>
      </c>
      <c r="Z225" s="96"/>
      <c r="AA225" s="96"/>
      <c r="AB225" s="95"/>
      <c r="AC225" s="11"/>
    </row>
    <row r="226" spans="1:29" ht="15.75" thickBot="1" x14ac:dyDescent="0.3">
      <c r="A226" s="97">
        <v>45611</v>
      </c>
      <c r="B226" s="92">
        <v>0.41666666666666702</v>
      </c>
      <c r="C226" s="91"/>
      <c r="D226" s="91"/>
      <c r="E226" s="91" t="s">
        <v>60</v>
      </c>
      <c r="F226" s="91">
        <v>20</v>
      </c>
      <c r="G226" s="91">
        <v>316560</v>
      </c>
      <c r="H226" s="91">
        <v>19</v>
      </c>
      <c r="I226" s="91"/>
      <c r="J226" s="103"/>
      <c r="K226" s="103"/>
      <c r="L226" s="103"/>
      <c r="M226" s="103"/>
      <c r="N226" s="103"/>
      <c r="O226" s="103"/>
      <c r="P226" s="103"/>
      <c r="Q226" s="103"/>
      <c r="R226" s="103"/>
      <c r="S226" s="94">
        <f t="shared" si="12"/>
        <v>19</v>
      </c>
      <c r="T226" s="95">
        <f t="shared" si="13"/>
        <v>591</v>
      </c>
      <c r="U226" s="95">
        <f t="shared" si="10"/>
        <v>0</v>
      </c>
      <c r="V226" s="95">
        <f t="shared" si="0"/>
        <v>0</v>
      </c>
      <c r="W226" s="96">
        <f t="shared" si="11"/>
        <v>552.54452054794524</v>
      </c>
      <c r="X226" s="96">
        <f>V226/[1]Manure!$I$2</f>
        <v>0</v>
      </c>
      <c r="Y226" s="96">
        <f>W226/[1]Manure!$I$2</f>
        <v>394.0588561303594</v>
      </c>
      <c r="Z226" s="96"/>
      <c r="AA226" s="96"/>
      <c r="AB226" s="95"/>
      <c r="AC226" s="11"/>
    </row>
    <row r="227" spans="1:29" ht="15.75" thickBot="1" x14ac:dyDescent="0.3">
      <c r="A227" s="97">
        <v>45612</v>
      </c>
      <c r="B227" s="92">
        <v>0.41666666666666702</v>
      </c>
      <c r="C227" s="91"/>
      <c r="D227" s="91"/>
      <c r="E227" s="91" t="s">
        <v>60</v>
      </c>
      <c r="F227" s="91">
        <v>20</v>
      </c>
      <c r="G227" s="91">
        <v>317238</v>
      </c>
      <c r="H227" s="91">
        <v>16.899999999999999</v>
      </c>
      <c r="I227" s="91"/>
      <c r="J227" s="103"/>
      <c r="K227" s="103"/>
      <c r="L227" s="103"/>
      <c r="M227" s="103"/>
      <c r="N227" s="103"/>
      <c r="O227" s="103"/>
      <c r="P227" s="103"/>
      <c r="Q227" s="103"/>
      <c r="R227" s="103"/>
      <c r="S227" s="94">
        <f t="shared" si="12"/>
        <v>16.899999999999999</v>
      </c>
      <c r="T227" s="95">
        <f t="shared" si="13"/>
        <v>678</v>
      </c>
      <c r="U227" s="95">
        <f t="shared" si="10"/>
        <v>0</v>
      </c>
      <c r="V227" s="95">
        <f t="shared" si="0"/>
        <v>0</v>
      </c>
      <c r="W227" s="96">
        <f t="shared" si="11"/>
        <v>638.47533632287002</v>
      </c>
      <c r="X227" s="96">
        <f>V227/[1]Manure!$I$2</f>
        <v>0</v>
      </c>
      <c r="Y227" s="96">
        <f>W227/[1]Manure!$I$2</f>
        <v>455.34224183299125</v>
      </c>
      <c r="Z227" s="96"/>
      <c r="AA227" s="96"/>
      <c r="AB227" s="95"/>
      <c r="AC227" s="11"/>
    </row>
    <row r="228" spans="1:29" ht="15.75" thickBot="1" x14ac:dyDescent="0.3">
      <c r="A228" s="97">
        <v>45614</v>
      </c>
      <c r="B228" s="92">
        <v>0.41666666666666702</v>
      </c>
      <c r="C228" s="91"/>
      <c r="D228" s="91"/>
      <c r="E228" s="91" t="s">
        <v>60</v>
      </c>
      <c r="F228" s="91">
        <v>20</v>
      </c>
      <c r="G228" s="91">
        <v>318428</v>
      </c>
      <c r="H228" s="91">
        <v>27.2</v>
      </c>
      <c r="I228" s="91"/>
      <c r="J228" s="103"/>
      <c r="K228" s="103"/>
      <c r="L228" s="103"/>
      <c r="M228" s="103"/>
      <c r="N228" s="103"/>
      <c r="O228" s="103"/>
      <c r="P228" s="103"/>
      <c r="Q228" s="103"/>
      <c r="R228" s="103"/>
      <c r="S228" s="94">
        <f t="shared" si="12"/>
        <v>27.2</v>
      </c>
      <c r="T228" s="95">
        <f t="shared" si="13"/>
        <v>1190</v>
      </c>
      <c r="U228" s="95">
        <f t="shared" si="10"/>
        <v>0</v>
      </c>
      <c r="V228" s="95">
        <f t="shared" si="0"/>
        <v>0</v>
      </c>
      <c r="W228" s="96">
        <f t="shared" si="11"/>
        <v>1082.17854763491</v>
      </c>
      <c r="X228" s="96">
        <f>V228/[1]Manure!$I$2</f>
        <v>0</v>
      </c>
      <c r="Y228" s="96">
        <f>W228/[1]Manure!$I$2</f>
        <v>771.77860742684391</v>
      </c>
      <c r="Z228" s="96"/>
      <c r="AA228" s="96"/>
      <c r="AB228" s="95"/>
      <c r="AC228" s="11"/>
    </row>
    <row r="229" spans="1:29" ht="15.75" thickBot="1" x14ac:dyDescent="0.3">
      <c r="A229" s="97">
        <v>45615</v>
      </c>
      <c r="B229" s="92">
        <v>0.41666666666666702</v>
      </c>
      <c r="C229" s="91"/>
      <c r="D229" s="91"/>
      <c r="E229" s="91" t="s">
        <v>60</v>
      </c>
      <c r="F229" s="91">
        <v>20</v>
      </c>
      <c r="G229" s="91">
        <v>319189</v>
      </c>
      <c r="H229" s="91">
        <v>27.8</v>
      </c>
      <c r="I229" s="91"/>
      <c r="J229" s="103"/>
      <c r="K229" s="103"/>
      <c r="L229" s="103"/>
      <c r="M229" s="103"/>
      <c r="N229" s="103"/>
      <c r="O229" s="103"/>
      <c r="P229" s="103"/>
      <c r="Q229" s="103"/>
      <c r="R229" s="103"/>
      <c r="S229" s="94">
        <f t="shared" si="12"/>
        <v>27.8</v>
      </c>
      <c r="T229" s="95">
        <f t="shared" si="13"/>
        <v>761</v>
      </c>
      <c r="U229" s="95">
        <f t="shared" ref="U229:U277" si="14">T229*(P229/100)</f>
        <v>0</v>
      </c>
      <c r="V229" s="95">
        <f t="shared" si="0"/>
        <v>0</v>
      </c>
      <c r="W229" s="96">
        <f t="shared" ref="W229:W276" si="15">T229*(273/(273+S229))</f>
        <v>690.66821808510633</v>
      </c>
      <c r="X229" s="96">
        <f>V229/[1]Manure!$I$2</f>
        <v>0</v>
      </c>
      <c r="Y229" s="96">
        <f>W229/[1]Manure!$I$2</f>
        <v>492.56470359042225</v>
      </c>
      <c r="Z229" s="96"/>
      <c r="AA229" s="96"/>
      <c r="AB229" s="95"/>
      <c r="AC229" s="11"/>
    </row>
    <row r="230" spans="1:29" ht="15.75" thickBot="1" x14ac:dyDescent="0.3">
      <c r="A230" s="97">
        <v>45616</v>
      </c>
      <c r="B230" s="92">
        <v>0.41666666666666702</v>
      </c>
      <c r="C230" s="91"/>
      <c r="D230" s="91"/>
      <c r="E230" s="91" t="s">
        <v>60</v>
      </c>
      <c r="F230" s="91">
        <v>20</v>
      </c>
      <c r="G230" s="91">
        <v>319962</v>
      </c>
      <c r="H230" s="91">
        <v>22.3</v>
      </c>
      <c r="I230" s="91"/>
      <c r="J230" s="103"/>
      <c r="K230" s="103"/>
      <c r="L230" s="103"/>
      <c r="M230" s="103"/>
      <c r="N230" s="103"/>
      <c r="O230" s="103"/>
      <c r="P230" s="103"/>
      <c r="Q230" s="103"/>
      <c r="R230" s="103"/>
      <c r="S230" s="94">
        <f t="shared" si="12"/>
        <v>22.3</v>
      </c>
      <c r="T230" s="95">
        <f t="shared" si="13"/>
        <v>773</v>
      </c>
      <c r="U230" s="95">
        <f t="shared" si="14"/>
        <v>0</v>
      </c>
      <c r="V230" s="95">
        <f t="shared" si="0"/>
        <v>0</v>
      </c>
      <c r="W230" s="96">
        <f t="shared" si="15"/>
        <v>714.62580426684724</v>
      </c>
      <c r="X230" s="96">
        <f>V230/[1]Manure!$I$2</f>
        <v>0</v>
      </c>
      <c r="Y230" s="96">
        <f>W230/[1]Manure!$I$2</f>
        <v>509.65056482936677</v>
      </c>
      <c r="Z230" s="96"/>
      <c r="AA230" s="96"/>
      <c r="AB230" s="95"/>
      <c r="AC230" s="11"/>
    </row>
    <row r="231" spans="1:29" ht="15.75" thickBot="1" x14ac:dyDescent="0.3">
      <c r="A231" s="97">
        <v>45617</v>
      </c>
      <c r="B231" s="92">
        <v>0.41666666666666702</v>
      </c>
      <c r="C231" s="91"/>
      <c r="D231" s="91"/>
      <c r="E231" s="91" t="s">
        <v>60</v>
      </c>
      <c r="F231" s="91">
        <v>20</v>
      </c>
      <c r="G231" s="91">
        <v>320509</v>
      </c>
      <c r="H231" s="91">
        <v>24.4</v>
      </c>
      <c r="I231" s="91"/>
      <c r="J231" s="103"/>
      <c r="K231" s="103"/>
      <c r="L231" s="103"/>
      <c r="M231" s="103"/>
      <c r="N231" s="103"/>
      <c r="O231" s="103"/>
      <c r="P231" s="103"/>
      <c r="Q231" s="103"/>
      <c r="R231" s="103"/>
      <c r="S231" s="94">
        <f t="shared" si="12"/>
        <v>24.4</v>
      </c>
      <c r="T231" s="95">
        <f t="shared" si="13"/>
        <v>547</v>
      </c>
      <c r="U231" s="95">
        <f t="shared" si="14"/>
        <v>0</v>
      </c>
      <c r="V231" s="95">
        <f t="shared" si="0"/>
        <v>0</v>
      </c>
      <c r="W231" s="96">
        <f t="shared" si="15"/>
        <v>502.12172158708813</v>
      </c>
      <c r="X231" s="96">
        <f>V231/[1]Manure!$I$2</f>
        <v>0</v>
      </c>
      <c r="Y231" s="96">
        <f>W231/[1]Manure!$I$2</f>
        <v>358.09876650409319</v>
      </c>
      <c r="Z231" s="96"/>
      <c r="AA231" s="96"/>
      <c r="AB231" s="95"/>
      <c r="AC231" s="11"/>
    </row>
    <row r="232" spans="1:29" ht="15.75" thickBot="1" x14ac:dyDescent="0.3">
      <c r="A232" s="97">
        <v>45618</v>
      </c>
      <c r="B232" s="92">
        <v>0.41666666666666702</v>
      </c>
      <c r="C232" s="91"/>
      <c r="D232" s="91"/>
      <c r="E232" s="91" t="s">
        <v>60</v>
      </c>
      <c r="F232" s="91">
        <v>20</v>
      </c>
      <c r="G232" s="91">
        <v>321231</v>
      </c>
      <c r="H232" s="91">
        <v>23.5</v>
      </c>
      <c r="I232" s="91"/>
      <c r="J232" s="103"/>
      <c r="K232" s="103"/>
      <c r="L232" s="103"/>
      <c r="M232" s="103"/>
      <c r="N232" s="103"/>
      <c r="O232" s="103"/>
      <c r="P232" s="103"/>
      <c r="Q232" s="103"/>
      <c r="R232" s="103"/>
      <c r="S232" s="94">
        <f t="shared" si="12"/>
        <v>23.5</v>
      </c>
      <c r="T232" s="95">
        <f t="shared" si="13"/>
        <v>722</v>
      </c>
      <c r="U232" s="95">
        <f t="shared" si="14"/>
        <v>0</v>
      </c>
      <c r="V232" s="95">
        <f t="shared" si="0"/>
        <v>0</v>
      </c>
      <c r="W232" s="96">
        <f t="shared" si="15"/>
        <v>664.77571669477231</v>
      </c>
      <c r="X232" s="96">
        <f>V232/[1]Manure!$I$2</f>
        <v>0</v>
      </c>
      <c r="Y232" s="96">
        <f>W232/[1]Manure!$I$2</f>
        <v>474.09891648948326</v>
      </c>
      <c r="Z232" s="96"/>
      <c r="AA232" s="96"/>
      <c r="AB232" s="95"/>
      <c r="AC232" s="11"/>
    </row>
    <row r="233" spans="1:29" ht="15.75" thickBot="1" x14ac:dyDescent="0.3">
      <c r="A233" s="97">
        <v>45619</v>
      </c>
      <c r="B233" s="92">
        <v>0.41666666666666702</v>
      </c>
      <c r="C233" s="91"/>
      <c r="D233" s="91"/>
      <c r="E233" s="91" t="s">
        <v>60</v>
      </c>
      <c r="F233" s="91">
        <v>20</v>
      </c>
      <c r="G233" s="91">
        <v>322182</v>
      </c>
      <c r="H233" s="91">
        <v>26.5</v>
      </c>
      <c r="I233" s="91"/>
      <c r="J233" s="103"/>
      <c r="K233" s="103"/>
      <c r="L233" s="103"/>
      <c r="M233" s="103"/>
      <c r="N233" s="103"/>
      <c r="O233" s="103"/>
      <c r="P233" s="103"/>
      <c r="Q233" s="103"/>
      <c r="R233" s="103"/>
      <c r="S233" s="94">
        <f t="shared" si="12"/>
        <v>26.5</v>
      </c>
      <c r="T233" s="95">
        <f t="shared" si="13"/>
        <v>951</v>
      </c>
      <c r="U233" s="95">
        <f t="shared" si="14"/>
        <v>0</v>
      </c>
      <c r="V233" s="95">
        <f t="shared" si="0"/>
        <v>0</v>
      </c>
      <c r="W233" s="96">
        <f t="shared" si="15"/>
        <v>866.85475792988314</v>
      </c>
      <c r="X233" s="96">
        <f>V233/[1]Manure!$I$2</f>
        <v>0</v>
      </c>
      <c r="Y233" s="96">
        <f>W233/[1]Manure!$I$2</f>
        <v>618.21587517013279</v>
      </c>
      <c r="Z233" s="96"/>
      <c r="AA233" s="96"/>
      <c r="AB233" s="95"/>
      <c r="AC233" s="11"/>
    </row>
    <row r="234" spans="1:29" ht="15.75" thickBot="1" x14ac:dyDescent="0.3">
      <c r="A234" s="97">
        <v>45621</v>
      </c>
      <c r="B234" s="92">
        <v>0.41666666666666702</v>
      </c>
      <c r="C234" s="91"/>
      <c r="D234" s="91"/>
      <c r="E234" s="91" t="s">
        <v>60</v>
      </c>
      <c r="F234" s="91">
        <v>20</v>
      </c>
      <c r="G234" s="91">
        <v>323523</v>
      </c>
      <c r="H234" s="91">
        <v>22.8</v>
      </c>
      <c r="I234" s="91"/>
      <c r="J234" s="103"/>
      <c r="K234" s="103"/>
      <c r="L234" s="103"/>
      <c r="M234" s="103"/>
      <c r="N234" s="103"/>
      <c r="O234" s="103"/>
      <c r="P234" s="103"/>
      <c r="Q234" s="103"/>
      <c r="R234" s="103"/>
      <c r="S234" s="94">
        <f t="shared" si="12"/>
        <v>22.8</v>
      </c>
      <c r="T234" s="95">
        <f t="shared" si="13"/>
        <v>1341</v>
      </c>
      <c r="U234" s="95">
        <f t="shared" si="14"/>
        <v>0</v>
      </c>
      <c r="V234" s="95">
        <f t="shared" si="0"/>
        <v>0</v>
      </c>
      <c r="W234" s="96">
        <f t="shared" si="15"/>
        <v>1237.6369168356996</v>
      </c>
      <c r="X234" s="96">
        <f>V234/[1]Manure!$I$2</f>
        <v>0</v>
      </c>
      <c r="Y234" s="96">
        <f>W234/[1]Manure!$I$2</f>
        <v>882.64704402341795</v>
      </c>
      <c r="Z234" s="96"/>
      <c r="AA234" s="96"/>
      <c r="AB234" s="95"/>
      <c r="AC234" s="11"/>
    </row>
    <row r="235" spans="1:29" ht="15.75" thickBot="1" x14ac:dyDescent="0.3">
      <c r="A235" s="97">
        <v>45622</v>
      </c>
      <c r="B235" s="92">
        <v>0.41666666666666702</v>
      </c>
      <c r="C235" s="91"/>
      <c r="D235" s="91"/>
      <c r="E235" s="91" t="s">
        <v>60</v>
      </c>
      <c r="F235" s="91">
        <v>20</v>
      </c>
      <c r="G235" s="91">
        <v>324182</v>
      </c>
      <c r="H235" s="91">
        <v>22</v>
      </c>
      <c r="I235" s="91"/>
      <c r="J235" s="103"/>
      <c r="K235" s="103"/>
      <c r="L235" s="103"/>
      <c r="M235" s="103"/>
      <c r="N235" s="103"/>
      <c r="O235" s="103"/>
      <c r="P235" s="103"/>
      <c r="Q235" s="103"/>
      <c r="R235" s="103"/>
      <c r="S235" s="94">
        <f t="shared" si="12"/>
        <v>22</v>
      </c>
      <c r="T235" s="95">
        <f t="shared" si="13"/>
        <v>659</v>
      </c>
      <c r="U235" s="95">
        <f t="shared" si="14"/>
        <v>0</v>
      </c>
      <c r="V235" s="95">
        <f t="shared" si="0"/>
        <v>0</v>
      </c>
      <c r="W235" s="96">
        <f t="shared" si="15"/>
        <v>609.85423728813555</v>
      </c>
      <c r="X235" s="96">
        <f>V235/[1]Manure!$I$2</f>
        <v>0</v>
      </c>
      <c r="Y235" s="96">
        <f>W235/[1]Manure!$I$2</f>
        <v>434.93049738996126</v>
      </c>
      <c r="Z235" s="96"/>
      <c r="AA235" s="96"/>
      <c r="AB235" s="95"/>
      <c r="AC235" s="11"/>
    </row>
    <row r="236" spans="1:29" ht="15.75" thickBot="1" x14ac:dyDescent="0.3">
      <c r="A236" s="97">
        <v>45623</v>
      </c>
      <c r="B236" s="92">
        <v>0.41666666666666702</v>
      </c>
      <c r="C236" s="91"/>
      <c r="D236" s="91"/>
      <c r="E236" s="91" t="s">
        <v>60</v>
      </c>
      <c r="F236" s="91">
        <v>20</v>
      </c>
      <c r="G236" s="91">
        <v>325051</v>
      </c>
      <c r="H236" s="91">
        <v>21</v>
      </c>
      <c r="I236" s="91"/>
      <c r="J236" s="103"/>
      <c r="K236" s="103"/>
      <c r="L236" s="103"/>
      <c r="M236" s="103"/>
      <c r="N236" s="103"/>
      <c r="O236" s="103"/>
      <c r="P236" s="103"/>
      <c r="Q236" s="103"/>
      <c r="R236" s="103"/>
      <c r="S236" s="94">
        <f t="shared" si="12"/>
        <v>21</v>
      </c>
      <c r="T236" s="95">
        <f t="shared" si="13"/>
        <v>869</v>
      </c>
      <c r="U236" s="95">
        <f t="shared" si="14"/>
        <v>0</v>
      </c>
      <c r="V236" s="95">
        <f t="shared" si="0"/>
        <v>0</v>
      </c>
      <c r="W236" s="96">
        <f t="shared" si="15"/>
        <v>806.92857142857144</v>
      </c>
      <c r="X236" s="96">
        <f>V236/[1]Manure!$I$2</f>
        <v>0</v>
      </c>
      <c r="Y236" s="96">
        <f>W236/[1]Manure!$I$2</f>
        <v>575.47824294903387</v>
      </c>
      <c r="Z236" s="96"/>
      <c r="AA236" s="96"/>
      <c r="AB236" s="95"/>
      <c r="AC236" s="11"/>
    </row>
    <row r="237" spans="1:29" ht="15.75" thickBot="1" x14ac:dyDescent="0.3">
      <c r="A237" s="97">
        <v>45624</v>
      </c>
      <c r="B237" s="92">
        <v>0.41666666666666702</v>
      </c>
      <c r="C237" s="91"/>
      <c r="D237" s="91"/>
      <c r="E237" s="91" t="s">
        <v>60</v>
      </c>
      <c r="F237" s="91">
        <v>20</v>
      </c>
      <c r="G237" s="91">
        <v>325511</v>
      </c>
      <c r="H237" s="91">
        <v>21.9</v>
      </c>
      <c r="I237" s="91"/>
      <c r="J237" s="103"/>
      <c r="K237" s="103"/>
      <c r="L237" s="103"/>
      <c r="M237" s="103"/>
      <c r="N237" s="103"/>
      <c r="O237" s="103"/>
      <c r="P237" s="103"/>
      <c r="Q237" s="103"/>
      <c r="R237" s="103"/>
      <c r="S237" s="94">
        <f t="shared" si="12"/>
        <v>21.9</v>
      </c>
      <c r="T237" s="95">
        <f t="shared" si="13"/>
        <v>460</v>
      </c>
      <c r="U237" s="95">
        <f t="shared" si="14"/>
        <v>0</v>
      </c>
      <c r="V237" s="95">
        <f t="shared" si="0"/>
        <v>0</v>
      </c>
      <c r="W237" s="96">
        <f t="shared" si="15"/>
        <v>425.83926754832152</v>
      </c>
      <c r="X237" s="96">
        <f>V237/[1]Manure!$I$2</f>
        <v>0</v>
      </c>
      <c r="Y237" s="96">
        <f>W237/[1]Manure!$I$2</f>
        <v>303.69631482196712</v>
      </c>
      <c r="Z237" s="96"/>
      <c r="AA237" s="96"/>
      <c r="AB237" s="95"/>
      <c r="AC237" s="11"/>
    </row>
    <row r="238" spans="1:29" ht="15.75" thickBot="1" x14ac:dyDescent="0.3">
      <c r="A238" s="97">
        <v>45625</v>
      </c>
      <c r="B238" s="92">
        <v>0.41666666666666702</v>
      </c>
      <c r="C238" s="91"/>
      <c r="D238" s="91"/>
      <c r="E238" s="91" t="s">
        <v>60</v>
      </c>
      <c r="F238" s="91">
        <v>20</v>
      </c>
      <c r="G238" s="91">
        <v>326224</v>
      </c>
      <c r="H238" s="91">
        <v>28.4</v>
      </c>
      <c r="I238" s="91"/>
      <c r="J238" s="103"/>
      <c r="K238" s="103"/>
      <c r="L238" s="103"/>
      <c r="M238" s="103"/>
      <c r="N238" s="103"/>
      <c r="O238" s="103"/>
      <c r="P238" s="103"/>
      <c r="Q238" s="103"/>
      <c r="R238" s="103"/>
      <c r="S238" s="94">
        <f t="shared" si="12"/>
        <v>28.4</v>
      </c>
      <c r="T238" s="95">
        <f t="shared" si="13"/>
        <v>713</v>
      </c>
      <c r="U238" s="95">
        <f t="shared" si="14"/>
        <v>0</v>
      </c>
      <c r="V238" s="95">
        <f t="shared" si="0"/>
        <v>0</v>
      </c>
      <c r="W238" s="96">
        <f t="shared" si="15"/>
        <v>645.816191108162</v>
      </c>
      <c r="X238" s="96">
        <f>V238/[1]Manure!$I$2</f>
        <v>0</v>
      </c>
      <c r="Y238" s="96">
        <f>W238/[1]Manure!$I$2</f>
        <v>460.57752827985092</v>
      </c>
      <c r="Z238" s="96"/>
      <c r="AA238" s="96"/>
      <c r="AB238" s="95"/>
      <c r="AC238" s="11"/>
    </row>
    <row r="239" spans="1:29" ht="15.75" thickBot="1" x14ac:dyDescent="0.3">
      <c r="A239" s="97">
        <v>45626</v>
      </c>
      <c r="B239" s="92">
        <v>0.41666666666666702</v>
      </c>
      <c r="C239" s="91"/>
      <c r="D239" s="91"/>
      <c r="E239" s="91" t="s">
        <v>60</v>
      </c>
      <c r="F239" s="91">
        <v>20</v>
      </c>
      <c r="G239" s="91">
        <v>326864</v>
      </c>
      <c r="H239" s="91">
        <v>25.5</v>
      </c>
      <c r="I239" s="91"/>
      <c r="J239" s="103"/>
      <c r="K239" s="103"/>
      <c r="L239" s="103"/>
      <c r="M239" s="103"/>
      <c r="N239" s="103"/>
      <c r="O239" s="103"/>
      <c r="P239" s="103"/>
      <c r="Q239" s="103"/>
      <c r="R239" s="103"/>
      <c r="S239" s="94">
        <f t="shared" si="12"/>
        <v>25.5</v>
      </c>
      <c r="T239" s="95">
        <f t="shared" si="13"/>
        <v>640</v>
      </c>
      <c r="U239" s="95">
        <f t="shared" si="14"/>
        <v>0</v>
      </c>
      <c r="V239" s="95">
        <f t="shared" si="0"/>
        <v>0</v>
      </c>
      <c r="W239" s="96">
        <f t="shared" si="15"/>
        <v>585.32663316582909</v>
      </c>
      <c r="X239" s="96">
        <f>V239/[1]Manure!$I$2</f>
        <v>0</v>
      </c>
      <c r="Y239" s="96">
        <f>W239/[1]Manure!$I$2</f>
        <v>417.43811575441538</v>
      </c>
      <c r="Z239" s="96"/>
      <c r="AA239" s="96"/>
      <c r="AB239" s="95"/>
      <c r="AC239" s="11"/>
    </row>
    <row r="240" spans="1:29" ht="15.75" thickBot="1" x14ac:dyDescent="0.3">
      <c r="A240" s="97">
        <v>45628</v>
      </c>
      <c r="B240" s="92">
        <v>0.41666666666666702</v>
      </c>
      <c r="C240" s="91"/>
      <c r="D240" s="91"/>
      <c r="E240" s="91" t="s">
        <v>60</v>
      </c>
      <c r="F240" s="91">
        <v>20</v>
      </c>
      <c r="G240" s="91">
        <v>328146</v>
      </c>
      <c r="H240" s="91">
        <v>22.5</v>
      </c>
      <c r="I240" s="91"/>
      <c r="J240" s="103"/>
      <c r="K240" s="103"/>
      <c r="L240" s="103"/>
      <c r="M240" s="103"/>
      <c r="N240" s="103"/>
      <c r="O240" s="103"/>
      <c r="P240" s="103"/>
      <c r="Q240" s="103"/>
      <c r="R240" s="103"/>
      <c r="S240" s="94">
        <f t="shared" si="12"/>
        <v>22.5</v>
      </c>
      <c r="T240" s="95">
        <f t="shared" si="13"/>
        <v>1282</v>
      </c>
      <c r="U240" s="95">
        <f t="shared" si="14"/>
        <v>0</v>
      </c>
      <c r="V240" s="95">
        <f t="shared" si="0"/>
        <v>0</v>
      </c>
      <c r="W240" s="96">
        <f t="shared" si="15"/>
        <v>1184.3857868020305</v>
      </c>
      <c r="X240" s="96">
        <f>V240/[1]Manure!$I$2</f>
        <v>0</v>
      </c>
      <c r="Y240" s="96">
        <f>W240/[1]Manure!$I$2</f>
        <v>844.66987004310715</v>
      </c>
      <c r="Z240" s="96"/>
      <c r="AA240" s="96"/>
      <c r="AB240" s="95"/>
      <c r="AC240" s="11"/>
    </row>
    <row r="241" spans="1:29" ht="15.75" thickBot="1" x14ac:dyDescent="0.3">
      <c r="A241" s="97">
        <v>45629</v>
      </c>
      <c r="B241" s="92">
        <v>0.41666666666666702</v>
      </c>
      <c r="C241" s="91"/>
      <c r="D241" s="91"/>
      <c r="E241" s="91" t="s">
        <v>60</v>
      </c>
      <c r="F241" s="91">
        <v>20</v>
      </c>
      <c r="G241" s="112">
        <v>329136</v>
      </c>
      <c r="H241" s="91">
        <v>23.8</v>
      </c>
      <c r="I241" s="91"/>
      <c r="J241" s="103"/>
      <c r="K241" s="103"/>
      <c r="L241" s="103"/>
      <c r="M241" s="103"/>
      <c r="N241" s="103"/>
      <c r="O241" s="103"/>
      <c r="P241" s="103"/>
      <c r="Q241" s="103"/>
      <c r="R241" s="103"/>
      <c r="S241" s="94">
        <f t="shared" si="12"/>
        <v>23.8</v>
      </c>
      <c r="T241" s="95">
        <f t="shared" si="13"/>
        <v>990</v>
      </c>
      <c r="U241" s="95">
        <f t="shared" si="14"/>
        <v>0</v>
      </c>
      <c r="V241" s="95">
        <f t="shared" si="0"/>
        <v>0</v>
      </c>
      <c r="W241" s="96">
        <f t="shared" si="15"/>
        <v>910.61320754716974</v>
      </c>
      <c r="X241" s="96">
        <f>V241/[1]Manure!$I$2</f>
        <v>0</v>
      </c>
      <c r="Y241" s="96">
        <f>W241/[1]Manure!$I$2</f>
        <v>649.42314256847021</v>
      </c>
      <c r="Z241" s="96"/>
      <c r="AA241" s="96"/>
      <c r="AB241" s="95"/>
      <c r="AC241" s="11"/>
    </row>
    <row r="242" spans="1:29" ht="15.75" thickBot="1" x14ac:dyDescent="0.3">
      <c r="A242" s="97">
        <v>45630</v>
      </c>
      <c r="B242" s="92">
        <v>0.41666666666666702</v>
      </c>
      <c r="C242" s="91"/>
      <c r="D242" s="91"/>
      <c r="E242" s="91" t="s">
        <v>60</v>
      </c>
      <c r="F242" s="91">
        <v>20</v>
      </c>
      <c r="G242" s="91">
        <v>329804</v>
      </c>
      <c r="H242" s="91">
        <v>28.1</v>
      </c>
      <c r="I242" s="91"/>
      <c r="J242" s="103"/>
      <c r="K242" s="103"/>
      <c r="L242" s="103"/>
      <c r="M242" s="103"/>
      <c r="N242" s="103"/>
      <c r="O242" s="103"/>
      <c r="P242" s="103"/>
      <c r="Q242" s="103"/>
      <c r="R242" s="103"/>
      <c r="S242" s="94">
        <f t="shared" si="12"/>
        <v>28.1</v>
      </c>
      <c r="T242" s="95">
        <f t="shared" si="13"/>
        <v>668</v>
      </c>
      <c r="U242" s="95">
        <f t="shared" si="14"/>
        <v>0</v>
      </c>
      <c r="V242" s="95">
        <f t="shared" si="0"/>
        <v>0</v>
      </c>
      <c r="W242" s="96">
        <f t="shared" si="15"/>
        <v>605.65924941879769</v>
      </c>
      <c r="X242" s="96">
        <f>V242/[1]Manure!$I$2</f>
        <v>0</v>
      </c>
      <c r="Y242" s="96">
        <f>W242/[1]Manure!$I$2</f>
        <v>431.93875272541783</v>
      </c>
      <c r="Z242" s="96"/>
      <c r="AA242" s="96"/>
      <c r="AB242" s="95"/>
      <c r="AC242" s="11"/>
    </row>
    <row r="243" spans="1:29" ht="15.75" thickBot="1" x14ac:dyDescent="0.3">
      <c r="A243" s="97">
        <v>45631</v>
      </c>
      <c r="B243" s="92">
        <v>0.41666666666666702</v>
      </c>
      <c r="C243" s="91"/>
      <c r="D243" s="91"/>
      <c r="E243" s="91" t="s">
        <v>60</v>
      </c>
      <c r="F243" s="91">
        <v>20</v>
      </c>
      <c r="G243" s="91">
        <v>330555</v>
      </c>
      <c r="H243" s="91">
        <v>26.9</v>
      </c>
      <c r="I243" s="91"/>
      <c r="J243" s="103"/>
      <c r="K243" s="103"/>
      <c r="L243" s="103"/>
      <c r="M243" s="103"/>
      <c r="N243" s="103"/>
      <c r="O243" s="103"/>
      <c r="P243" s="103"/>
      <c r="Q243" s="103"/>
      <c r="R243" s="103"/>
      <c r="S243" s="94">
        <f t="shared" si="12"/>
        <v>26.9</v>
      </c>
      <c r="T243" s="95">
        <f t="shared" si="13"/>
        <v>751</v>
      </c>
      <c r="U243" s="95">
        <f t="shared" si="14"/>
        <v>0</v>
      </c>
      <c r="V243" s="95">
        <f t="shared" si="0"/>
        <v>0</v>
      </c>
      <c r="W243" s="96">
        <f t="shared" si="15"/>
        <v>683.63787929309774</v>
      </c>
      <c r="X243" s="96">
        <f>V243/[1]Manure!$I$2</f>
        <v>0</v>
      </c>
      <c r="Y243" s="96">
        <f>W243/[1]Manure!$I$2</f>
        <v>487.55086821686632</v>
      </c>
      <c r="Z243" s="96"/>
      <c r="AA243" s="96"/>
      <c r="AB243" s="95"/>
      <c r="AC243" s="11"/>
    </row>
    <row r="244" spans="1:29" ht="15.75" thickBot="1" x14ac:dyDescent="0.3">
      <c r="A244" s="97">
        <v>45632</v>
      </c>
      <c r="B244" s="92">
        <v>0.41666666666666702</v>
      </c>
      <c r="C244" s="91"/>
      <c r="D244" s="91"/>
      <c r="E244" s="91" t="s">
        <v>60</v>
      </c>
      <c r="F244" s="91">
        <v>20</v>
      </c>
      <c r="G244" s="91">
        <v>331291</v>
      </c>
      <c r="H244" s="91">
        <v>26.7</v>
      </c>
      <c r="I244" s="91"/>
      <c r="J244" s="103"/>
      <c r="K244" s="103"/>
      <c r="L244" s="103"/>
      <c r="M244" s="103"/>
      <c r="N244" s="103"/>
      <c r="O244" s="103"/>
      <c r="P244" s="103"/>
      <c r="Q244" s="103"/>
      <c r="R244" s="103"/>
      <c r="S244" s="94">
        <f t="shared" si="12"/>
        <v>26.7</v>
      </c>
      <c r="T244" s="95">
        <f t="shared" si="13"/>
        <v>736</v>
      </c>
      <c r="U244" s="95">
        <f t="shared" si="14"/>
        <v>0</v>
      </c>
      <c r="V244" s="95">
        <f t="shared" si="0"/>
        <v>0</v>
      </c>
      <c r="W244" s="96">
        <f t="shared" si="15"/>
        <v>670.43043043043042</v>
      </c>
      <c r="X244" s="96">
        <f>V244/[1]Manure!$I$2</f>
        <v>0</v>
      </c>
      <c r="Y244" s="96">
        <f>W244/[1]Manure!$I$2</f>
        <v>478.13169564763746</v>
      </c>
      <c r="Z244" s="96"/>
      <c r="AA244" s="96"/>
      <c r="AB244" s="95"/>
      <c r="AC244" s="11"/>
    </row>
    <row r="245" spans="1:29" ht="15.75" thickBot="1" x14ac:dyDescent="0.3">
      <c r="A245" s="97">
        <v>45633</v>
      </c>
      <c r="B245" s="92">
        <v>0.41666666666666702</v>
      </c>
      <c r="C245" s="91"/>
      <c r="D245" s="91"/>
      <c r="E245" s="91" t="s">
        <v>60</v>
      </c>
      <c r="F245" s="91">
        <v>20</v>
      </c>
      <c r="G245" s="91">
        <v>332359</v>
      </c>
      <c r="H245" s="91">
        <v>26.9</v>
      </c>
      <c r="I245" s="91"/>
      <c r="J245" s="103"/>
      <c r="K245" s="103"/>
      <c r="L245" s="103"/>
      <c r="M245" s="103"/>
      <c r="N245" s="103"/>
      <c r="O245" s="103"/>
      <c r="P245" s="103"/>
      <c r="Q245" s="103"/>
      <c r="R245" s="103"/>
      <c r="S245" s="94">
        <f t="shared" si="12"/>
        <v>26.9</v>
      </c>
      <c r="T245" s="95">
        <f t="shared" si="13"/>
        <v>1068</v>
      </c>
      <c r="U245" s="95">
        <f t="shared" si="14"/>
        <v>0</v>
      </c>
      <c r="V245" s="95">
        <f t="shared" si="0"/>
        <v>0</v>
      </c>
      <c r="W245" s="96">
        <f t="shared" si="15"/>
        <v>972.20406802267428</v>
      </c>
      <c r="X245" s="96">
        <f>V245/[1]Manure!$I$2</f>
        <v>0</v>
      </c>
      <c r="Y245" s="96">
        <f>W245/[1]Manure!$I$2</f>
        <v>693.34797237764747</v>
      </c>
      <c r="Z245" s="96"/>
      <c r="AA245" s="96"/>
      <c r="AB245" s="95"/>
      <c r="AC245" s="11"/>
    </row>
    <row r="246" spans="1:29" ht="15.75" thickBot="1" x14ac:dyDescent="0.3">
      <c r="A246" s="97">
        <v>45635</v>
      </c>
      <c r="B246" s="92">
        <v>0.41666666666666702</v>
      </c>
      <c r="C246" s="91"/>
      <c r="D246" s="91"/>
      <c r="E246" s="91" t="s">
        <v>60</v>
      </c>
      <c r="F246" s="91">
        <v>20</v>
      </c>
      <c r="G246" s="91">
        <v>334157</v>
      </c>
      <c r="H246" s="91">
        <v>27.9</v>
      </c>
      <c r="I246" s="91"/>
      <c r="J246" s="103"/>
      <c r="K246" s="103"/>
      <c r="L246" s="103"/>
      <c r="M246" s="103"/>
      <c r="N246" s="103"/>
      <c r="O246" s="103"/>
      <c r="P246" s="103"/>
      <c r="Q246" s="103"/>
      <c r="R246" s="103"/>
      <c r="S246" s="94">
        <f t="shared" si="12"/>
        <v>27.9</v>
      </c>
      <c r="T246" s="95">
        <f t="shared" si="13"/>
        <v>1798</v>
      </c>
      <c r="U246" s="95">
        <f t="shared" si="14"/>
        <v>0</v>
      </c>
      <c r="V246" s="95">
        <f t="shared" si="0"/>
        <v>0</v>
      </c>
      <c r="W246" s="96">
        <f t="shared" si="15"/>
        <v>1631.2861415752743</v>
      </c>
      <c r="X246" s="96">
        <f>V246/[1]Manure!$I$2</f>
        <v>0</v>
      </c>
      <c r="Y246" s="96">
        <f>W246/[1]Manure!$I$2</f>
        <v>1163.3863463761945</v>
      </c>
      <c r="Z246" s="96"/>
      <c r="AA246" s="96"/>
      <c r="AB246" s="95"/>
      <c r="AC246" s="11"/>
    </row>
    <row r="247" spans="1:29" ht="15.75" thickBot="1" x14ac:dyDescent="0.3">
      <c r="A247" s="97">
        <v>45636</v>
      </c>
      <c r="B247" s="92">
        <v>0.41666666666666702</v>
      </c>
      <c r="C247" s="91"/>
      <c r="D247" s="91"/>
      <c r="E247" s="91" t="s">
        <v>60</v>
      </c>
      <c r="F247" s="91">
        <v>20</v>
      </c>
      <c r="G247" s="91">
        <v>334914</v>
      </c>
      <c r="H247" s="91">
        <v>26.7</v>
      </c>
      <c r="I247" s="91"/>
      <c r="J247" s="103"/>
      <c r="K247" s="103"/>
      <c r="L247" s="103"/>
      <c r="M247" s="103"/>
      <c r="N247" s="103"/>
      <c r="O247" s="103"/>
      <c r="P247" s="103"/>
      <c r="Q247" s="103"/>
      <c r="R247" s="103"/>
      <c r="S247" s="94">
        <f t="shared" si="12"/>
        <v>26.7</v>
      </c>
      <c r="T247" s="95">
        <f t="shared" si="13"/>
        <v>757</v>
      </c>
      <c r="U247" s="95">
        <f t="shared" si="14"/>
        <v>0</v>
      </c>
      <c r="V247" s="95">
        <f t="shared" si="0"/>
        <v>0</v>
      </c>
      <c r="W247" s="96">
        <f t="shared" si="15"/>
        <v>689.5595595595596</v>
      </c>
      <c r="X247" s="96">
        <f>V247/[1]Manure!$I$2</f>
        <v>0</v>
      </c>
      <c r="Y247" s="96">
        <f>W247/[1]Manure!$I$2</f>
        <v>491.77404022454022</v>
      </c>
      <c r="Z247" s="96"/>
      <c r="AA247" s="96"/>
      <c r="AB247" s="95"/>
      <c r="AC247" s="11"/>
    </row>
    <row r="248" spans="1:29" ht="15.75" thickBot="1" x14ac:dyDescent="0.3">
      <c r="A248" s="97">
        <v>45637</v>
      </c>
      <c r="B248" s="92">
        <v>0.41666666666666702</v>
      </c>
      <c r="C248" s="91"/>
      <c r="D248" s="91"/>
      <c r="E248" s="91" t="s">
        <v>60</v>
      </c>
      <c r="F248" s="91">
        <v>20</v>
      </c>
      <c r="G248" s="91">
        <v>335608</v>
      </c>
      <c r="H248" s="91">
        <v>26.1</v>
      </c>
      <c r="I248" s="91"/>
      <c r="J248" s="103"/>
      <c r="K248" s="103"/>
      <c r="L248" s="103"/>
      <c r="M248" s="103"/>
      <c r="N248" s="103"/>
      <c r="O248" s="103"/>
      <c r="P248" s="103"/>
      <c r="Q248" s="103"/>
      <c r="R248" s="103"/>
      <c r="S248" s="94">
        <f t="shared" si="12"/>
        <v>26.1</v>
      </c>
      <c r="T248" s="95">
        <f t="shared" si="13"/>
        <v>694</v>
      </c>
      <c r="U248" s="95">
        <f t="shared" si="14"/>
        <v>0</v>
      </c>
      <c r="V248" s="95">
        <f t="shared" si="0"/>
        <v>0</v>
      </c>
      <c r="W248" s="96">
        <f t="shared" si="15"/>
        <v>633.44032096288856</v>
      </c>
      <c r="X248" s="96">
        <f>V248/[1]Manure!$I$2</f>
        <v>0</v>
      </c>
      <c r="Y248" s="96">
        <f>W248/[1]Manure!$I$2</f>
        <v>451.75141372852374</v>
      </c>
      <c r="Z248" s="96"/>
      <c r="AA248" s="96"/>
      <c r="AB248" s="95"/>
      <c r="AC248" s="11"/>
    </row>
    <row r="249" spans="1:29" ht="15.75" thickBot="1" x14ac:dyDescent="0.3">
      <c r="A249" s="97">
        <v>45638</v>
      </c>
      <c r="B249" s="92">
        <v>0.41666666666666702</v>
      </c>
      <c r="C249" s="91"/>
      <c r="D249" s="91"/>
      <c r="E249" s="91" t="s">
        <v>60</v>
      </c>
      <c r="F249" s="91">
        <v>20</v>
      </c>
      <c r="G249" s="91">
        <v>336338</v>
      </c>
      <c r="H249" s="91">
        <v>25.2</v>
      </c>
      <c r="I249" s="91"/>
      <c r="J249" s="103"/>
      <c r="K249" s="103"/>
      <c r="L249" s="103"/>
      <c r="M249" s="103"/>
      <c r="N249" s="103"/>
      <c r="O249" s="103"/>
      <c r="P249" s="103"/>
      <c r="Q249" s="103"/>
      <c r="R249" s="103"/>
      <c r="S249" s="94">
        <f t="shared" si="12"/>
        <v>25.2</v>
      </c>
      <c r="T249" s="95">
        <f t="shared" si="13"/>
        <v>730</v>
      </c>
      <c r="U249" s="95">
        <f t="shared" si="14"/>
        <v>0</v>
      </c>
      <c r="V249" s="95">
        <f t="shared" si="0"/>
        <v>0</v>
      </c>
      <c r="W249" s="96">
        <f t="shared" si="15"/>
        <v>668.30985915492954</v>
      </c>
      <c r="X249" s="96">
        <f>V249/[1]Manure!$I$2</f>
        <v>0</v>
      </c>
      <c r="Y249" s="96">
        <f>W249/[1]Manure!$I$2</f>
        <v>476.61936521978691</v>
      </c>
      <c r="Z249" s="96"/>
      <c r="AA249" s="96"/>
      <c r="AB249" s="95"/>
      <c r="AC249" s="11"/>
    </row>
    <row r="250" spans="1:29" ht="15.75" thickBot="1" x14ac:dyDescent="0.3">
      <c r="A250" s="97">
        <v>45639</v>
      </c>
      <c r="B250" s="92">
        <v>0.41666666666666702</v>
      </c>
      <c r="C250" s="91"/>
      <c r="D250" s="91"/>
      <c r="E250" s="91" t="s">
        <v>60</v>
      </c>
      <c r="F250" s="91">
        <v>20</v>
      </c>
      <c r="G250" s="112">
        <v>336783</v>
      </c>
      <c r="H250" s="91">
        <v>25.2</v>
      </c>
      <c r="I250" s="91"/>
      <c r="J250" s="103"/>
      <c r="K250" s="103"/>
      <c r="L250" s="103"/>
      <c r="M250" s="103"/>
      <c r="N250" s="103"/>
      <c r="O250" s="103"/>
      <c r="P250" s="103"/>
      <c r="Q250" s="103"/>
      <c r="R250" s="103"/>
      <c r="S250" s="94">
        <f t="shared" si="12"/>
        <v>25.2</v>
      </c>
      <c r="T250" s="95">
        <f t="shared" si="13"/>
        <v>445</v>
      </c>
      <c r="U250" s="95">
        <f t="shared" si="14"/>
        <v>0</v>
      </c>
      <c r="V250" s="95">
        <f t="shared" si="0"/>
        <v>0</v>
      </c>
      <c r="W250" s="96">
        <f t="shared" si="15"/>
        <v>407.3943661971831</v>
      </c>
      <c r="X250" s="96">
        <f>V250/[1]Manure!$I$2</f>
        <v>0</v>
      </c>
      <c r="Y250" s="96">
        <f>W250/[1]Manure!$I$2</f>
        <v>290.54194181206191</v>
      </c>
      <c r="Z250" s="96"/>
      <c r="AA250" s="96"/>
      <c r="AB250" s="95"/>
      <c r="AC250" s="11"/>
    </row>
    <row r="251" spans="1:29" ht="15.75" thickBot="1" x14ac:dyDescent="0.3">
      <c r="A251" s="97">
        <v>45640</v>
      </c>
      <c r="B251" s="92">
        <v>0.41666666666666702</v>
      </c>
      <c r="C251" s="91"/>
      <c r="D251" s="91"/>
      <c r="E251" s="91" t="s">
        <v>60</v>
      </c>
      <c r="F251" s="91">
        <v>20</v>
      </c>
      <c r="G251" s="91">
        <v>337440</v>
      </c>
      <c r="H251" s="91">
        <v>31</v>
      </c>
      <c r="I251" s="91"/>
      <c r="J251" s="103"/>
      <c r="K251" s="103"/>
      <c r="L251" s="103"/>
      <c r="M251" s="103"/>
      <c r="N251" s="103"/>
      <c r="O251" s="103"/>
      <c r="P251" s="103"/>
      <c r="Q251" s="103"/>
      <c r="R251" s="103"/>
      <c r="S251" s="94">
        <f t="shared" si="12"/>
        <v>31</v>
      </c>
      <c r="T251" s="95">
        <f t="shared" si="13"/>
        <v>657</v>
      </c>
      <c r="U251" s="95">
        <f t="shared" si="14"/>
        <v>0</v>
      </c>
      <c r="V251" s="95">
        <f t="shared" si="0"/>
        <v>0</v>
      </c>
      <c r="W251" s="96">
        <f t="shared" si="15"/>
        <v>590.00328947368416</v>
      </c>
      <c r="X251" s="96">
        <f>V251/[1]Manure!$I$2</f>
        <v>0</v>
      </c>
      <c r="Y251" s="96">
        <f>W251/[1]Manure!$I$2</f>
        <v>420.77337249238946</v>
      </c>
      <c r="Z251" s="96"/>
      <c r="AA251" s="96"/>
      <c r="AB251" s="95"/>
      <c r="AC251" s="11"/>
    </row>
    <row r="252" spans="1:29" ht="15.75" thickBot="1" x14ac:dyDescent="0.3">
      <c r="A252" s="97">
        <v>45642</v>
      </c>
      <c r="B252" s="92">
        <v>0.41666666666666702</v>
      </c>
      <c r="C252" s="91"/>
      <c r="D252" s="91"/>
      <c r="E252" s="91" t="s">
        <v>60</v>
      </c>
      <c r="F252" s="91">
        <v>20</v>
      </c>
      <c r="G252" s="91">
        <v>338922</v>
      </c>
      <c r="H252" s="91">
        <v>27.8</v>
      </c>
      <c r="I252" s="91"/>
      <c r="J252" s="103"/>
      <c r="K252" s="103"/>
      <c r="L252" s="103"/>
      <c r="M252" s="103"/>
      <c r="N252" s="103"/>
      <c r="O252" s="103"/>
      <c r="P252" s="103"/>
      <c r="Q252" s="103"/>
      <c r="R252" s="103"/>
      <c r="S252" s="94">
        <f t="shared" si="12"/>
        <v>27.8</v>
      </c>
      <c r="T252" s="95">
        <f t="shared" si="13"/>
        <v>1482</v>
      </c>
      <c r="U252" s="95">
        <f t="shared" si="14"/>
        <v>0</v>
      </c>
      <c r="V252" s="95">
        <f t="shared" si="0"/>
        <v>0</v>
      </c>
      <c r="W252" s="96">
        <f t="shared" si="15"/>
        <v>1345.0332446808511</v>
      </c>
      <c r="X252" s="96">
        <f>V252/[1]Manure!$I$2</f>
        <v>0</v>
      </c>
      <c r="Y252" s="96">
        <f>W252/[1]Manure!$I$2</f>
        <v>959.23901540211023</v>
      </c>
      <c r="Z252" s="96"/>
      <c r="AA252" s="96"/>
      <c r="AB252" s="95"/>
      <c r="AC252" s="11"/>
    </row>
    <row r="253" spans="1:29" ht="15.75" thickBot="1" x14ac:dyDescent="0.3">
      <c r="A253" s="97">
        <v>45643</v>
      </c>
      <c r="B253" s="92">
        <v>0.41666666666666702</v>
      </c>
      <c r="C253" s="91"/>
      <c r="D253" s="91"/>
      <c r="E253" s="91" t="s">
        <v>60</v>
      </c>
      <c r="F253" s="91">
        <v>20</v>
      </c>
      <c r="G253" s="91">
        <v>339676</v>
      </c>
      <c r="H253" s="91">
        <v>26.8</v>
      </c>
      <c r="I253" s="91"/>
      <c r="J253" s="103"/>
      <c r="K253" s="103"/>
      <c r="L253" s="103"/>
      <c r="M253" s="103"/>
      <c r="N253" s="103"/>
      <c r="O253" s="103"/>
      <c r="P253" s="103"/>
      <c r="Q253" s="103"/>
      <c r="R253" s="103"/>
      <c r="S253" s="94">
        <f t="shared" si="12"/>
        <v>26.8</v>
      </c>
      <c r="T253" s="95">
        <f t="shared" si="13"/>
        <v>754</v>
      </c>
      <c r="U253" s="95">
        <f t="shared" si="14"/>
        <v>0</v>
      </c>
      <c r="V253" s="95">
        <f t="shared" si="0"/>
        <v>0</v>
      </c>
      <c r="W253" s="96">
        <f t="shared" si="15"/>
        <v>686.5977318212141</v>
      </c>
      <c r="X253" s="96">
        <f>V253/[1]Manure!$I$2</f>
        <v>0</v>
      </c>
      <c r="Y253" s="96">
        <f>W253/[1]Manure!$I$2</f>
        <v>489.66174988914753</v>
      </c>
      <c r="Z253" s="96"/>
      <c r="AA253" s="96"/>
      <c r="AB253" s="95"/>
      <c r="AC253" s="11"/>
    </row>
    <row r="254" spans="1:29" ht="15.75" thickBot="1" x14ac:dyDescent="0.3">
      <c r="A254" s="97">
        <v>45644</v>
      </c>
      <c r="B254" s="92">
        <v>0.41666666666666702</v>
      </c>
      <c r="C254" s="91"/>
      <c r="D254" s="91"/>
      <c r="E254" s="91" t="s">
        <v>60</v>
      </c>
      <c r="F254" s="91">
        <v>20</v>
      </c>
      <c r="G254" s="91">
        <v>340413</v>
      </c>
      <c r="H254" s="91">
        <v>25.2</v>
      </c>
      <c r="I254" s="91"/>
      <c r="J254" s="103"/>
      <c r="K254" s="103"/>
      <c r="L254" s="103"/>
      <c r="M254" s="103"/>
      <c r="N254" s="103"/>
      <c r="O254" s="103"/>
      <c r="P254" s="103"/>
      <c r="Q254" s="103"/>
      <c r="R254" s="103"/>
      <c r="S254" s="94">
        <f t="shared" si="12"/>
        <v>25.2</v>
      </c>
      <c r="T254" s="95">
        <f t="shared" si="13"/>
        <v>737</v>
      </c>
      <c r="U254" s="95">
        <f t="shared" si="14"/>
        <v>0</v>
      </c>
      <c r="V254" s="95">
        <f t="shared" si="0"/>
        <v>0</v>
      </c>
      <c r="W254" s="96">
        <f t="shared" si="15"/>
        <v>674.71830985915494</v>
      </c>
      <c r="X254" s="96">
        <f>V254/[1]Manure!$I$2</f>
        <v>0</v>
      </c>
      <c r="Y254" s="96">
        <f>W254/[1]Manure!$I$2</f>
        <v>481.18968789997666</v>
      </c>
      <c r="Z254" s="96"/>
      <c r="AA254" s="96"/>
      <c r="AB254" s="95"/>
      <c r="AC254" s="11"/>
    </row>
    <row r="255" spans="1:29" ht="15.75" thickBot="1" x14ac:dyDescent="0.3">
      <c r="A255" s="97">
        <v>45645</v>
      </c>
      <c r="B255" s="92">
        <v>0.41666666666666702</v>
      </c>
      <c r="C255" s="91"/>
      <c r="D255" s="91"/>
      <c r="E255" s="91" t="s">
        <v>60</v>
      </c>
      <c r="F255" s="91">
        <v>20</v>
      </c>
      <c r="G255" s="91">
        <v>340979</v>
      </c>
      <c r="H255" s="91">
        <v>21.5</v>
      </c>
      <c r="I255" s="91"/>
      <c r="J255" s="103"/>
      <c r="K255" s="103"/>
      <c r="L255" s="103"/>
      <c r="M255" s="103"/>
      <c r="N255" s="103"/>
      <c r="O255" s="103"/>
      <c r="P255" s="103"/>
      <c r="Q255" s="103"/>
      <c r="R255" s="103"/>
      <c r="S255" s="94">
        <f t="shared" si="12"/>
        <v>21.5</v>
      </c>
      <c r="T255" s="95">
        <f t="shared" si="13"/>
        <v>566</v>
      </c>
      <c r="U255" s="95">
        <f t="shared" si="14"/>
        <v>0</v>
      </c>
      <c r="V255" s="95">
        <f t="shared" si="0"/>
        <v>0</v>
      </c>
      <c r="W255" s="96">
        <f t="shared" si="15"/>
        <v>524.67911714770798</v>
      </c>
      <c r="X255" s="96">
        <f>V255/[1]Manure!$I$2</f>
        <v>0</v>
      </c>
      <c r="Y255" s="96">
        <f>W255/[1]Manure!$I$2</f>
        <v>374.18605207355813</v>
      </c>
      <c r="Z255" s="96"/>
      <c r="AA255" s="96"/>
      <c r="AB255" s="95"/>
      <c r="AC255" s="11"/>
    </row>
    <row r="256" spans="1:29" ht="15.75" thickBot="1" x14ac:dyDescent="0.3">
      <c r="A256" s="97">
        <v>45646</v>
      </c>
      <c r="B256" s="92">
        <v>0.41666666666666702</v>
      </c>
      <c r="C256" s="91"/>
      <c r="D256" s="91"/>
      <c r="E256" s="91" t="s">
        <v>60</v>
      </c>
      <c r="F256" s="91">
        <v>20</v>
      </c>
      <c r="G256" s="91">
        <v>341899</v>
      </c>
      <c r="H256" s="91">
        <v>23.4</v>
      </c>
      <c r="I256" s="91"/>
      <c r="J256" s="103"/>
      <c r="K256" s="103"/>
      <c r="L256" s="103"/>
      <c r="M256" s="103"/>
      <c r="N256" s="103"/>
      <c r="O256" s="103"/>
      <c r="P256" s="103"/>
      <c r="Q256" s="103"/>
      <c r="R256" s="103"/>
      <c r="S256" s="94">
        <f t="shared" si="12"/>
        <v>23.4</v>
      </c>
      <c r="T256" s="95">
        <f t="shared" si="13"/>
        <v>920</v>
      </c>
      <c r="U256" s="95">
        <f t="shared" si="14"/>
        <v>0</v>
      </c>
      <c r="V256" s="95">
        <f t="shared" si="0"/>
        <v>0</v>
      </c>
      <c r="W256" s="96">
        <f t="shared" si="15"/>
        <v>847.36842105263167</v>
      </c>
      <c r="X256" s="96">
        <f>V256/[1]Manure!$I$2</f>
        <v>0</v>
      </c>
      <c r="Y256" s="96">
        <f>W256/[1]Manure!$I$2</f>
        <v>604.318780303631</v>
      </c>
      <c r="Z256" s="96"/>
      <c r="AA256" s="96"/>
      <c r="AB256" s="95"/>
      <c r="AC256" s="11"/>
    </row>
    <row r="257" spans="1:29" ht="15.75" thickBot="1" x14ac:dyDescent="0.3">
      <c r="A257" s="97">
        <v>45647</v>
      </c>
      <c r="B257" s="92">
        <v>0.41666666666666702</v>
      </c>
      <c r="C257" s="91"/>
      <c r="D257" s="91"/>
      <c r="E257" s="91" t="s">
        <v>60</v>
      </c>
      <c r="F257" s="91">
        <v>20</v>
      </c>
      <c r="G257" s="91">
        <v>342734</v>
      </c>
      <c r="H257" s="91">
        <v>24.4</v>
      </c>
      <c r="I257" s="91"/>
      <c r="J257" s="103"/>
      <c r="K257" s="103"/>
      <c r="L257" s="103"/>
      <c r="M257" s="103"/>
      <c r="N257" s="103"/>
      <c r="O257" s="103"/>
      <c r="P257" s="103"/>
      <c r="Q257" s="103"/>
      <c r="R257" s="103"/>
      <c r="S257" s="94">
        <f t="shared" si="12"/>
        <v>24.4</v>
      </c>
      <c r="T257" s="95">
        <f t="shared" si="13"/>
        <v>835</v>
      </c>
      <c r="U257" s="95">
        <f t="shared" si="14"/>
        <v>0</v>
      </c>
      <c r="V257" s="95">
        <f t="shared" si="0"/>
        <v>0</v>
      </c>
      <c r="W257" s="96">
        <f t="shared" si="15"/>
        <v>766.49293880295897</v>
      </c>
      <c r="X257" s="96">
        <f>V257/[1]Manure!$I$2</f>
        <v>0</v>
      </c>
      <c r="Y257" s="96">
        <f>W257/[1]Manure!$I$2</f>
        <v>546.64071303641276</v>
      </c>
      <c r="Z257" s="96"/>
      <c r="AA257" s="96"/>
      <c r="AB257" s="95"/>
      <c r="AC257" s="11"/>
    </row>
    <row r="258" spans="1:29" ht="15.75" thickBot="1" x14ac:dyDescent="0.3">
      <c r="A258" s="97">
        <v>45649</v>
      </c>
      <c r="B258" s="92">
        <v>0.41666666666666702</v>
      </c>
      <c r="C258" s="91"/>
      <c r="D258" s="91"/>
      <c r="E258" s="91" t="s">
        <v>60</v>
      </c>
      <c r="F258" s="91">
        <v>20</v>
      </c>
      <c r="G258" s="91">
        <v>343717</v>
      </c>
      <c r="H258" s="91">
        <v>26.1</v>
      </c>
      <c r="I258" s="91"/>
      <c r="J258" s="103"/>
      <c r="K258" s="103"/>
      <c r="L258" s="103"/>
      <c r="M258" s="103"/>
      <c r="N258" s="103"/>
      <c r="O258" s="103"/>
      <c r="P258" s="103"/>
      <c r="Q258" s="103"/>
      <c r="R258" s="103"/>
      <c r="S258" s="94">
        <f t="shared" si="12"/>
        <v>26.1</v>
      </c>
      <c r="T258" s="95">
        <f t="shared" si="13"/>
        <v>983</v>
      </c>
      <c r="U258" s="95">
        <f t="shared" si="14"/>
        <v>0</v>
      </c>
      <c r="V258" s="95">
        <f t="shared" ref="V258:V277" si="16">U258*(273/(273+S258))</f>
        <v>0</v>
      </c>
      <c r="W258" s="96">
        <f t="shared" si="15"/>
        <v>897.22166499498485</v>
      </c>
      <c r="X258" s="96">
        <f>V258/[1]Manure!$I$2</f>
        <v>0</v>
      </c>
      <c r="Y258" s="96">
        <f>W258/[1]Manure!$I$2</f>
        <v>639.87267967599257</v>
      </c>
      <c r="Z258" s="96"/>
      <c r="AA258" s="96"/>
      <c r="AB258" s="95"/>
      <c r="AC258" s="11"/>
    </row>
    <row r="259" spans="1:29" ht="15.75" thickBot="1" x14ac:dyDescent="0.3">
      <c r="A259" s="97">
        <v>45650</v>
      </c>
      <c r="B259" s="92">
        <v>0.41666666666666702</v>
      </c>
      <c r="C259" s="91"/>
      <c r="D259" s="91"/>
      <c r="E259" s="91" t="s">
        <v>60</v>
      </c>
      <c r="F259" s="91">
        <v>20</v>
      </c>
      <c r="G259" s="91">
        <v>344145</v>
      </c>
      <c r="H259" s="91">
        <v>24.6</v>
      </c>
      <c r="I259" s="91"/>
      <c r="J259" s="103"/>
      <c r="K259" s="103"/>
      <c r="L259" s="103"/>
      <c r="M259" s="103"/>
      <c r="N259" s="103"/>
      <c r="O259" s="103"/>
      <c r="P259" s="103"/>
      <c r="Q259" s="103"/>
      <c r="R259" s="103"/>
      <c r="S259" s="94">
        <f t="shared" ref="S259:S277" si="17">H259</f>
        <v>24.6</v>
      </c>
      <c r="T259" s="95">
        <f t="shared" si="13"/>
        <v>428</v>
      </c>
      <c r="U259" s="95">
        <f t="shared" si="14"/>
        <v>0</v>
      </c>
      <c r="V259" s="95">
        <f t="shared" si="16"/>
        <v>0</v>
      </c>
      <c r="W259" s="96">
        <f t="shared" si="15"/>
        <v>392.62096774193543</v>
      </c>
      <c r="X259" s="96">
        <f>V259/[1]Manure!$I$2</f>
        <v>0</v>
      </c>
      <c r="Y259" s="96">
        <f>W259/[1]Manure!$I$2</f>
        <v>280.00597904355993</v>
      </c>
      <c r="Z259" s="96"/>
      <c r="AA259" s="96"/>
      <c r="AB259" s="95"/>
      <c r="AC259" s="11"/>
    </row>
    <row r="260" spans="1:29" ht="15.75" thickBot="1" x14ac:dyDescent="0.3">
      <c r="A260" s="97">
        <v>45651</v>
      </c>
      <c r="B260" s="92">
        <v>0.41666666666666702</v>
      </c>
      <c r="C260" s="91"/>
      <c r="D260" s="91"/>
      <c r="E260" s="91" t="s">
        <v>60</v>
      </c>
      <c r="F260" s="91">
        <v>20</v>
      </c>
      <c r="G260" s="91">
        <v>344681</v>
      </c>
      <c r="H260" s="91">
        <v>25</v>
      </c>
      <c r="I260" s="91"/>
      <c r="J260" s="103"/>
      <c r="K260" s="103"/>
      <c r="L260" s="103"/>
      <c r="M260" s="103"/>
      <c r="N260" s="103"/>
      <c r="O260" s="103"/>
      <c r="P260" s="103"/>
      <c r="Q260" s="103"/>
      <c r="R260" s="103"/>
      <c r="S260" s="94">
        <f t="shared" si="17"/>
        <v>25</v>
      </c>
      <c r="T260" s="95">
        <f t="shared" ref="T260:T277" si="18">G260-G259</f>
        <v>536</v>
      </c>
      <c r="U260" s="95">
        <f t="shared" si="14"/>
        <v>0</v>
      </c>
      <c r="V260" s="95">
        <f t="shared" si="16"/>
        <v>0</v>
      </c>
      <c r="W260" s="96">
        <f t="shared" si="15"/>
        <v>491.03355704697987</v>
      </c>
      <c r="X260" s="96">
        <f>V260/[1]Manure!$I$2</f>
        <v>0</v>
      </c>
      <c r="Y260" s="96">
        <f>W260/[1]Manure!$I$2</f>
        <v>350.19100654490063</v>
      </c>
      <c r="Z260" s="96"/>
      <c r="AA260" s="96"/>
      <c r="AB260" s="95"/>
      <c r="AC260" s="11"/>
    </row>
    <row r="261" spans="1:29" ht="15.75" thickBot="1" x14ac:dyDescent="0.3">
      <c r="A261" s="97">
        <v>45652</v>
      </c>
      <c r="B261" s="92">
        <v>0.41666666666666702</v>
      </c>
      <c r="C261" s="91"/>
      <c r="D261" s="91"/>
      <c r="E261" s="91" t="s">
        <v>60</v>
      </c>
      <c r="F261" s="91">
        <v>20</v>
      </c>
      <c r="G261" s="91">
        <v>343258</v>
      </c>
      <c r="H261" s="91">
        <v>21.9</v>
      </c>
      <c r="I261" s="91"/>
      <c r="J261" s="103"/>
      <c r="K261" s="103"/>
      <c r="L261" s="103"/>
      <c r="M261" s="103"/>
      <c r="N261" s="103"/>
      <c r="O261" s="103"/>
      <c r="P261" s="103"/>
      <c r="Q261" s="103"/>
      <c r="R261" s="103"/>
      <c r="S261" s="94">
        <f t="shared" si="17"/>
        <v>21.9</v>
      </c>
      <c r="T261" s="95">
        <f t="shared" si="18"/>
        <v>-1423</v>
      </c>
      <c r="U261" s="95">
        <f t="shared" si="14"/>
        <v>0</v>
      </c>
      <c r="V261" s="95">
        <f t="shared" si="16"/>
        <v>0</v>
      </c>
      <c r="W261" s="96">
        <f t="shared" si="15"/>
        <v>-1317.3245167853511</v>
      </c>
      <c r="X261" s="96">
        <f>V261/[1]Manure!$I$2</f>
        <v>0</v>
      </c>
      <c r="Y261" s="96">
        <f>W261/[1]Manure!$I$2</f>
        <v>-939.47794780795482</v>
      </c>
      <c r="Z261" s="96"/>
      <c r="AA261" s="96"/>
      <c r="AB261" s="95"/>
      <c r="AC261" s="11"/>
    </row>
    <row r="262" spans="1:29" ht="15.75" thickBot="1" x14ac:dyDescent="0.3">
      <c r="A262" s="97">
        <v>45653</v>
      </c>
      <c r="B262" s="92">
        <v>0.41666666666666702</v>
      </c>
      <c r="C262" s="91"/>
      <c r="D262" s="91"/>
      <c r="E262" s="91" t="s">
        <v>60</v>
      </c>
      <c r="F262" s="91">
        <v>20</v>
      </c>
      <c r="G262" s="91">
        <v>345858</v>
      </c>
      <c r="H262" s="91">
        <v>24.9</v>
      </c>
      <c r="I262" s="91"/>
      <c r="J262" s="103"/>
      <c r="K262" s="103"/>
      <c r="L262" s="103"/>
      <c r="M262" s="103"/>
      <c r="N262" s="103"/>
      <c r="O262" s="103"/>
      <c r="P262" s="103"/>
      <c r="Q262" s="103"/>
      <c r="R262" s="103"/>
      <c r="S262" s="94">
        <f t="shared" si="17"/>
        <v>24.9</v>
      </c>
      <c r="T262" s="95">
        <f t="shared" si="18"/>
        <v>2600</v>
      </c>
      <c r="U262" s="95">
        <f t="shared" si="14"/>
        <v>0</v>
      </c>
      <c r="V262" s="95">
        <f t="shared" si="16"/>
        <v>0</v>
      </c>
      <c r="W262" s="96">
        <f t="shared" si="15"/>
        <v>2382.6787512588116</v>
      </c>
      <c r="X262" s="96">
        <f>V262/[1]Manure!$I$2</f>
        <v>0</v>
      </c>
      <c r="Y262" s="96">
        <f>W262/[1]Manure!$I$2</f>
        <v>1699.2579390997494</v>
      </c>
      <c r="Z262" s="96"/>
      <c r="AA262" s="96"/>
      <c r="AB262" s="95"/>
      <c r="AC262" s="11"/>
    </row>
    <row r="263" spans="1:29" ht="15.75" thickBot="1" x14ac:dyDescent="0.3">
      <c r="A263" s="97">
        <v>45654</v>
      </c>
      <c r="B263" s="92">
        <v>0.41666666666666702</v>
      </c>
      <c r="C263" s="91"/>
      <c r="D263" s="91"/>
      <c r="E263" s="91" t="s">
        <v>91</v>
      </c>
      <c r="F263" s="91">
        <v>20</v>
      </c>
      <c r="G263" s="91">
        <v>346396</v>
      </c>
      <c r="H263" s="91">
        <v>28.5</v>
      </c>
      <c r="I263" s="91"/>
      <c r="J263" s="103"/>
      <c r="K263" s="103"/>
      <c r="L263" s="103"/>
      <c r="M263" s="103"/>
      <c r="N263" s="103"/>
      <c r="O263" s="103"/>
      <c r="P263" s="103"/>
      <c r="Q263" s="103"/>
      <c r="R263" s="103"/>
      <c r="S263" s="94">
        <f t="shared" si="17"/>
        <v>28.5</v>
      </c>
      <c r="T263" s="95">
        <f t="shared" si="18"/>
        <v>538</v>
      </c>
      <c r="U263" s="95">
        <f t="shared" si="14"/>
        <v>0</v>
      </c>
      <c r="V263" s="95">
        <f t="shared" si="16"/>
        <v>0</v>
      </c>
      <c r="W263" s="96">
        <f t="shared" si="15"/>
        <v>487.14427860696514</v>
      </c>
      <c r="X263" s="96">
        <f>V263/[1]Manure!$I$2</f>
        <v>0</v>
      </c>
      <c r="Y263" s="96">
        <f>W263/[1]Manure!$I$2</f>
        <v>347.41728505052254</v>
      </c>
      <c r="Z263" s="96"/>
      <c r="AA263" s="96"/>
      <c r="AB263" s="95"/>
    </row>
    <row r="264" spans="1:29" ht="15.75" thickBot="1" x14ac:dyDescent="0.3">
      <c r="A264" s="97">
        <v>45656</v>
      </c>
      <c r="B264" s="92">
        <v>0.41666666666666702</v>
      </c>
      <c r="C264" s="91"/>
      <c r="D264" s="91"/>
      <c r="E264" s="91" t="s">
        <v>60</v>
      </c>
      <c r="F264" s="91">
        <v>20</v>
      </c>
      <c r="G264" s="112">
        <v>347999</v>
      </c>
      <c r="H264" s="112">
        <v>31.4</v>
      </c>
      <c r="I264" s="91"/>
      <c r="J264" s="90"/>
      <c r="K264" s="90"/>
      <c r="L264" s="90"/>
      <c r="M264" s="90"/>
      <c r="N264" s="90"/>
      <c r="O264" s="90"/>
      <c r="P264" s="90"/>
      <c r="Q264" s="90"/>
      <c r="R264" s="90"/>
      <c r="S264" s="94">
        <f t="shared" si="17"/>
        <v>31.4</v>
      </c>
      <c r="T264" s="95">
        <f t="shared" si="18"/>
        <v>1603</v>
      </c>
      <c r="U264" s="95">
        <f t="shared" si="14"/>
        <v>0</v>
      </c>
      <c r="V264" s="95">
        <f t="shared" si="16"/>
        <v>0</v>
      </c>
      <c r="W264" s="96">
        <f t="shared" ref="W264:W277" si="19">T264*(273/(273+S264))</f>
        <v>1437.6445466491459</v>
      </c>
      <c r="X264" s="96">
        <f>V264/[1]Manure!$I$2</f>
        <v>0</v>
      </c>
      <c r="Y264" s="96">
        <f>W264/[1]Manure!$I$2</f>
        <v>1025.2867316697134</v>
      </c>
      <c r="Z264" s="96"/>
      <c r="AA264" s="96"/>
      <c r="AB264" s="90"/>
    </row>
    <row r="265" spans="1:29" ht="15.75" thickBot="1" x14ac:dyDescent="0.3">
      <c r="A265" s="97">
        <v>45657</v>
      </c>
      <c r="B265" s="92">
        <v>0.41666666666666702</v>
      </c>
      <c r="C265" s="91"/>
      <c r="D265" s="91"/>
      <c r="E265" s="91" t="s">
        <v>60</v>
      </c>
      <c r="F265" s="91">
        <v>20</v>
      </c>
      <c r="G265" s="112">
        <v>348192</v>
      </c>
      <c r="H265" s="112">
        <v>28.9</v>
      </c>
      <c r="I265" s="91"/>
      <c r="J265" s="90"/>
      <c r="K265" s="90"/>
      <c r="L265" s="90"/>
      <c r="M265" s="90"/>
      <c r="N265" s="90"/>
      <c r="O265" s="90"/>
      <c r="P265" s="90"/>
      <c r="Q265" s="90"/>
      <c r="R265" s="90"/>
      <c r="S265" s="94">
        <f t="shared" si="17"/>
        <v>28.9</v>
      </c>
      <c r="T265" s="95">
        <f t="shared" si="18"/>
        <v>193</v>
      </c>
      <c r="U265" s="95">
        <f t="shared" si="14"/>
        <v>0</v>
      </c>
      <c r="V265" s="95">
        <f t="shared" si="16"/>
        <v>0</v>
      </c>
      <c r="W265" s="96">
        <f t="shared" si="19"/>
        <v>174.52467704537929</v>
      </c>
      <c r="X265" s="96">
        <f>V265/[1]Manure!$I$2</f>
        <v>0</v>
      </c>
      <c r="Y265" s="96">
        <f>W265/[1]Manure!$I$2</f>
        <v>124.4659788406227</v>
      </c>
      <c r="Z265" s="96"/>
      <c r="AA265" s="96"/>
      <c r="AB265" s="90"/>
    </row>
    <row r="266" spans="1:29" ht="15.75" thickBot="1" x14ac:dyDescent="0.3">
      <c r="A266" s="97">
        <v>45658</v>
      </c>
      <c r="B266" s="92">
        <v>0.41666666666666702</v>
      </c>
      <c r="C266" s="91"/>
      <c r="D266" s="91"/>
      <c r="E266" s="91" t="s">
        <v>60</v>
      </c>
      <c r="F266" s="91">
        <v>20</v>
      </c>
      <c r="G266" s="112">
        <v>348725</v>
      </c>
      <c r="H266" s="112">
        <v>28.2</v>
      </c>
      <c r="I266" s="91"/>
      <c r="J266" s="90"/>
      <c r="K266" s="90"/>
      <c r="L266" s="90"/>
      <c r="M266" s="90"/>
      <c r="N266" s="90"/>
      <c r="O266" s="90"/>
      <c r="P266" s="90"/>
      <c r="Q266" s="90"/>
      <c r="R266" s="90"/>
      <c r="S266" s="94">
        <f t="shared" si="17"/>
        <v>28.2</v>
      </c>
      <c r="T266" s="95">
        <f t="shared" si="18"/>
        <v>533</v>
      </c>
      <c r="U266" s="95">
        <f t="shared" si="14"/>
        <v>0</v>
      </c>
      <c r="V266" s="95">
        <f t="shared" si="16"/>
        <v>0</v>
      </c>
      <c r="W266" s="96">
        <f t="shared" si="19"/>
        <v>483.09760956175302</v>
      </c>
      <c r="X266" s="96">
        <f>V266/[1]Manure!$I$2</f>
        <v>0</v>
      </c>
      <c r="Y266" s="96">
        <f>W266/[1]Manure!$I$2</f>
        <v>344.53131710442278</v>
      </c>
      <c r="Z266" s="96"/>
      <c r="AA266" s="96"/>
      <c r="AB266" s="90"/>
    </row>
    <row r="267" spans="1:29" ht="15.75" thickBot="1" x14ac:dyDescent="0.3">
      <c r="A267" s="97">
        <v>45659</v>
      </c>
      <c r="B267" s="92">
        <v>0.41666666666666702</v>
      </c>
      <c r="C267" s="91"/>
      <c r="D267" s="91"/>
      <c r="E267" s="91" t="s">
        <v>60</v>
      </c>
      <c r="F267" s="91">
        <v>20</v>
      </c>
      <c r="G267" s="112">
        <v>348791</v>
      </c>
      <c r="H267" s="112">
        <v>27.8</v>
      </c>
      <c r="I267" s="91"/>
      <c r="J267" s="90"/>
      <c r="K267" s="90"/>
      <c r="L267" s="90"/>
      <c r="M267" s="90"/>
      <c r="N267" s="90"/>
      <c r="O267" s="90"/>
      <c r="P267" s="90"/>
      <c r="Q267" s="90"/>
      <c r="R267" s="90"/>
      <c r="S267" s="94">
        <f t="shared" si="17"/>
        <v>27.8</v>
      </c>
      <c r="T267" s="95">
        <f t="shared" si="18"/>
        <v>66</v>
      </c>
      <c r="U267" s="95">
        <f t="shared" si="14"/>
        <v>0</v>
      </c>
      <c r="V267" s="95">
        <f t="shared" si="16"/>
        <v>0</v>
      </c>
      <c r="W267" s="96">
        <f t="shared" si="19"/>
        <v>59.900265957446805</v>
      </c>
      <c r="X267" s="96">
        <f>V267/[1]Manure!$I$2</f>
        <v>0</v>
      </c>
      <c r="Y267" s="96">
        <f>W267/[1]Manure!$I$2</f>
        <v>42.719146434911785</v>
      </c>
      <c r="Z267" s="96"/>
      <c r="AA267" s="96"/>
      <c r="AB267" s="90"/>
    </row>
    <row r="268" spans="1:29" ht="15.75" thickBot="1" x14ac:dyDescent="0.3">
      <c r="A268" s="97">
        <v>45660</v>
      </c>
      <c r="B268" s="92">
        <v>0.41666666666666702</v>
      </c>
      <c r="C268" s="91"/>
      <c r="D268" s="91"/>
      <c r="E268" s="91" t="s">
        <v>60</v>
      </c>
      <c r="F268" s="91">
        <v>20</v>
      </c>
      <c r="G268" s="112">
        <v>349151</v>
      </c>
      <c r="H268" s="112">
        <v>26.8</v>
      </c>
      <c r="I268" s="91"/>
      <c r="J268" s="90"/>
      <c r="K268" s="90"/>
      <c r="L268" s="90"/>
      <c r="M268" s="90"/>
      <c r="N268" s="90"/>
      <c r="O268" s="90"/>
      <c r="P268" s="90"/>
      <c r="Q268" s="90"/>
      <c r="R268" s="90"/>
      <c r="S268" s="94">
        <f t="shared" si="17"/>
        <v>26.8</v>
      </c>
      <c r="T268" s="95">
        <f t="shared" si="18"/>
        <v>360</v>
      </c>
      <c r="U268" s="95">
        <f t="shared" si="14"/>
        <v>0</v>
      </c>
      <c r="V268" s="95">
        <f t="shared" si="16"/>
        <v>0</v>
      </c>
      <c r="W268" s="96">
        <f t="shared" si="19"/>
        <v>327.81854569713141</v>
      </c>
      <c r="X268" s="96">
        <f>V268/[1]Manure!$I$2</f>
        <v>0</v>
      </c>
      <c r="Y268" s="96">
        <f>W268/[1]Manure!$I$2</f>
        <v>233.79075591524287</v>
      </c>
      <c r="Z268" s="96"/>
      <c r="AA268" s="96"/>
      <c r="AB268" s="90"/>
    </row>
    <row r="269" spans="1:29" ht="15.75" thickBot="1" x14ac:dyDescent="0.3">
      <c r="A269" s="97">
        <v>45661</v>
      </c>
      <c r="B269" s="92">
        <v>0.41666666666666702</v>
      </c>
      <c r="C269" s="91"/>
      <c r="D269" s="91"/>
      <c r="E269" s="91" t="s">
        <v>60</v>
      </c>
      <c r="F269" s="91">
        <v>20</v>
      </c>
      <c r="G269" s="112">
        <v>349845</v>
      </c>
      <c r="H269" s="112">
        <v>26</v>
      </c>
      <c r="I269" s="91"/>
      <c r="J269" s="90"/>
      <c r="K269" s="90"/>
      <c r="L269" s="90"/>
      <c r="M269" s="90"/>
      <c r="N269" s="90"/>
      <c r="O269" s="90"/>
      <c r="P269" s="90"/>
      <c r="Q269" s="90"/>
      <c r="R269" s="90"/>
      <c r="S269" s="94">
        <f t="shared" si="17"/>
        <v>26</v>
      </c>
      <c r="T269" s="95">
        <f t="shared" si="18"/>
        <v>694</v>
      </c>
      <c r="U269" s="95">
        <f t="shared" si="14"/>
        <v>0</v>
      </c>
      <c r="V269" s="95">
        <f t="shared" si="16"/>
        <v>0</v>
      </c>
      <c r="W269" s="96">
        <f t="shared" si="19"/>
        <v>633.6521739130435</v>
      </c>
      <c r="X269" s="96">
        <f>V269/[1]Manure!$I$2</f>
        <v>0</v>
      </c>
      <c r="Y269" s="96">
        <f>W269/[1]Manure!$I$2</f>
        <v>451.90250115786449</v>
      </c>
      <c r="Z269" s="96"/>
      <c r="AA269" s="96"/>
      <c r="AB269" s="90"/>
    </row>
    <row r="270" spans="1:29" ht="15.75" thickBot="1" x14ac:dyDescent="0.3">
      <c r="A270" s="97">
        <v>45663</v>
      </c>
      <c r="B270" s="92">
        <v>0.41666666666666702</v>
      </c>
      <c r="C270" s="91"/>
      <c r="D270" s="91"/>
      <c r="E270" s="91" t="s">
        <v>60</v>
      </c>
      <c r="F270" s="91">
        <v>20</v>
      </c>
      <c r="G270" s="112">
        <v>351103</v>
      </c>
      <c r="H270" s="112">
        <v>26</v>
      </c>
      <c r="I270" s="91"/>
      <c r="J270" s="90"/>
      <c r="K270" s="90"/>
      <c r="L270" s="90"/>
      <c r="M270" s="90"/>
      <c r="N270" s="90"/>
      <c r="O270" s="90"/>
      <c r="P270" s="90"/>
      <c r="Q270" s="90"/>
      <c r="R270" s="90"/>
      <c r="S270" s="94">
        <f t="shared" si="17"/>
        <v>26</v>
      </c>
      <c r="T270" s="95">
        <f t="shared" si="18"/>
        <v>1258</v>
      </c>
      <c r="U270" s="95">
        <f t="shared" si="14"/>
        <v>0</v>
      </c>
      <c r="V270" s="95">
        <f t="shared" si="16"/>
        <v>0</v>
      </c>
      <c r="W270" s="96">
        <f t="shared" si="19"/>
        <v>1148.6086956521738</v>
      </c>
      <c r="X270" s="96">
        <f>V270/[1]Manure!$I$2</f>
        <v>0</v>
      </c>
      <c r="Y270" s="96">
        <f>W270/[1]Manure!$I$2</f>
        <v>819.15467789134505</v>
      </c>
      <c r="Z270" s="96"/>
      <c r="AA270" s="96"/>
      <c r="AB270" s="90"/>
    </row>
    <row r="271" spans="1:29" ht="15.75" thickBot="1" x14ac:dyDescent="0.3">
      <c r="A271" s="97">
        <v>45664</v>
      </c>
      <c r="B271" s="92">
        <v>0.41666666666666702</v>
      </c>
      <c r="C271" s="91"/>
      <c r="D271" s="91"/>
      <c r="E271" s="91" t="s">
        <v>60</v>
      </c>
      <c r="F271" s="91">
        <v>20</v>
      </c>
      <c r="G271" s="112">
        <v>351665</v>
      </c>
      <c r="H271" s="112">
        <v>30</v>
      </c>
      <c r="I271" s="91"/>
      <c r="J271" s="90"/>
      <c r="K271" s="90"/>
      <c r="L271" s="90"/>
      <c r="M271" s="90"/>
      <c r="N271" s="90"/>
      <c r="O271" s="90"/>
      <c r="P271" s="90"/>
      <c r="Q271" s="90"/>
      <c r="R271" s="90"/>
      <c r="S271" s="94">
        <f t="shared" si="17"/>
        <v>30</v>
      </c>
      <c r="T271" s="95">
        <f t="shared" si="18"/>
        <v>562</v>
      </c>
      <c r="U271" s="95">
        <f t="shared" si="14"/>
        <v>0</v>
      </c>
      <c r="V271" s="95">
        <f t="shared" si="16"/>
        <v>0</v>
      </c>
      <c r="W271" s="96">
        <f t="shared" si="19"/>
        <v>506.3564356435644</v>
      </c>
      <c r="X271" s="96">
        <f>V271/[1]Manure!$I$2</f>
        <v>0</v>
      </c>
      <c r="Y271" s="96">
        <f>W271/[1]Manure!$I$2</f>
        <v>361.11884274243749</v>
      </c>
      <c r="Z271" s="96"/>
      <c r="AA271" s="96"/>
      <c r="AB271" s="90"/>
    </row>
    <row r="272" spans="1:29" ht="15.75" thickBot="1" x14ac:dyDescent="0.3">
      <c r="A272" s="97">
        <v>45665</v>
      </c>
      <c r="B272" s="92">
        <v>0.41666666666666702</v>
      </c>
      <c r="C272" s="91"/>
      <c r="D272" s="91"/>
      <c r="E272" s="91" t="s">
        <v>60</v>
      </c>
      <c r="F272" s="91">
        <v>20</v>
      </c>
      <c r="G272" s="112">
        <v>352504</v>
      </c>
      <c r="H272" s="112">
        <v>28.6</v>
      </c>
      <c r="I272" s="91"/>
      <c r="J272" s="90"/>
      <c r="K272" s="90"/>
      <c r="L272" s="90"/>
      <c r="M272" s="90"/>
      <c r="N272" s="90"/>
      <c r="O272" s="90"/>
      <c r="P272" s="90"/>
      <c r="Q272" s="90"/>
      <c r="R272" s="90"/>
      <c r="S272" s="94">
        <f t="shared" si="17"/>
        <v>28.6</v>
      </c>
      <c r="T272" s="95">
        <f t="shared" si="18"/>
        <v>839</v>
      </c>
      <c r="U272" s="95">
        <f t="shared" si="14"/>
        <v>0</v>
      </c>
      <c r="V272" s="95">
        <f t="shared" si="16"/>
        <v>0</v>
      </c>
      <c r="W272" s="96">
        <f t="shared" si="19"/>
        <v>759.43965517241372</v>
      </c>
      <c r="X272" s="96">
        <f>V272/[1]Manure!$I$2</f>
        <v>0</v>
      </c>
      <c r="Y272" s="96">
        <f>W272/[1]Manure!$I$2</f>
        <v>541.61051406410297</v>
      </c>
      <c r="Z272" s="96"/>
      <c r="AA272" s="96"/>
      <c r="AB272" s="90"/>
    </row>
    <row r="273" spans="1:28" ht="15.75" thickBot="1" x14ac:dyDescent="0.3">
      <c r="A273" s="97">
        <v>45666</v>
      </c>
      <c r="B273" s="92">
        <v>0.41666666666666702</v>
      </c>
      <c r="C273" s="91"/>
      <c r="D273" s="91"/>
      <c r="E273" s="91" t="s">
        <v>60</v>
      </c>
      <c r="F273" s="91">
        <v>20</v>
      </c>
      <c r="G273" s="112">
        <v>353087</v>
      </c>
      <c r="H273" s="112">
        <v>27.8</v>
      </c>
      <c r="I273" s="91"/>
      <c r="J273" s="90"/>
      <c r="K273" s="90"/>
      <c r="L273" s="90"/>
      <c r="M273" s="90"/>
      <c r="N273" s="90"/>
      <c r="O273" s="90"/>
      <c r="P273" s="90"/>
      <c r="Q273" s="90"/>
      <c r="R273" s="90"/>
      <c r="S273" s="94">
        <f t="shared" si="17"/>
        <v>27.8</v>
      </c>
      <c r="T273" s="95">
        <f t="shared" si="18"/>
        <v>583</v>
      </c>
      <c r="U273" s="95">
        <f t="shared" si="14"/>
        <v>0</v>
      </c>
      <c r="V273" s="95">
        <f t="shared" si="16"/>
        <v>0</v>
      </c>
      <c r="W273" s="96">
        <f t="shared" si="19"/>
        <v>529.11901595744678</v>
      </c>
      <c r="X273" s="96">
        <f>V273/[1]Manure!$I$2</f>
        <v>0</v>
      </c>
      <c r="Y273" s="96">
        <f>W273/[1]Manure!$I$2</f>
        <v>377.35246017505409</v>
      </c>
      <c r="Z273" s="96"/>
      <c r="AA273" s="96"/>
      <c r="AB273" s="90"/>
    </row>
    <row r="274" spans="1:28" ht="15.75" thickBot="1" x14ac:dyDescent="0.3">
      <c r="A274" s="97">
        <v>45667</v>
      </c>
      <c r="B274" s="92">
        <v>0.41666666666666702</v>
      </c>
      <c r="C274" s="91"/>
      <c r="D274" s="91"/>
      <c r="E274" s="91" t="s">
        <v>60</v>
      </c>
      <c r="F274" s="91">
        <v>20</v>
      </c>
      <c r="G274" s="112">
        <v>353490</v>
      </c>
      <c r="H274" s="112">
        <v>26.6</v>
      </c>
      <c r="I274" s="91"/>
      <c r="J274" s="90"/>
      <c r="K274" s="90"/>
      <c r="L274" s="90"/>
      <c r="M274" s="90"/>
      <c r="N274" s="90"/>
      <c r="O274" s="90"/>
      <c r="P274" s="90"/>
      <c r="Q274" s="90"/>
      <c r="R274" s="90"/>
      <c r="S274" s="94">
        <f t="shared" si="17"/>
        <v>26.6</v>
      </c>
      <c r="T274" s="95">
        <f t="shared" si="18"/>
        <v>403</v>
      </c>
      <c r="U274" s="95">
        <f t="shared" si="14"/>
        <v>0</v>
      </c>
      <c r="V274" s="95">
        <f t="shared" si="16"/>
        <v>0</v>
      </c>
      <c r="W274" s="96">
        <f t="shared" si="19"/>
        <v>367.21962616822429</v>
      </c>
      <c r="X274" s="96">
        <f>V274/[1]Manure!$I$2</f>
        <v>0</v>
      </c>
      <c r="Y274" s="96">
        <f>W274/[1]Manure!$I$2</f>
        <v>261.89047299386306</v>
      </c>
      <c r="Z274" s="96"/>
      <c r="AA274" s="96"/>
      <c r="AB274" s="90"/>
    </row>
    <row r="275" spans="1:28" ht="15.75" thickBot="1" x14ac:dyDescent="0.3">
      <c r="A275" s="97">
        <v>45668</v>
      </c>
      <c r="B275" s="92">
        <v>0.41666666666666702</v>
      </c>
      <c r="C275" s="91"/>
      <c r="D275" s="91"/>
      <c r="E275" s="91" t="s">
        <v>60</v>
      </c>
      <c r="F275" s="91">
        <v>20</v>
      </c>
      <c r="G275" s="112">
        <v>354231</v>
      </c>
      <c r="H275" s="112">
        <v>28</v>
      </c>
      <c r="I275" s="91"/>
      <c r="J275" s="90"/>
      <c r="K275" s="90"/>
      <c r="L275" s="90"/>
      <c r="M275" s="90"/>
      <c r="N275" s="90"/>
      <c r="O275" s="90"/>
      <c r="P275" s="90"/>
      <c r="Q275" s="90"/>
      <c r="R275" s="90"/>
      <c r="S275" s="94">
        <f t="shared" si="17"/>
        <v>28</v>
      </c>
      <c r="T275" s="95">
        <f t="shared" si="18"/>
        <v>741</v>
      </c>
      <c r="U275" s="95">
        <f t="shared" si="14"/>
        <v>0</v>
      </c>
      <c r="V275" s="95">
        <f t="shared" si="16"/>
        <v>0</v>
      </c>
      <c r="W275" s="96">
        <f t="shared" si="19"/>
        <v>672.06976744186045</v>
      </c>
      <c r="X275" s="96">
        <f>V275/[1]Manure!$I$2</f>
        <v>0</v>
      </c>
      <c r="Y275" s="96">
        <f>W275/[1]Manure!$I$2</f>
        <v>479.30082364278195</v>
      </c>
      <c r="Z275" s="96"/>
      <c r="AA275" s="96"/>
      <c r="AB275" s="90"/>
    </row>
    <row r="276" spans="1:28" ht="15.75" thickBot="1" x14ac:dyDescent="0.3">
      <c r="A276" s="97">
        <v>45670</v>
      </c>
      <c r="B276" s="92">
        <v>0.41666666666666702</v>
      </c>
      <c r="C276" s="91"/>
      <c r="D276" s="91"/>
      <c r="E276" s="91" t="s">
        <v>60</v>
      </c>
      <c r="F276" s="91">
        <v>20</v>
      </c>
      <c r="G276" s="112">
        <v>354826</v>
      </c>
      <c r="H276" s="112">
        <v>29.3</v>
      </c>
      <c r="I276" s="91"/>
      <c r="J276" s="90"/>
      <c r="K276" s="90"/>
      <c r="L276" s="90"/>
      <c r="M276" s="90"/>
      <c r="N276" s="90"/>
      <c r="O276" s="90"/>
      <c r="P276" s="90"/>
      <c r="Q276" s="90"/>
      <c r="R276" s="90"/>
      <c r="S276" s="94">
        <f t="shared" si="17"/>
        <v>29.3</v>
      </c>
      <c r="T276" s="95">
        <f t="shared" si="18"/>
        <v>595</v>
      </c>
      <c r="U276" s="95">
        <f t="shared" si="14"/>
        <v>0</v>
      </c>
      <c r="V276" s="95">
        <f t="shared" si="16"/>
        <v>0</v>
      </c>
      <c r="W276" s="96">
        <f t="shared" si="19"/>
        <v>537.33046642408203</v>
      </c>
      <c r="X276" s="96">
        <f>V276/[1]Manure!$I$2</f>
        <v>0</v>
      </c>
      <c r="Y276" s="96">
        <f>W276/[1]Manure!$I$2</f>
        <v>383.20863041604127</v>
      </c>
      <c r="Z276" s="96"/>
      <c r="AA276" s="96"/>
      <c r="AB276" s="90"/>
    </row>
    <row r="277" spans="1:28" ht="15.75" thickBot="1" x14ac:dyDescent="0.3">
      <c r="A277" s="97">
        <v>45671</v>
      </c>
      <c r="B277" s="92">
        <v>0.41666666666666702</v>
      </c>
      <c r="C277" s="91"/>
      <c r="D277" s="91"/>
      <c r="E277" s="91" t="s">
        <v>60</v>
      </c>
      <c r="F277" s="91">
        <v>20</v>
      </c>
      <c r="G277" s="112">
        <v>355218</v>
      </c>
      <c r="H277" s="112">
        <v>27.6</v>
      </c>
      <c r="I277" s="91"/>
      <c r="J277" s="90"/>
      <c r="K277" s="90"/>
      <c r="L277" s="90"/>
      <c r="M277" s="90"/>
      <c r="N277" s="90"/>
      <c r="O277" s="90"/>
      <c r="P277" s="90"/>
      <c r="Q277" s="90"/>
      <c r="R277" s="90"/>
      <c r="S277" s="94">
        <f t="shared" si="17"/>
        <v>27.6</v>
      </c>
      <c r="T277" s="95">
        <f t="shared" si="18"/>
        <v>392</v>
      </c>
      <c r="U277" s="95">
        <f t="shared" si="14"/>
        <v>0</v>
      </c>
      <c r="V277" s="95">
        <f t="shared" si="16"/>
        <v>0</v>
      </c>
      <c r="W277" s="96">
        <f t="shared" si="19"/>
        <v>356.00798403193608</v>
      </c>
      <c r="X277" s="96">
        <f>V277/[1]Manure!$I$2</f>
        <v>0</v>
      </c>
      <c r="Y277" s="96">
        <f>W277/[1]Manure!$I$2</f>
        <v>253.89465236535082</v>
      </c>
      <c r="Z277" s="96"/>
      <c r="AA277" s="96"/>
      <c r="AB277" s="9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2C0F-8380-4C03-BC6A-34E4CA4354CB}">
  <dimension ref="A1:R262"/>
  <sheetViews>
    <sheetView topLeftCell="C1" zoomScale="112" zoomScaleNormal="112" workbookViewId="0">
      <selection activeCell="C2" sqref="C2"/>
    </sheetView>
  </sheetViews>
  <sheetFormatPr defaultRowHeight="15" x14ac:dyDescent="0.25"/>
  <sheetData>
    <row r="1" spans="1:18" ht="64.5" thickBot="1" x14ac:dyDescent="0.3">
      <c r="A1" s="27" t="s">
        <v>0</v>
      </c>
      <c r="B1" s="27" t="s">
        <v>1</v>
      </c>
      <c r="C1" s="41" t="s">
        <v>30</v>
      </c>
      <c r="D1" s="42">
        <v>7.22</v>
      </c>
      <c r="E1" s="43" t="s">
        <v>10</v>
      </c>
      <c r="F1" s="43" t="s">
        <v>11</v>
      </c>
      <c r="G1" s="43" t="s">
        <v>12</v>
      </c>
      <c r="H1" s="41" t="s">
        <v>13</v>
      </c>
      <c r="I1" s="18" t="s">
        <v>31</v>
      </c>
      <c r="J1" s="29" t="s">
        <v>32</v>
      </c>
      <c r="K1" s="49" t="s">
        <v>33</v>
      </c>
      <c r="L1" s="49" t="s">
        <v>34</v>
      </c>
      <c r="M1" s="30" t="s">
        <v>35</v>
      </c>
      <c r="N1" s="30" t="s">
        <v>36</v>
      </c>
      <c r="O1" s="30" t="s">
        <v>37</v>
      </c>
      <c r="P1" s="31" t="s">
        <v>38</v>
      </c>
      <c r="Q1" s="31" t="s">
        <v>39</v>
      </c>
      <c r="R1" s="32" t="s">
        <v>27</v>
      </c>
    </row>
    <row r="2" spans="1:18" ht="15.75" thickBot="1" x14ac:dyDescent="0.3">
      <c r="A2" s="13"/>
      <c r="B2" s="33"/>
      <c r="C2" s="44"/>
      <c r="D2" s="45"/>
      <c r="E2" s="25"/>
      <c r="F2" s="25"/>
      <c r="G2" s="25"/>
      <c r="H2" s="25"/>
      <c r="I2" s="21"/>
      <c r="J2" s="35"/>
      <c r="K2" s="50"/>
      <c r="L2" s="50"/>
      <c r="M2" s="36"/>
      <c r="N2" s="36"/>
      <c r="O2" s="36"/>
      <c r="P2" s="37"/>
      <c r="Q2" s="37"/>
      <c r="R2" s="11"/>
    </row>
    <row r="3" spans="1:18" ht="15.75" thickBot="1" x14ac:dyDescent="0.3">
      <c r="A3" s="6"/>
      <c r="B3" s="33"/>
      <c r="C3" s="44"/>
      <c r="D3" s="45"/>
      <c r="E3" s="25"/>
      <c r="F3" s="25"/>
      <c r="G3" s="25"/>
      <c r="H3" s="25"/>
      <c r="I3" s="21"/>
      <c r="J3" s="35"/>
      <c r="K3" s="50"/>
      <c r="L3" s="50"/>
      <c r="M3" s="36"/>
      <c r="N3" s="36"/>
      <c r="O3" s="36"/>
      <c r="P3" s="37"/>
      <c r="Q3" s="37"/>
      <c r="R3" s="11"/>
    </row>
    <row r="4" spans="1:18" ht="15.75" thickBot="1" x14ac:dyDescent="0.3">
      <c r="A4" s="6"/>
      <c r="B4" s="33"/>
      <c r="C4" s="44"/>
      <c r="D4" s="45"/>
      <c r="E4" s="25"/>
      <c r="F4" s="25"/>
      <c r="G4" s="25"/>
      <c r="H4" s="25"/>
      <c r="I4" s="21"/>
      <c r="J4" s="35"/>
      <c r="K4" s="50"/>
      <c r="L4" s="50"/>
      <c r="M4" s="36"/>
      <c r="N4" s="36"/>
      <c r="O4" s="36"/>
      <c r="P4" s="37"/>
      <c r="Q4" s="37"/>
      <c r="R4" s="11"/>
    </row>
    <row r="5" spans="1:18" ht="15.75" thickBot="1" x14ac:dyDescent="0.3">
      <c r="A5" s="6"/>
      <c r="B5" s="33"/>
      <c r="C5" s="44"/>
      <c r="D5" s="45"/>
      <c r="E5" s="25"/>
      <c r="F5" s="25"/>
      <c r="G5" s="25"/>
      <c r="H5" s="25"/>
      <c r="I5" s="21"/>
      <c r="J5" s="35"/>
      <c r="K5" s="50"/>
      <c r="L5" s="50"/>
      <c r="M5" s="36"/>
      <c r="N5" s="36"/>
      <c r="O5" s="36"/>
      <c r="P5" s="37"/>
      <c r="Q5" s="37"/>
      <c r="R5" s="11"/>
    </row>
    <row r="6" spans="1:18" ht="15.75" thickBot="1" x14ac:dyDescent="0.3">
      <c r="A6" s="13"/>
      <c r="B6" s="33"/>
      <c r="C6" s="44"/>
      <c r="D6" s="45"/>
      <c r="E6" s="25"/>
      <c r="F6" s="25"/>
      <c r="G6" s="25"/>
      <c r="H6" s="25"/>
      <c r="I6" s="21"/>
      <c r="J6" s="35"/>
      <c r="K6" s="50"/>
      <c r="L6" s="50"/>
      <c r="M6" s="36"/>
      <c r="N6" s="36"/>
      <c r="O6" s="36"/>
      <c r="P6" s="37"/>
      <c r="Q6" s="37"/>
      <c r="R6" s="11"/>
    </row>
    <row r="7" spans="1:18" ht="15.75" thickBot="1" x14ac:dyDescent="0.3">
      <c r="A7" s="13"/>
      <c r="B7" s="33"/>
      <c r="C7" s="44"/>
      <c r="D7" s="45"/>
      <c r="E7" s="25"/>
      <c r="F7" s="25"/>
      <c r="G7" s="25"/>
      <c r="H7" s="25"/>
      <c r="I7" s="21"/>
      <c r="J7" s="35"/>
      <c r="K7" s="50"/>
      <c r="L7" s="50"/>
      <c r="M7" s="36"/>
      <c r="N7" s="36"/>
      <c r="O7" s="36"/>
      <c r="P7" s="37"/>
      <c r="Q7" s="37"/>
      <c r="R7" s="11"/>
    </row>
    <row r="8" spans="1:18" ht="15.75" thickBot="1" x14ac:dyDescent="0.3">
      <c r="A8" s="6"/>
      <c r="B8" s="33"/>
      <c r="C8" s="44"/>
      <c r="D8" s="45"/>
      <c r="E8" s="25"/>
      <c r="F8" s="25"/>
      <c r="G8" s="25"/>
      <c r="H8" s="25"/>
      <c r="I8" s="21"/>
      <c r="J8" s="35"/>
      <c r="K8" s="50"/>
      <c r="L8" s="50"/>
      <c r="M8" s="36"/>
      <c r="N8" s="36"/>
      <c r="O8" s="36"/>
      <c r="P8" s="37"/>
      <c r="Q8" s="37"/>
      <c r="R8" s="11"/>
    </row>
    <row r="9" spans="1:18" ht="15.75" thickBot="1" x14ac:dyDescent="0.3">
      <c r="A9" s="6"/>
      <c r="B9" s="33"/>
      <c r="C9" s="44"/>
      <c r="D9" s="45"/>
      <c r="E9" s="25"/>
      <c r="F9" s="25"/>
      <c r="G9" s="25"/>
      <c r="H9" s="25"/>
      <c r="I9" s="21"/>
      <c r="J9" s="35"/>
      <c r="K9" s="50"/>
      <c r="L9" s="50"/>
      <c r="M9" s="36"/>
      <c r="N9" s="36"/>
      <c r="O9" s="36"/>
      <c r="P9" s="37"/>
      <c r="Q9" s="37"/>
      <c r="R9" s="11"/>
    </row>
    <row r="10" spans="1:18" ht="15.75" thickBot="1" x14ac:dyDescent="0.3">
      <c r="A10" s="13"/>
      <c r="B10" s="33"/>
      <c r="C10" s="21"/>
      <c r="D10" s="44"/>
      <c r="E10" s="25"/>
      <c r="F10" s="25"/>
      <c r="G10" s="25"/>
      <c r="H10" s="25"/>
      <c r="I10" s="21"/>
      <c r="J10" s="35"/>
      <c r="K10" s="50"/>
      <c r="L10" s="50"/>
      <c r="M10" s="36"/>
      <c r="N10" s="36"/>
      <c r="O10" s="36"/>
      <c r="P10" s="37"/>
      <c r="Q10" s="37"/>
      <c r="R10" s="11"/>
    </row>
    <row r="11" spans="1:18" ht="15.75" thickBot="1" x14ac:dyDescent="0.3">
      <c r="A11" s="13"/>
      <c r="B11" s="33"/>
      <c r="C11" s="21"/>
      <c r="D11" s="44"/>
      <c r="E11" s="25"/>
      <c r="F11" s="25"/>
      <c r="G11" s="25"/>
      <c r="H11" s="25"/>
      <c r="I11" s="21"/>
      <c r="J11" s="35"/>
      <c r="K11" s="50"/>
      <c r="L11" s="50"/>
      <c r="M11" s="36"/>
      <c r="N11" s="36"/>
      <c r="O11" s="36"/>
      <c r="P11" s="37"/>
      <c r="Q11" s="37"/>
      <c r="R11" s="11"/>
    </row>
    <row r="12" spans="1:18" ht="15.75" thickBot="1" x14ac:dyDescent="0.3">
      <c r="A12" s="6"/>
      <c r="B12" s="33"/>
      <c r="C12" s="21"/>
      <c r="D12" s="44"/>
      <c r="E12" s="25"/>
      <c r="F12" s="25"/>
      <c r="G12" s="25"/>
      <c r="H12" s="25"/>
      <c r="I12" s="21"/>
      <c r="J12" s="35"/>
      <c r="K12" s="50"/>
      <c r="L12" s="50"/>
      <c r="M12" s="36"/>
      <c r="N12" s="36"/>
      <c r="O12" s="36"/>
      <c r="P12" s="37"/>
      <c r="Q12" s="37"/>
      <c r="R12" s="11"/>
    </row>
    <row r="13" spans="1:18" ht="15.75" thickBot="1" x14ac:dyDescent="0.3">
      <c r="A13" s="6"/>
      <c r="B13" s="33"/>
      <c r="C13" s="21"/>
      <c r="D13" s="46"/>
      <c r="E13" s="25"/>
      <c r="F13" s="25"/>
      <c r="G13" s="25"/>
      <c r="H13" s="25"/>
      <c r="I13" s="21"/>
      <c r="J13" s="35"/>
      <c r="K13" s="50"/>
      <c r="L13" s="50"/>
      <c r="M13" s="36"/>
      <c r="N13" s="36"/>
      <c r="O13" s="36"/>
      <c r="P13" s="37"/>
      <c r="Q13" s="37"/>
      <c r="R13" s="11"/>
    </row>
    <row r="14" spans="1:18" ht="15.75" thickBot="1" x14ac:dyDescent="0.3">
      <c r="A14" s="6"/>
      <c r="B14" s="33"/>
      <c r="C14" s="47"/>
      <c r="D14" s="48"/>
      <c r="E14" s="25"/>
      <c r="F14" s="25"/>
      <c r="G14" s="25"/>
      <c r="H14" s="25"/>
      <c r="I14" s="21"/>
      <c r="J14" s="35"/>
      <c r="K14" s="50"/>
      <c r="L14" s="50"/>
      <c r="M14" s="36"/>
      <c r="N14" s="36"/>
      <c r="O14" s="36"/>
      <c r="P14" s="37"/>
      <c r="Q14" s="37"/>
      <c r="R14" s="11"/>
    </row>
    <row r="15" spans="1:18" ht="15.75" thickBot="1" x14ac:dyDescent="0.3">
      <c r="A15" s="13"/>
      <c r="B15" s="33"/>
      <c r="C15" s="21"/>
      <c r="D15" s="44"/>
      <c r="E15" s="25"/>
      <c r="F15" s="25"/>
      <c r="G15" s="25"/>
      <c r="H15" s="25"/>
      <c r="I15" s="21"/>
      <c r="J15" s="35"/>
      <c r="K15" s="50"/>
      <c r="L15" s="50"/>
      <c r="M15" s="38"/>
      <c r="N15" s="38"/>
      <c r="O15" s="38"/>
      <c r="P15" s="37"/>
      <c r="Q15" s="37"/>
      <c r="R15" s="11"/>
    </row>
    <row r="16" spans="1:18" ht="15.75" thickBot="1" x14ac:dyDescent="0.3">
      <c r="A16" s="6"/>
      <c r="B16" s="33"/>
      <c r="C16" s="21"/>
      <c r="D16" s="44"/>
      <c r="E16" s="25"/>
      <c r="F16" s="25"/>
      <c r="G16" s="25"/>
      <c r="H16" s="25"/>
      <c r="I16" s="21"/>
      <c r="J16" s="35"/>
      <c r="K16" s="50"/>
      <c r="L16" s="50"/>
      <c r="M16" s="38"/>
      <c r="N16" s="38"/>
      <c r="O16" s="38"/>
      <c r="P16" s="39"/>
      <c r="Q16" s="39"/>
      <c r="R16" s="11"/>
    </row>
    <row r="17" spans="1:18" ht="15.75" thickBot="1" x14ac:dyDescent="0.3">
      <c r="A17" s="6"/>
      <c r="B17" s="33"/>
      <c r="C17" s="21"/>
      <c r="D17" s="44"/>
      <c r="E17" s="25"/>
      <c r="F17" s="25"/>
      <c r="G17" s="25"/>
      <c r="H17" s="25"/>
      <c r="I17" s="21"/>
      <c r="J17" s="35"/>
      <c r="K17" s="50"/>
      <c r="L17" s="50"/>
      <c r="M17" s="38"/>
      <c r="N17" s="38"/>
      <c r="O17" s="38"/>
      <c r="P17" s="39"/>
      <c r="Q17" s="39"/>
      <c r="R17" s="11"/>
    </row>
    <row r="18" spans="1:18" ht="15.75" thickBot="1" x14ac:dyDescent="0.3">
      <c r="A18" s="6"/>
      <c r="B18" s="33"/>
      <c r="C18" s="21"/>
      <c r="D18" s="44"/>
      <c r="E18" s="24"/>
      <c r="F18" s="24"/>
      <c r="G18" s="25"/>
      <c r="H18" s="25"/>
      <c r="I18" s="21"/>
      <c r="J18" s="35"/>
      <c r="K18" s="50"/>
      <c r="L18" s="50"/>
      <c r="M18" s="38"/>
      <c r="N18" s="38"/>
      <c r="O18" s="38"/>
      <c r="P18" s="39"/>
      <c r="Q18" s="39"/>
      <c r="R18" s="11"/>
    </row>
    <row r="19" spans="1:18" ht="15.75" thickBot="1" x14ac:dyDescent="0.3">
      <c r="A19" s="13"/>
      <c r="B19" s="33"/>
      <c r="C19" s="21"/>
      <c r="D19" s="44"/>
      <c r="E19" s="24"/>
      <c r="F19" s="24"/>
      <c r="G19" s="24"/>
      <c r="H19" s="25"/>
      <c r="I19" s="21"/>
      <c r="J19" s="35"/>
      <c r="K19" s="50"/>
      <c r="L19" s="50"/>
      <c r="M19" s="38"/>
      <c r="N19" s="38"/>
      <c r="O19" s="38"/>
      <c r="P19" s="39"/>
      <c r="Q19" s="39"/>
      <c r="R19" s="11"/>
    </row>
    <row r="20" spans="1:18" ht="15.75" thickBot="1" x14ac:dyDescent="0.3">
      <c r="A20" s="13"/>
      <c r="B20" s="33"/>
      <c r="C20" s="21"/>
      <c r="D20" s="44"/>
      <c r="E20" s="24"/>
      <c r="F20" s="24"/>
      <c r="G20" s="24"/>
      <c r="H20" s="25"/>
      <c r="I20" s="21"/>
      <c r="J20" s="35"/>
      <c r="K20" s="50"/>
      <c r="L20" s="50"/>
      <c r="M20" s="38"/>
      <c r="N20" s="38"/>
      <c r="O20" s="38"/>
      <c r="P20" s="39"/>
      <c r="Q20" s="39"/>
      <c r="R20" s="11"/>
    </row>
    <row r="21" spans="1:18" ht="15.75" thickBot="1" x14ac:dyDescent="0.3">
      <c r="A21" s="6"/>
      <c r="B21" s="33"/>
      <c r="C21" s="21"/>
      <c r="D21" s="21"/>
      <c r="E21" s="24"/>
      <c r="F21" s="24"/>
      <c r="G21" s="24"/>
      <c r="H21" s="25"/>
      <c r="I21" s="21"/>
      <c r="J21" s="6"/>
      <c r="K21" s="51"/>
      <c r="L21" s="51"/>
      <c r="M21" s="38"/>
      <c r="N21" s="38"/>
      <c r="O21" s="38"/>
      <c r="P21" s="39"/>
      <c r="Q21" s="39"/>
      <c r="R21" s="11"/>
    </row>
    <row r="22" spans="1:18" ht="15.75" thickBot="1" x14ac:dyDescent="0.3">
      <c r="A22" s="6"/>
      <c r="B22" s="33"/>
      <c r="C22" s="21"/>
      <c r="D22" s="21"/>
      <c r="E22" s="24"/>
      <c r="F22" s="24"/>
      <c r="G22" s="24"/>
      <c r="H22" s="25"/>
      <c r="I22" s="21"/>
      <c r="J22" s="6"/>
      <c r="K22" s="51"/>
      <c r="L22" s="51"/>
      <c r="M22" s="38"/>
      <c r="N22" s="38"/>
      <c r="O22" s="38"/>
      <c r="P22" s="39"/>
      <c r="Q22" s="39"/>
      <c r="R22" s="11"/>
    </row>
    <row r="23" spans="1:18" ht="15.75" thickBot="1" x14ac:dyDescent="0.3">
      <c r="A23" s="13"/>
      <c r="B23" s="33"/>
      <c r="C23" s="21"/>
      <c r="D23" s="21"/>
      <c r="E23" s="24"/>
      <c r="F23" s="24"/>
      <c r="G23" s="24"/>
      <c r="H23" s="25"/>
      <c r="I23" s="21"/>
      <c r="J23" s="6"/>
      <c r="K23" s="51"/>
      <c r="L23" s="51"/>
      <c r="M23" s="38"/>
      <c r="N23" s="38"/>
      <c r="O23" s="38"/>
      <c r="P23" s="39"/>
      <c r="Q23" s="39"/>
      <c r="R23" s="11"/>
    </row>
    <row r="24" spans="1:18" ht="15.75" thickBot="1" x14ac:dyDescent="0.3">
      <c r="A24" s="6"/>
      <c r="B24" s="33"/>
      <c r="C24" s="21"/>
      <c r="D24" s="21"/>
      <c r="E24" s="24"/>
      <c r="F24" s="24"/>
      <c r="G24" s="24"/>
      <c r="H24" s="25"/>
      <c r="I24" s="21"/>
      <c r="J24" s="6"/>
      <c r="K24" s="51"/>
      <c r="L24" s="51"/>
      <c r="M24" s="38"/>
      <c r="N24" s="38"/>
      <c r="O24" s="38"/>
      <c r="P24" s="39"/>
      <c r="Q24" s="39"/>
      <c r="R24" s="11"/>
    </row>
    <row r="25" spans="1:18" ht="15.75" thickBot="1" x14ac:dyDescent="0.3">
      <c r="A25" s="6"/>
      <c r="B25" s="33"/>
      <c r="C25" s="21"/>
      <c r="D25" s="21"/>
      <c r="E25" s="24"/>
      <c r="F25" s="24"/>
      <c r="G25" s="24"/>
      <c r="H25" s="25"/>
      <c r="I25" s="21"/>
      <c r="J25" s="6"/>
      <c r="K25" s="51"/>
      <c r="L25" s="51"/>
      <c r="M25" s="38"/>
      <c r="N25" s="38"/>
      <c r="O25" s="38"/>
      <c r="P25" s="39"/>
      <c r="Q25" s="39"/>
      <c r="R25" s="11"/>
    </row>
    <row r="26" spans="1:18" ht="15.75" thickBot="1" x14ac:dyDescent="0.3">
      <c r="A26" s="11"/>
      <c r="B26" s="11"/>
    </row>
    <row r="27" spans="1:18" ht="15.75" thickBot="1" x14ac:dyDescent="0.3">
      <c r="A27" s="11"/>
      <c r="B27" s="11"/>
    </row>
    <row r="28" spans="1:18" ht="15.75" thickBot="1" x14ac:dyDescent="0.3">
      <c r="A28" s="11"/>
      <c r="B28" s="11"/>
    </row>
    <row r="29" spans="1:18" ht="15.75" thickBot="1" x14ac:dyDescent="0.3">
      <c r="A29" s="11"/>
      <c r="B29" s="11"/>
    </row>
    <row r="30" spans="1:18" ht="15.75" thickBot="1" x14ac:dyDescent="0.3">
      <c r="A30" s="11"/>
      <c r="B30" s="11"/>
    </row>
    <row r="31" spans="1:18" ht="15.75" thickBot="1" x14ac:dyDescent="0.3">
      <c r="A31" s="11"/>
      <c r="B31" s="11"/>
    </row>
    <row r="32" spans="1:18" ht="15.75" thickBot="1" x14ac:dyDescent="0.3">
      <c r="A32" s="11"/>
      <c r="B32" s="11"/>
    </row>
    <row r="33" spans="1:2" ht="15.75" thickBot="1" x14ac:dyDescent="0.3">
      <c r="A33" s="11"/>
      <c r="B33" s="11"/>
    </row>
    <row r="34" spans="1:2" ht="15.75" thickBot="1" x14ac:dyDescent="0.3">
      <c r="A34" s="11"/>
      <c r="B34" s="11"/>
    </row>
    <row r="35" spans="1:2" ht="15.75" thickBot="1" x14ac:dyDescent="0.3">
      <c r="A35" s="11"/>
      <c r="B35" s="11"/>
    </row>
    <row r="36" spans="1:2" ht="15.75" thickBot="1" x14ac:dyDescent="0.3">
      <c r="A36" s="11"/>
      <c r="B36" s="11"/>
    </row>
    <row r="37" spans="1:2" ht="15.75" thickBot="1" x14ac:dyDescent="0.3">
      <c r="A37" s="11"/>
      <c r="B37" s="11"/>
    </row>
    <row r="38" spans="1:2" ht="15.75" thickBot="1" x14ac:dyDescent="0.3">
      <c r="A38" s="11"/>
      <c r="B38" s="11"/>
    </row>
    <row r="39" spans="1:2" ht="15.75" thickBot="1" x14ac:dyDescent="0.3">
      <c r="A39" s="11"/>
      <c r="B39" s="11"/>
    </row>
    <row r="40" spans="1:2" ht="15.75" thickBot="1" x14ac:dyDescent="0.3">
      <c r="A40" s="11"/>
      <c r="B40" s="11"/>
    </row>
    <row r="41" spans="1:2" ht="15.75" thickBot="1" x14ac:dyDescent="0.3">
      <c r="A41" s="11"/>
      <c r="B41" s="11"/>
    </row>
    <row r="42" spans="1:2" ht="15.75" thickBot="1" x14ac:dyDescent="0.3">
      <c r="A42" s="11"/>
      <c r="B42" s="11"/>
    </row>
    <row r="43" spans="1:2" ht="15.75" thickBot="1" x14ac:dyDescent="0.3">
      <c r="A43" s="11"/>
      <c r="B43" s="11"/>
    </row>
    <row r="44" spans="1:2" ht="15.75" thickBot="1" x14ac:dyDescent="0.3">
      <c r="A44" s="11"/>
      <c r="B44" s="11"/>
    </row>
    <row r="45" spans="1:2" ht="15.75" thickBot="1" x14ac:dyDescent="0.3">
      <c r="A45" s="11"/>
      <c r="B45" s="11"/>
    </row>
    <row r="46" spans="1:2" ht="15.75" thickBot="1" x14ac:dyDescent="0.3">
      <c r="A46" s="11"/>
      <c r="B46" s="11"/>
    </row>
    <row r="47" spans="1:2" ht="15.75" thickBot="1" x14ac:dyDescent="0.3">
      <c r="A47" s="11"/>
      <c r="B47" s="11"/>
    </row>
    <row r="48" spans="1:2" ht="15.75" thickBot="1" x14ac:dyDescent="0.3">
      <c r="A48" s="11"/>
      <c r="B48" s="11"/>
    </row>
    <row r="49" spans="1:2" ht="15.75" thickBot="1" x14ac:dyDescent="0.3">
      <c r="A49" s="11"/>
      <c r="B49" s="11"/>
    </row>
    <row r="50" spans="1:2" ht="15.75" thickBot="1" x14ac:dyDescent="0.3">
      <c r="A50" s="11"/>
      <c r="B50" s="11"/>
    </row>
    <row r="51" spans="1:2" ht="15.75" thickBot="1" x14ac:dyDescent="0.3">
      <c r="A51" s="11"/>
      <c r="B51" s="11"/>
    </row>
    <row r="52" spans="1:2" ht="15.75" thickBot="1" x14ac:dyDescent="0.3">
      <c r="A52" s="11"/>
      <c r="B52" s="11"/>
    </row>
    <row r="53" spans="1:2" ht="15.75" thickBot="1" x14ac:dyDescent="0.3">
      <c r="A53" s="11"/>
      <c r="B53" s="11"/>
    </row>
    <row r="54" spans="1:2" ht="15.75" thickBot="1" x14ac:dyDescent="0.3">
      <c r="A54" s="11"/>
      <c r="B54" s="11"/>
    </row>
    <row r="55" spans="1:2" ht="15.75" thickBot="1" x14ac:dyDescent="0.3">
      <c r="A55" s="11"/>
      <c r="B55" s="11"/>
    </row>
    <row r="56" spans="1:2" ht="15.75" thickBot="1" x14ac:dyDescent="0.3">
      <c r="A56" s="11"/>
      <c r="B56" s="11"/>
    </row>
    <row r="57" spans="1:2" ht="15.75" thickBot="1" x14ac:dyDescent="0.3">
      <c r="A57" s="11"/>
      <c r="B57" s="11"/>
    </row>
    <row r="58" spans="1:2" ht="15.75" thickBot="1" x14ac:dyDescent="0.3">
      <c r="A58" s="11"/>
      <c r="B58" s="11"/>
    </row>
    <row r="59" spans="1:2" ht="15.75" thickBot="1" x14ac:dyDescent="0.3">
      <c r="A59" s="11"/>
      <c r="B59" s="11"/>
    </row>
    <row r="60" spans="1:2" ht="15.75" thickBot="1" x14ac:dyDescent="0.3">
      <c r="A60" s="11"/>
      <c r="B60" s="11"/>
    </row>
    <row r="61" spans="1:2" ht="15.75" thickBot="1" x14ac:dyDescent="0.3">
      <c r="A61" s="11"/>
      <c r="B61" s="11"/>
    </row>
    <row r="62" spans="1:2" ht="15.75" thickBot="1" x14ac:dyDescent="0.3">
      <c r="A62" s="11"/>
      <c r="B62" s="11"/>
    </row>
    <row r="63" spans="1:2" ht="15.75" thickBot="1" x14ac:dyDescent="0.3">
      <c r="A63" s="11"/>
      <c r="B63" s="11"/>
    </row>
    <row r="64" spans="1:2" ht="15.75" thickBot="1" x14ac:dyDescent="0.3">
      <c r="A64" s="11"/>
      <c r="B64" s="11"/>
    </row>
    <row r="65" spans="1:2" ht="15.75" thickBot="1" x14ac:dyDescent="0.3">
      <c r="A65" s="11"/>
      <c r="B65" s="11"/>
    </row>
    <row r="66" spans="1:2" ht="15.75" thickBot="1" x14ac:dyDescent="0.3">
      <c r="A66" s="11"/>
      <c r="B66" s="11"/>
    </row>
    <row r="67" spans="1:2" ht="15.75" thickBot="1" x14ac:dyDescent="0.3">
      <c r="A67" s="11"/>
      <c r="B67" s="11"/>
    </row>
    <row r="68" spans="1:2" ht="15.75" thickBot="1" x14ac:dyDescent="0.3">
      <c r="A68" s="11"/>
      <c r="B68" s="11"/>
    </row>
    <row r="69" spans="1:2" ht="15.75" thickBot="1" x14ac:dyDescent="0.3">
      <c r="A69" s="11"/>
      <c r="B69" s="11"/>
    </row>
    <row r="70" spans="1:2" ht="15.75" thickBot="1" x14ac:dyDescent="0.3">
      <c r="A70" s="11"/>
      <c r="B70" s="11"/>
    </row>
    <row r="71" spans="1:2" ht="15.75" thickBot="1" x14ac:dyDescent="0.3">
      <c r="A71" s="11"/>
      <c r="B71" s="11"/>
    </row>
    <row r="72" spans="1:2" ht="15.75" thickBot="1" x14ac:dyDescent="0.3">
      <c r="A72" s="11"/>
      <c r="B72" s="11"/>
    </row>
    <row r="73" spans="1:2" ht="15.75" thickBot="1" x14ac:dyDescent="0.3">
      <c r="A73" s="11"/>
      <c r="B73" s="11"/>
    </row>
    <row r="74" spans="1:2" ht="15.75" thickBot="1" x14ac:dyDescent="0.3">
      <c r="A74" s="11"/>
      <c r="B74" s="11"/>
    </row>
    <row r="75" spans="1:2" ht="15.75" thickBot="1" x14ac:dyDescent="0.3">
      <c r="A75" s="11"/>
      <c r="B75" s="11"/>
    </row>
    <row r="76" spans="1:2" ht="15.75" thickBot="1" x14ac:dyDescent="0.3">
      <c r="A76" s="11"/>
      <c r="B76" s="11"/>
    </row>
    <row r="77" spans="1:2" ht="15.75" thickBot="1" x14ac:dyDescent="0.3">
      <c r="A77" s="11"/>
      <c r="B77" s="11"/>
    </row>
    <row r="78" spans="1:2" ht="15.75" thickBot="1" x14ac:dyDescent="0.3">
      <c r="A78" s="15"/>
      <c r="B78" s="11"/>
    </row>
    <row r="79" spans="1:2" ht="15.75" thickBot="1" x14ac:dyDescent="0.3">
      <c r="A79" s="11"/>
      <c r="B79" s="11"/>
    </row>
    <row r="80" spans="1:2" ht="15.75" thickBot="1" x14ac:dyDescent="0.3">
      <c r="A80" s="11"/>
      <c r="B80" s="11"/>
    </row>
    <row r="81" spans="1:2" ht="15.75" thickBot="1" x14ac:dyDescent="0.3">
      <c r="A81" s="11"/>
      <c r="B81" s="11"/>
    </row>
    <row r="82" spans="1:2" ht="15.75" thickBot="1" x14ac:dyDescent="0.3">
      <c r="A82" s="11"/>
      <c r="B82" s="11"/>
    </row>
    <row r="83" spans="1:2" ht="15.75" thickBot="1" x14ac:dyDescent="0.3">
      <c r="A83" s="11"/>
      <c r="B83" s="11"/>
    </row>
    <row r="84" spans="1:2" ht="15.75" thickBot="1" x14ac:dyDescent="0.3">
      <c r="A84" s="11"/>
      <c r="B84" s="11"/>
    </row>
    <row r="85" spans="1:2" ht="15.75" thickBot="1" x14ac:dyDescent="0.3">
      <c r="A85" s="11"/>
      <c r="B85" s="11"/>
    </row>
    <row r="86" spans="1:2" ht="15.75" thickBot="1" x14ac:dyDescent="0.3">
      <c r="A86" s="11"/>
      <c r="B86" s="11"/>
    </row>
    <row r="87" spans="1:2" ht="15.75" thickBot="1" x14ac:dyDescent="0.3">
      <c r="A87" s="11"/>
      <c r="B87" s="11"/>
    </row>
    <row r="88" spans="1:2" ht="15.75" thickBot="1" x14ac:dyDescent="0.3">
      <c r="A88" s="11"/>
      <c r="B88" s="11"/>
    </row>
    <row r="89" spans="1:2" ht="15.75" thickBot="1" x14ac:dyDescent="0.3">
      <c r="A89" s="11"/>
      <c r="B89" s="11"/>
    </row>
    <row r="90" spans="1:2" ht="15.75" thickBot="1" x14ac:dyDescent="0.3">
      <c r="A90" s="11"/>
      <c r="B90" s="11"/>
    </row>
    <row r="91" spans="1:2" ht="15.75" thickBot="1" x14ac:dyDescent="0.3">
      <c r="A91" s="11"/>
      <c r="B91" s="11"/>
    </row>
    <row r="92" spans="1:2" ht="15.75" thickBot="1" x14ac:dyDescent="0.3">
      <c r="A92" s="11"/>
      <c r="B92" s="11"/>
    </row>
    <row r="93" spans="1:2" ht="15.75" thickBot="1" x14ac:dyDescent="0.3">
      <c r="A93" s="11"/>
      <c r="B93" s="11"/>
    </row>
    <row r="94" spans="1:2" ht="15.75" thickBot="1" x14ac:dyDescent="0.3">
      <c r="A94" s="11"/>
      <c r="B94" s="11"/>
    </row>
    <row r="95" spans="1:2" ht="15.75" thickBot="1" x14ac:dyDescent="0.3">
      <c r="A95" s="11"/>
      <c r="B95" s="11"/>
    </row>
    <row r="96" spans="1:2" ht="15.75" thickBot="1" x14ac:dyDescent="0.3">
      <c r="A96" s="11"/>
      <c r="B96" s="11"/>
    </row>
    <row r="97" spans="1:2" ht="15.75" thickBot="1" x14ac:dyDescent="0.3">
      <c r="A97" s="11"/>
      <c r="B97" s="11"/>
    </row>
    <row r="98" spans="1:2" ht="15.75" thickBot="1" x14ac:dyDescent="0.3">
      <c r="A98" s="11"/>
      <c r="B98" s="11"/>
    </row>
    <row r="99" spans="1:2" ht="15.75" thickBot="1" x14ac:dyDescent="0.3">
      <c r="A99" s="11"/>
      <c r="B99" s="11"/>
    </row>
    <row r="100" spans="1:2" ht="15.75" thickBot="1" x14ac:dyDescent="0.3">
      <c r="A100" s="11"/>
      <c r="B100" s="11"/>
    </row>
    <row r="101" spans="1:2" ht="15.75" thickBot="1" x14ac:dyDescent="0.3">
      <c r="A101" s="11"/>
      <c r="B101" s="11"/>
    </row>
    <row r="102" spans="1:2" ht="15.75" thickBot="1" x14ac:dyDescent="0.3">
      <c r="A102" s="11"/>
      <c r="B102" s="11"/>
    </row>
    <row r="103" spans="1:2" ht="15.75" thickBot="1" x14ac:dyDescent="0.3">
      <c r="A103" s="11"/>
      <c r="B103" s="11"/>
    </row>
    <row r="104" spans="1:2" ht="15.75" thickBot="1" x14ac:dyDescent="0.3">
      <c r="A104" s="11"/>
      <c r="B104" s="11"/>
    </row>
    <row r="105" spans="1:2" ht="15.75" thickBot="1" x14ac:dyDescent="0.3">
      <c r="A105" s="11"/>
      <c r="B105" s="11"/>
    </row>
    <row r="106" spans="1:2" ht="15.75" thickBot="1" x14ac:dyDescent="0.3">
      <c r="A106" s="11"/>
      <c r="B106" s="11"/>
    </row>
    <row r="107" spans="1:2" ht="15.75" thickBot="1" x14ac:dyDescent="0.3">
      <c r="A107" s="11"/>
      <c r="B107" s="11"/>
    </row>
    <row r="108" spans="1:2" ht="15.75" thickBot="1" x14ac:dyDescent="0.3">
      <c r="A108" s="11"/>
      <c r="B108" s="11"/>
    </row>
    <row r="109" spans="1:2" ht="15.75" thickBot="1" x14ac:dyDescent="0.3">
      <c r="A109" s="11"/>
      <c r="B109" s="11"/>
    </row>
    <row r="110" spans="1:2" ht="15.75" thickBot="1" x14ac:dyDescent="0.3">
      <c r="A110" s="15"/>
      <c r="B110" s="11"/>
    </row>
    <row r="111" spans="1:2" ht="15.75" thickBot="1" x14ac:dyDescent="0.3">
      <c r="A111" s="11"/>
      <c r="B111" s="11"/>
    </row>
    <row r="112" spans="1:2" ht="15.75" thickBot="1" x14ac:dyDescent="0.3">
      <c r="A112" s="11"/>
      <c r="B112" s="11"/>
    </row>
    <row r="113" spans="1:2" ht="15.75" thickBot="1" x14ac:dyDescent="0.3">
      <c r="A113" s="11"/>
      <c r="B113" s="11"/>
    </row>
    <row r="114" spans="1:2" ht="15.75" thickBot="1" x14ac:dyDescent="0.3">
      <c r="A114" s="11"/>
      <c r="B114" s="11"/>
    </row>
    <row r="115" spans="1:2" ht="15.75" thickBot="1" x14ac:dyDescent="0.3">
      <c r="A115" s="11"/>
      <c r="B115" s="11"/>
    </row>
    <row r="116" spans="1:2" ht="15.75" thickBot="1" x14ac:dyDescent="0.3">
      <c r="A116" s="11"/>
      <c r="B116" s="11"/>
    </row>
    <row r="117" spans="1:2" ht="15.75" thickBot="1" x14ac:dyDescent="0.3">
      <c r="A117" s="11"/>
      <c r="B117" s="11"/>
    </row>
    <row r="118" spans="1:2" ht="15.75" thickBot="1" x14ac:dyDescent="0.3">
      <c r="A118" s="15"/>
      <c r="B118" s="11"/>
    </row>
    <row r="119" spans="1:2" ht="15.75" thickBot="1" x14ac:dyDescent="0.3">
      <c r="A119" s="11"/>
      <c r="B119" s="11"/>
    </row>
    <row r="120" spans="1:2" ht="15.75" thickBot="1" x14ac:dyDescent="0.3">
      <c r="A120" s="11"/>
      <c r="B120" s="11"/>
    </row>
    <row r="121" spans="1:2" ht="15.75" thickBot="1" x14ac:dyDescent="0.3">
      <c r="A121" s="11"/>
      <c r="B121" s="11"/>
    </row>
    <row r="122" spans="1:2" ht="15.75" thickBot="1" x14ac:dyDescent="0.3">
      <c r="A122" s="11"/>
      <c r="B122" s="11"/>
    </row>
    <row r="123" spans="1:2" ht="15.75" thickBot="1" x14ac:dyDescent="0.3">
      <c r="A123" s="11"/>
      <c r="B123" s="11"/>
    </row>
    <row r="124" spans="1:2" ht="15.75" thickBot="1" x14ac:dyDescent="0.3">
      <c r="A124" s="11"/>
      <c r="B124" s="11"/>
    </row>
    <row r="125" spans="1:2" ht="15.75" thickBot="1" x14ac:dyDescent="0.3">
      <c r="A125" s="11"/>
      <c r="B125" s="11"/>
    </row>
    <row r="126" spans="1:2" ht="15.75" thickBot="1" x14ac:dyDescent="0.3">
      <c r="A126" s="11"/>
      <c r="B126" s="11"/>
    </row>
    <row r="127" spans="1:2" ht="15.75" thickBot="1" x14ac:dyDescent="0.3">
      <c r="A127" s="11"/>
      <c r="B127" s="11"/>
    </row>
    <row r="128" spans="1:2" ht="15.75" thickBot="1" x14ac:dyDescent="0.3">
      <c r="A128" s="11"/>
      <c r="B128" s="11"/>
    </row>
    <row r="129" spans="1:2" ht="15.75" thickBot="1" x14ac:dyDescent="0.3">
      <c r="A129" s="15"/>
      <c r="B129" s="11"/>
    </row>
    <row r="130" spans="1:2" ht="15.75" thickBot="1" x14ac:dyDescent="0.3">
      <c r="A130" s="11"/>
      <c r="B130" s="11"/>
    </row>
    <row r="131" spans="1:2" ht="15.75" thickBot="1" x14ac:dyDescent="0.3">
      <c r="A131" s="11"/>
      <c r="B131" s="11"/>
    </row>
    <row r="132" spans="1:2" ht="15.75" thickBot="1" x14ac:dyDescent="0.3">
      <c r="A132" s="11"/>
      <c r="B132" s="11"/>
    </row>
    <row r="133" spans="1:2" ht="15.75" thickBot="1" x14ac:dyDescent="0.3">
      <c r="A133" s="11"/>
      <c r="B133" s="11"/>
    </row>
    <row r="134" spans="1:2" ht="15.75" thickBot="1" x14ac:dyDescent="0.3">
      <c r="A134" s="11"/>
      <c r="B134" s="11"/>
    </row>
    <row r="135" spans="1:2" ht="15.75" thickBot="1" x14ac:dyDescent="0.3">
      <c r="A135" s="11"/>
      <c r="B135" s="11"/>
    </row>
    <row r="136" spans="1:2" ht="15.75" thickBot="1" x14ac:dyDescent="0.3">
      <c r="A136" s="11"/>
      <c r="B136" s="11"/>
    </row>
    <row r="137" spans="1:2" ht="15.75" thickBot="1" x14ac:dyDescent="0.3">
      <c r="A137" s="11"/>
      <c r="B137" s="11"/>
    </row>
    <row r="138" spans="1:2" ht="15.75" thickBot="1" x14ac:dyDescent="0.3">
      <c r="A138" s="11"/>
      <c r="B138" s="11"/>
    </row>
    <row r="139" spans="1:2" ht="15.75" thickBot="1" x14ac:dyDescent="0.3">
      <c r="A139" s="11"/>
      <c r="B139" s="11"/>
    </row>
    <row r="140" spans="1:2" ht="15.75" thickBot="1" x14ac:dyDescent="0.3">
      <c r="A140" s="11"/>
      <c r="B140" s="11"/>
    </row>
    <row r="141" spans="1:2" ht="15.75" thickBot="1" x14ac:dyDescent="0.3">
      <c r="A141" s="11"/>
      <c r="B141" s="11"/>
    </row>
    <row r="142" spans="1:2" ht="15.75" thickBot="1" x14ac:dyDescent="0.3">
      <c r="A142" s="11"/>
      <c r="B142" s="11"/>
    </row>
    <row r="143" spans="1:2" ht="15.75" thickBot="1" x14ac:dyDescent="0.3">
      <c r="A143" s="11"/>
      <c r="B143" s="11"/>
    </row>
    <row r="144" spans="1:2" ht="15.75" thickBot="1" x14ac:dyDescent="0.3">
      <c r="A144" s="11"/>
      <c r="B144" s="11"/>
    </row>
    <row r="145" spans="1:2" ht="15.75" thickBot="1" x14ac:dyDescent="0.3">
      <c r="A145" s="11"/>
      <c r="B145" s="11"/>
    </row>
    <row r="146" spans="1:2" ht="15.75" thickBot="1" x14ac:dyDescent="0.3">
      <c r="A146" s="11"/>
      <c r="B146" s="11"/>
    </row>
    <row r="147" spans="1:2" ht="15.75" thickBot="1" x14ac:dyDescent="0.3">
      <c r="A147" s="11"/>
      <c r="B147" s="11"/>
    </row>
    <row r="148" spans="1:2" ht="15.75" thickBot="1" x14ac:dyDescent="0.3">
      <c r="A148" s="11"/>
      <c r="B148" s="11"/>
    </row>
    <row r="149" spans="1:2" ht="15.75" thickBot="1" x14ac:dyDescent="0.3">
      <c r="A149" s="11"/>
      <c r="B149" s="11"/>
    </row>
    <row r="150" spans="1:2" ht="15.75" thickBot="1" x14ac:dyDescent="0.3">
      <c r="A150" s="11"/>
      <c r="B150" s="11"/>
    </row>
    <row r="151" spans="1:2" ht="15.75" thickBot="1" x14ac:dyDescent="0.3">
      <c r="A151" s="11"/>
      <c r="B151" s="11"/>
    </row>
    <row r="152" spans="1:2" ht="15.75" thickBot="1" x14ac:dyDescent="0.3">
      <c r="A152" s="11"/>
      <c r="B152" s="11"/>
    </row>
    <row r="153" spans="1:2" ht="15.75" thickBot="1" x14ac:dyDescent="0.3">
      <c r="A153" s="11"/>
      <c r="B153" s="11"/>
    </row>
    <row r="154" spans="1:2" ht="15.75" thickBot="1" x14ac:dyDescent="0.3">
      <c r="A154" s="11"/>
      <c r="B154" s="11"/>
    </row>
    <row r="155" spans="1:2" ht="15.75" thickBot="1" x14ac:dyDescent="0.3">
      <c r="A155" s="11"/>
      <c r="B155" s="11"/>
    </row>
    <row r="156" spans="1:2" ht="15.75" thickBot="1" x14ac:dyDescent="0.3">
      <c r="A156" s="11"/>
      <c r="B156" s="11"/>
    </row>
    <row r="157" spans="1:2" ht="15.75" thickBot="1" x14ac:dyDescent="0.3">
      <c r="A157" s="11"/>
      <c r="B157" s="11"/>
    </row>
    <row r="158" spans="1:2" ht="15.75" thickBot="1" x14ac:dyDescent="0.3">
      <c r="A158" s="11"/>
      <c r="B158" s="11"/>
    </row>
    <row r="159" spans="1:2" ht="15.75" thickBot="1" x14ac:dyDescent="0.3">
      <c r="A159" s="11"/>
      <c r="B159" s="11"/>
    </row>
    <row r="160" spans="1:2" ht="15.75" thickBot="1" x14ac:dyDescent="0.3">
      <c r="A160" s="11"/>
      <c r="B160" s="11"/>
    </row>
    <row r="161" spans="1:2" ht="15.75" thickBot="1" x14ac:dyDescent="0.3">
      <c r="A161" s="15"/>
      <c r="B161" s="11"/>
    </row>
    <row r="162" spans="1:2" ht="15.75" thickBot="1" x14ac:dyDescent="0.3">
      <c r="A162" s="11"/>
      <c r="B162" s="11"/>
    </row>
    <row r="163" spans="1:2" ht="15.75" thickBot="1" x14ac:dyDescent="0.3">
      <c r="A163" s="11"/>
      <c r="B163" s="11"/>
    </row>
    <row r="164" spans="1:2" ht="15.75" thickBot="1" x14ac:dyDescent="0.3">
      <c r="A164" s="11"/>
      <c r="B164" s="11"/>
    </row>
    <row r="165" spans="1:2" ht="15.75" thickBot="1" x14ac:dyDescent="0.3">
      <c r="A165" s="11"/>
      <c r="B165" s="11"/>
    </row>
    <row r="166" spans="1:2" ht="15.75" thickBot="1" x14ac:dyDescent="0.3">
      <c r="A166" s="11"/>
      <c r="B166" s="11"/>
    </row>
    <row r="167" spans="1:2" ht="15.75" thickBot="1" x14ac:dyDescent="0.3">
      <c r="A167" s="11"/>
      <c r="B167" s="11"/>
    </row>
    <row r="168" spans="1:2" ht="15.75" thickBot="1" x14ac:dyDescent="0.3">
      <c r="A168" s="11"/>
      <c r="B168" s="11"/>
    </row>
    <row r="169" spans="1:2" ht="15.75" thickBot="1" x14ac:dyDescent="0.3">
      <c r="A169" s="11"/>
      <c r="B169" s="11"/>
    </row>
    <row r="170" spans="1:2" ht="15.75" thickBot="1" x14ac:dyDescent="0.3">
      <c r="A170" s="11"/>
      <c r="B170" s="11"/>
    </row>
    <row r="171" spans="1:2" ht="15.75" thickBot="1" x14ac:dyDescent="0.3">
      <c r="A171" s="11"/>
      <c r="B171" s="11"/>
    </row>
    <row r="172" spans="1:2" ht="15.75" thickBot="1" x14ac:dyDescent="0.3">
      <c r="A172" s="11"/>
      <c r="B172" s="11"/>
    </row>
    <row r="173" spans="1:2" ht="15.75" thickBot="1" x14ac:dyDescent="0.3">
      <c r="A173" s="11"/>
      <c r="B173" s="11"/>
    </row>
    <row r="174" spans="1:2" ht="15.75" thickBot="1" x14ac:dyDescent="0.3">
      <c r="A174" s="11"/>
      <c r="B174" s="11"/>
    </row>
    <row r="175" spans="1:2" ht="15.75" thickBot="1" x14ac:dyDescent="0.3">
      <c r="A175" s="11"/>
      <c r="B175" s="11"/>
    </row>
    <row r="176" spans="1:2" ht="15.75" thickBot="1" x14ac:dyDescent="0.3">
      <c r="A176" s="11"/>
      <c r="B176" s="11"/>
    </row>
    <row r="177" spans="1:2" ht="15.75" thickBot="1" x14ac:dyDescent="0.3">
      <c r="A177" s="11"/>
      <c r="B177" s="11"/>
    </row>
    <row r="178" spans="1:2" ht="15.75" thickBot="1" x14ac:dyDescent="0.3">
      <c r="A178" s="11"/>
      <c r="B178" s="11"/>
    </row>
    <row r="179" spans="1:2" ht="15.75" thickBot="1" x14ac:dyDescent="0.3">
      <c r="A179" s="11"/>
      <c r="B179" s="11"/>
    </row>
    <row r="180" spans="1:2" ht="15.75" thickBot="1" x14ac:dyDescent="0.3">
      <c r="A180" s="11"/>
      <c r="B180" s="11"/>
    </row>
    <row r="181" spans="1:2" ht="15.75" thickBot="1" x14ac:dyDescent="0.3">
      <c r="A181" s="11"/>
      <c r="B181" s="11"/>
    </row>
    <row r="182" spans="1:2" ht="15.75" thickBot="1" x14ac:dyDescent="0.3">
      <c r="A182" s="11"/>
      <c r="B182" s="11"/>
    </row>
    <row r="183" spans="1:2" ht="15.75" thickBot="1" x14ac:dyDescent="0.3">
      <c r="A183" s="11"/>
      <c r="B183" s="11"/>
    </row>
    <row r="184" spans="1:2" ht="15.75" thickBot="1" x14ac:dyDescent="0.3">
      <c r="A184" s="11"/>
      <c r="B184" s="11"/>
    </row>
    <row r="185" spans="1:2" ht="15.75" thickBot="1" x14ac:dyDescent="0.3">
      <c r="A185" s="11"/>
      <c r="B185" s="11"/>
    </row>
    <row r="186" spans="1:2" ht="15.75" thickBot="1" x14ac:dyDescent="0.3">
      <c r="A186" s="11"/>
      <c r="B186" s="11"/>
    </row>
    <row r="187" spans="1:2" ht="15.75" thickBot="1" x14ac:dyDescent="0.3">
      <c r="A187" s="11"/>
      <c r="B187" s="11"/>
    </row>
    <row r="188" spans="1:2" ht="15.75" thickBot="1" x14ac:dyDescent="0.3">
      <c r="A188" s="11"/>
      <c r="B188" s="11"/>
    </row>
    <row r="189" spans="1:2" ht="15.75" thickBot="1" x14ac:dyDescent="0.3">
      <c r="A189" s="11"/>
      <c r="B189" s="11"/>
    </row>
    <row r="190" spans="1:2" ht="15.75" thickBot="1" x14ac:dyDescent="0.3">
      <c r="A190" s="11"/>
      <c r="B190" s="11"/>
    </row>
    <row r="191" spans="1:2" ht="15.75" thickBot="1" x14ac:dyDescent="0.3">
      <c r="A191" s="11"/>
      <c r="B191" s="11"/>
    </row>
    <row r="192" spans="1:2" ht="15.75" thickBot="1" x14ac:dyDescent="0.3">
      <c r="A192" s="11"/>
      <c r="B192" s="11"/>
    </row>
    <row r="193" spans="1:2" ht="15.75" thickBot="1" x14ac:dyDescent="0.3">
      <c r="A193" s="11"/>
      <c r="B193" s="11"/>
    </row>
    <row r="194" spans="1:2" ht="15.75" thickBot="1" x14ac:dyDescent="0.3">
      <c r="A194" s="11"/>
      <c r="B194" s="11"/>
    </row>
    <row r="195" spans="1:2" ht="15.75" thickBot="1" x14ac:dyDescent="0.3">
      <c r="A195" s="11"/>
      <c r="B195" s="11"/>
    </row>
    <row r="196" spans="1:2" ht="15.75" thickBot="1" x14ac:dyDescent="0.3">
      <c r="A196" s="11"/>
      <c r="B196" s="11"/>
    </row>
    <row r="197" spans="1:2" ht="15.75" thickBot="1" x14ac:dyDescent="0.3">
      <c r="A197" s="11"/>
      <c r="B197" s="11"/>
    </row>
    <row r="198" spans="1:2" ht="15.75" thickBot="1" x14ac:dyDescent="0.3">
      <c r="A198" s="11"/>
      <c r="B198" s="11"/>
    </row>
    <row r="199" spans="1:2" ht="15.75" thickBot="1" x14ac:dyDescent="0.3">
      <c r="A199" s="11"/>
      <c r="B199" s="11"/>
    </row>
    <row r="200" spans="1:2" ht="15.75" thickBot="1" x14ac:dyDescent="0.3">
      <c r="A200" s="11"/>
      <c r="B200" s="11"/>
    </row>
    <row r="201" spans="1:2" ht="15.75" thickBot="1" x14ac:dyDescent="0.3">
      <c r="A201" s="11"/>
      <c r="B201" s="11"/>
    </row>
    <row r="202" spans="1:2" ht="15.75" thickBot="1" x14ac:dyDescent="0.3">
      <c r="A202" s="11"/>
      <c r="B202" s="11"/>
    </row>
    <row r="203" spans="1:2" ht="15.75" thickBot="1" x14ac:dyDescent="0.3">
      <c r="A203" s="11"/>
      <c r="B203" s="11"/>
    </row>
    <row r="204" spans="1:2" ht="15.75" thickBot="1" x14ac:dyDescent="0.3">
      <c r="A204" s="11"/>
      <c r="B204" s="11"/>
    </row>
    <row r="205" spans="1:2" ht="15.75" thickBot="1" x14ac:dyDescent="0.3">
      <c r="A205" s="11"/>
      <c r="B205" s="11"/>
    </row>
    <row r="206" spans="1:2" ht="15.75" thickBot="1" x14ac:dyDescent="0.3">
      <c r="A206" s="11"/>
      <c r="B206" s="11"/>
    </row>
    <row r="207" spans="1:2" ht="15.75" thickBot="1" x14ac:dyDescent="0.3">
      <c r="A207" s="11"/>
      <c r="B207" s="11"/>
    </row>
    <row r="208" spans="1:2" ht="15.75" thickBot="1" x14ac:dyDescent="0.3">
      <c r="A208" s="11"/>
      <c r="B208" s="11"/>
    </row>
    <row r="209" spans="1:2" ht="15.75" thickBot="1" x14ac:dyDescent="0.3">
      <c r="A209" s="11"/>
      <c r="B209" s="11"/>
    </row>
    <row r="210" spans="1:2" ht="15.75" thickBot="1" x14ac:dyDescent="0.3">
      <c r="A210" s="11"/>
      <c r="B210" s="11"/>
    </row>
    <row r="211" spans="1:2" ht="15.75" thickBot="1" x14ac:dyDescent="0.3">
      <c r="A211" s="11"/>
      <c r="B211" s="11"/>
    </row>
    <row r="212" spans="1:2" ht="15.75" thickBot="1" x14ac:dyDescent="0.3">
      <c r="A212" s="11"/>
      <c r="B212" s="11"/>
    </row>
    <row r="213" spans="1:2" ht="15.75" thickBot="1" x14ac:dyDescent="0.3">
      <c r="A213" s="11"/>
      <c r="B213" s="11"/>
    </row>
    <row r="214" spans="1:2" ht="15.75" thickBot="1" x14ac:dyDescent="0.3">
      <c r="A214" s="11"/>
      <c r="B214" s="11"/>
    </row>
    <row r="215" spans="1:2" ht="15.75" thickBot="1" x14ac:dyDescent="0.3">
      <c r="A215" s="11"/>
      <c r="B215" s="11"/>
    </row>
    <row r="216" spans="1:2" ht="15.75" thickBot="1" x14ac:dyDescent="0.3">
      <c r="A216" s="11"/>
      <c r="B216" s="11"/>
    </row>
    <row r="217" spans="1:2" ht="15.75" thickBot="1" x14ac:dyDescent="0.3">
      <c r="A217" s="11"/>
      <c r="B217" s="11"/>
    </row>
    <row r="218" spans="1:2" ht="15.75" thickBot="1" x14ac:dyDescent="0.3">
      <c r="A218" s="11"/>
      <c r="B218" s="11"/>
    </row>
    <row r="219" spans="1:2" ht="15.75" thickBot="1" x14ac:dyDescent="0.3">
      <c r="A219" s="11"/>
      <c r="B219" s="11"/>
    </row>
    <row r="220" spans="1:2" ht="15.75" thickBot="1" x14ac:dyDescent="0.3">
      <c r="A220" s="11"/>
      <c r="B220" s="11"/>
    </row>
    <row r="221" spans="1:2" ht="15.75" thickBot="1" x14ac:dyDescent="0.3">
      <c r="A221" s="11"/>
      <c r="B221" s="11"/>
    </row>
    <row r="222" spans="1:2" ht="15.75" thickBot="1" x14ac:dyDescent="0.3">
      <c r="A222" s="11"/>
      <c r="B222" s="11"/>
    </row>
    <row r="223" spans="1:2" ht="15.75" thickBot="1" x14ac:dyDescent="0.3">
      <c r="A223" s="11"/>
      <c r="B223" s="11"/>
    </row>
    <row r="224" spans="1:2" ht="15.75" thickBot="1" x14ac:dyDescent="0.3">
      <c r="A224" s="11"/>
      <c r="B224" s="11"/>
    </row>
    <row r="225" spans="1:2" ht="15.75" thickBot="1" x14ac:dyDescent="0.3">
      <c r="A225" s="11"/>
      <c r="B225" s="11"/>
    </row>
    <row r="226" spans="1:2" ht="15.75" thickBot="1" x14ac:dyDescent="0.3">
      <c r="A226" s="11"/>
      <c r="B226" s="11"/>
    </row>
    <row r="227" spans="1:2" ht="15.75" thickBot="1" x14ac:dyDescent="0.3">
      <c r="A227" s="11"/>
      <c r="B227" s="11"/>
    </row>
    <row r="228" spans="1:2" ht="15.75" thickBot="1" x14ac:dyDescent="0.3">
      <c r="A228" s="11"/>
      <c r="B228" s="11"/>
    </row>
    <row r="229" spans="1:2" ht="15.75" thickBot="1" x14ac:dyDescent="0.3">
      <c r="A229" s="11"/>
      <c r="B229" s="11"/>
    </row>
    <row r="230" spans="1:2" ht="15.75" thickBot="1" x14ac:dyDescent="0.3">
      <c r="A230" s="11"/>
      <c r="B230" s="11"/>
    </row>
    <row r="231" spans="1:2" ht="15.75" thickBot="1" x14ac:dyDescent="0.3">
      <c r="A231" s="11"/>
      <c r="B231" s="11"/>
    </row>
    <row r="232" spans="1:2" ht="15.75" thickBot="1" x14ac:dyDescent="0.3">
      <c r="A232" s="11"/>
      <c r="B232" s="11"/>
    </row>
    <row r="233" spans="1:2" ht="15.75" thickBot="1" x14ac:dyDescent="0.3">
      <c r="A233" s="11"/>
      <c r="B233" s="11"/>
    </row>
    <row r="234" spans="1:2" ht="15.75" thickBot="1" x14ac:dyDescent="0.3">
      <c r="A234" s="11"/>
      <c r="B234" s="11"/>
    </row>
    <row r="235" spans="1:2" ht="15.75" thickBot="1" x14ac:dyDescent="0.3">
      <c r="A235" s="11"/>
      <c r="B235" s="11"/>
    </row>
    <row r="236" spans="1:2" ht="15.75" thickBot="1" x14ac:dyDescent="0.3">
      <c r="A236" s="11"/>
      <c r="B236" s="11"/>
    </row>
    <row r="237" spans="1:2" ht="15.75" thickBot="1" x14ac:dyDescent="0.3">
      <c r="A237" s="11"/>
      <c r="B237" s="11"/>
    </row>
    <row r="238" spans="1:2" ht="15.75" thickBot="1" x14ac:dyDescent="0.3">
      <c r="A238" s="11"/>
      <c r="B238" s="11"/>
    </row>
    <row r="239" spans="1:2" ht="15.75" thickBot="1" x14ac:dyDescent="0.3">
      <c r="A239" s="11"/>
      <c r="B239" s="11"/>
    </row>
    <row r="240" spans="1:2" ht="15.75" thickBot="1" x14ac:dyDescent="0.3">
      <c r="A240" s="11"/>
      <c r="B240" s="11"/>
    </row>
    <row r="241" spans="1:2" ht="15.75" thickBot="1" x14ac:dyDescent="0.3">
      <c r="A241" s="11"/>
      <c r="B241" s="11"/>
    </row>
    <row r="242" spans="1:2" ht="15.75" thickBot="1" x14ac:dyDescent="0.3">
      <c r="A242" s="11"/>
      <c r="B242" s="11"/>
    </row>
    <row r="243" spans="1:2" ht="15.75" thickBot="1" x14ac:dyDescent="0.3">
      <c r="A243" s="11"/>
      <c r="B243" s="11"/>
    </row>
    <row r="244" spans="1:2" ht="15.75" thickBot="1" x14ac:dyDescent="0.3">
      <c r="A244" s="11"/>
      <c r="B244" s="11"/>
    </row>
    <row r="245" spans="1:2" ht="15.75" thickBot="1" x14ac:dyDescent="0.3">
      <c r="A245" s="11"/>
      <c r="B245" s="11"/>
    </row>
    <row r="246" spans="1:2" ht="15.75" thickBot="1" x14ac:dyDescent="0.3">
      <c r="A246" s="11"/>
      <c r="B246" s="11"/>
    </row>
    <row r="247" spans="1:2" ht="15.75" thickBot="1" x14ac:dyDescent="0.3">
      <c r="A247" s="11"/>
      <c r="B247" s="11"/>
    </row>
    <row r="248" spans="1:2" ht="15.75" thickBot="1" x14ac:dyDescent="0.3">
      <c r="A248" s="11"/>
      <c r="B248" s="11"/>
    </row>
    <row r="249" spans="1:2" ht="15.75" thickBot="1" x14ac:dyDescent="0.3">
      <c r="A249" s="11"/>
      <c r="B249" s="11"/>
    </row>
    <row r="250" spans="1:2" ht="15.75" thickBot="1" x14ac:dyDescent="0.3">
      <c r="A250" s="11"/>
      <c r="B250" s="11"/>
    </row>
    <row r="251" spans="1:2" ht="15.75" thickBot="1" x14ac:dyDescent="0.3">
      <c r="A251" s="11"/>
      <c r="B251" s="11"/>
    </row>
    <row r="252" spans="1:2" ht="15.75" thickBot="1" x14ac:dyDescent="0.3">
      <c r="A252" s="11"/>
      <c r="B252" s="11"/>
    </row>
    <row r="253" spans="1:2" ht="15.75" thickBot="1" x14ac:dyDescent="0.3">
      <c r="A253" s="11"/>
      <c r="B253" s="11"/>
    </row>
    <row r="254" spans="1:2" ht="15.75" thickBot="1" x14ac:dyDescent="0.3">
      <c r="A254" s="11"/>
      <c r="B254" s="11"/>
    </row>
    <row r="255" spans="1:2" ht="15.75" thickBot="1" x14ac:dyDescent="0.3">
      <c r="A255" s="11"/>
      <c r="B255" s="11"/>
    </row>
    <row r="256" spans="1:2" ht="15.75" thickBot="1" x14ac:dyDescent="0.3">
      <c r="A256" s="11"/>
      <c r="B256" s="11"/>
    </row>
    <row r="257" spans="1:2" ht="15.75" thickBot="1" x14ac:dyDescent="0.3">
      <c r="A257" s="11"/>
      <c r="B257" s="11"/>
    </row>
    <row r="258" spans="1:2" ht="15.75" thickBot="1" x14ac:dyDescent="0.3">
      <c r="A258" s="11"/>
      <c r="B258" s="11"/>
    </row>
    <row r="259" spans="1:2" ht="15.75" thickBot="1" x14ac:dyDescent="0.3">
      <c r="A259" s="11"/>
      <c r="B259" s="11"/>
    </row>
    <row r="260" spans="1:2" ht="15.75" thickBot="1" x14ac:dyDescent="0.3">
      <c r="A260" s="11"/>
      <c r="B260" s="11"/>
    </row>
    <row r="261" spans="1:2" ht="15.75" thickBot="1" x14ac:dyDescent="0.3">
      <c r="A261" s="11"/>
      <c r="B261" s="11"/>
    </row>
    <row r="262" spans="1:2" ht="15.75" thickBot="1" x14ac:dyDescent="0.3">
      <c r="A262" s="11"/>
      <c r="B262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53CE-63A8-4529-9631-4E30FD682831}">
  <dimension ref="A1:S25"/>
  <sheetViews>
    <sheetView workbookViewId="0">
      <selection activeCell="J1" sqref="J1:K25"/>
    </sheetView>
  </sheetViews>
  <sheetFormatPr defaultRowHeight="15" x14ac:dyDescent="0.25"/>
  <sheetData>
    <row r="1" spans="1:19" ht="64.5" thickBot="1" x14ac:dyDescent="0.3">
      <c r="A1" s="27" t="s">
        <v>0</v>
      </c>
      <c r="B1" s="27" t="s">
        <v>1</v>
      </c>
      <c r="C1" s="41" t="s">
        <v>30</v>
      </c>
      <c r="D1" s="41" t="s">
        <v>40</v>
      </c>
      <c r="E1" s="41" t="s">
        <v>10</v>
      </c>
      <c r="F1" s="41" t="s">
        <v>11</v>
      </c>
      <c r="G1" s="41" t="s">
        <v>12</v>
      </c>
      <c r="H1" s="41" t="s">
        <v>13</v>
      </c>
      <c r="I1" s="29" t="s">
        <v>32</v>
      </c>
      <c r="J1" s="66" t="s">
        <v>41</v>
      </c>
      <c r="K1" s="67" t="s">
        <v>42</v>
      </c>
      <c r="L1" s="52" t="s">
        <v>35</v>
      </c>
      <c r="M1" s="52" t="s">
        <v>36</v>
      </c>
      <c r="N1" s="52" t="s">
        <v>37</v>
      </c>
      <c r="O1" s="28" t="s">
        <v>38</v>
      </c>
      <c r="P1" s="28" t="s">
        <v>39</v>
      </c>
      <c r="Q1" s="32" t="s">
        <v>43</v>
      </c>
      <c r="R1" s="32" t="s">
        <v>44</v>
      </c>
      <c r="S1" s="32" t="s">
        <v>27</v>
      </c>
    </row>
    <row r="2" spans="1:19" ht="15.75" thickBot="1" x14ac:dyDescent="0.3">
      <c r="A2" s="13"/>
      <c r="B2" s="33"/>
      <c r="C2" s="21"/>
      <c r="D2" s="21"/>
      <c r="E2" s="45"/>
      <c r="F2" s="45"/>
      <c r="G2" s="21"/>
      <c r="H2" s="21"/>
      <c r="I2" s="35"/>
      <c r="J2" s="68"/>
      <c r="K2" s="40"/>
      <c r="L2" s="53"/>
      <c r="M2" s="53"/>
      <c r="N2" s="53"/>
      <c r="O2" s="34"/>
      <c r="P2" s="34"/>
      <c r="Q2" s="11"/>
      <c r="R2" s="11"/>
      <c r="S2" s="11"/>
    </row>
    <row r="3" spans="1:19" ht="15.75" thickBot="1" x14ac:dyDescent="0.3">
      <c r="A3" s="6"/>
      <c r="B3" s="33"/>
      <c r="C3" s="21"/>
      <c r="D3" s="21"/>
      <c r="E3" s="45"/>
      <c r="F3" s="45"/>
      <c r="G3" s="21"/>
      <c r="H3" s="21"/>
      <c r="I3" s="35"/>
      <c r="J3" s="68"/>
      <c r="K3" s="40"/>
      <c r="L3" s="53"/>
      <c r="M3" s="53"/>
      <c r="N3" s="53"/>
      <c r="O3" s="34"/>
      <c r="P3" s="34"/>
      <c r="Q3" s="11"/>
      <c r="R3" s="11"/>
      <c r="S3" s="11"/>
    </row>
    <row r="4" spans="1:19" ht="15.75" thickBot="1" x14ac:dyDescent="0.3">
      <c r="A4" s="6"/>
      <c r="B4" s="33"/>
      <c r="C4" s="21"/>
      <c r="D4" s="21"/>
      <c r="E4" s="45"/>
      <c r="F4" s="45"/>
      <c r="G4" s="21"/>
      <c r="H4" s="21"/>
      <c r="I4" s="35"/>
      <c r="J4" s="68"/>
      <c r="K4" s="40"/>
      <c r="L4" s="53"/>
      <c r="M4" s="53"/>
      <c r="N4" s="53"/>
      <c r="O4" s="34"/>
      <c r="P4" s="34"/>
      <c r="Q4" s="11"/>
      <c r="R4" s="11"/>
      <c r="S4" s="11"/>
    </row>
    <row r="5" spans="1:19" ht="15.75" thickBot="1" x14ac:dyDescent="0.3">
      <c r="A5" s="6"/>
      <c r="B5" s="33"/>
      <c r="C5" s="21"/>
      <c r="D5" s="21"/>
      <c r="E5" s="45"/>
      <c r="F5" s="45"/>
      <c r="G5" s="21"/>
      <c r="H5" s="21"/>
      <c r="I5" s="35"/>
      <c r="J5" s="68"/>
      <c r="K5" s="40"/>
      <c r="L5" s="53"/>
      <c r="M5" s="53"/>
      <c r="N5" s="53"/>
      <c r="O5" s="34"/>
      <c r="P5" s="34"/>
      <c r="Q5" s="11"/>
      <c r="R5" s="11"/>
      <c r="S5" s="11"/>
    </row>
    <row r="6" spans="1:19" ht="15.75" thickBot="1" x14ac:dyDescent="0.3">
      <c r="A6" s="13"/>
      <c r="B6" s="33"/>
      <c r="C6" s="21"/>
      <c r="D6" s="21"/>
      <c r="E6" s="45"/>
      <c r="F6" s="45"/>
      <c r="G6" s="21"/>
      <c r="H6" s="21"/>
      <c r="I6" s="35"/>
      <c r="J6" s="68"/>
      <c r="K6" s="40"/>
      <c r="L6" s="53"/>
      <c r="M6" s="53"/>
      <c r="N6" s="53"/>
      <c r="O6" s="34"/>
      <c r="P6" s="34"/>
      <c r="Q6" s="11"/>
      <c r="R6" s="11"/>
      <c r="S6" s="11"/>
    </row>
    <row r="7" spans="1:19" ht="15.75" thickBot="1" x14ac:dyDescent="0.3">
      <c r="A7" s="13"/>
      <c r="B7" s="33"/>
      <c r="C7" s="21"/>
      <c r="D7" s="21"/>
      <c r="E7" s="45"/>
      <c r="F7" s="45"/>
      <c r="G7" s="21"/>
      <c r="H7" s="21"/>
      <c r="I7" s="35"/>
      <c r="J7" s="68"/>
      <c r="K7" s="40"/>
      <c r="L7" s="53"/>
      <c r="M7" s="53"/>
      <c r="N7" s="53"/>
      <c r="O7" s="34"/>
      <c r="P7" s="34"/>
      <c r="Q7" s="11"/>
      <c r="R7" s="11"/>
      <c r="S7" s="11"/>
    </row>
    <row r="8" spans="1:19" ht="15.75" thickBot="1" x14ac:dyDescent="0.3">
      <c r="A8" s="6"/>
      <c r="B8" s="33"/>
      <c r="C8" s="21"/>
      <c r="D8" s="21"/>
      <c r="E8" s="45"/>
      <c r="F8" s="45"/>
      <c r="G8" s="21"/>
      <c r="H8" s="21"/>
      <c r="I8" s="35"/>
      <c r="J8" s="68"/>
      <c r="K8" s="40"/>
      <c r="L8" s="53"/>
      <c r="M8" s="53"/>
      <c r="N8" s="53"/>
      <c r="O8" s="34"/>
      <c r="P8" s="34"/>
      <c r="Q8" s="11"/>
      <c r="R8" s="11"/>
      <c r="S8" s="11"/>
    </row>
    <row r="9" spans="1:19" ht="15.75" thickBot="1" x14ac:dyDescent="0.3">
      <c r="A9" s="6"/>
      <c r="B9" s="33"/>
      <c r="C9" s="21"/>
      <c r="D9" s="21"/>
      <c r="E9" s="45"/>
      <c r="F9" s="45"/>
      <c r="G9" s="21"/>
      <c r="H9" s="21"/>
      <c r="I9" s="35"/>
      <c r="J9" s="68"/>
      <c r="K9" s="40"/>
      <c r="L9" s="53"/>
      <c r="M9" s="53"/>
      <c r="N9" s="53"/>
      <c r="O9" s="34"/>
      <c r="P9" s="34"/>
      <c r="Q9" s="11"/>
      <c r="R9" s="11"/>
      <c r="S9" s="11"/>
    </row>
    <row r="10" spans="1:19" ht="15.75" thickBot="1" x14ac:dyDescent="0.3">
      <c r="A10" s="13"/>
      <c r="B10" s="33"/>
      <c r="C10" s="21"/>
      <c r="D10" s="21"/>
      <c r="E10" s="45"/>
      <c r="F10" s="45"/>
      <c r="G10" s="21"/>
      <c r="H10" s="21"/>
      <c r="I10" s="35"/>
      <c r="J10" s="68"/>
      <c r="K10" s="40"/>
      <c r="L10" s="53"/>
      <c r="M10" s="53"/>
      <c r="N10" s="53"/>
      <c r="O10" s="34"/>
      <c r="P10" s="34"/>
      <c r="Q10" s="11"/>
      <c r="R10" s="11"/>
      <c r="S10" s="11"/>
    </row>
    <row r="11" spans="1:19" ht="15.75" thickBot="1" x14ac:dyDescent="0.3">
      <c r="A11" s="13"/>
      <c r="B11" s="33"/>
      <c r="C11" s="21"/>
      <c r="D11" s="21"/>
      <c r="E11" s="45"/>
      <c r="F11" s="45"/>
      <c r="G11" s="21"/>
      <c r="H11" s="21"/>
      <c r="I11" s="35"/>
      <c r="J11" s="68"/>
      <c r="K11" s="40"/>
      <c r="L11" s="53"/>
      <c r="M11" s="53"/>
      <c r="N11" s="53"/>
      <c r="O11" s="34"/>
      <c r="P11" s="34"/>
      <c r="Q11" s="11"/>
      <c r="R11" s="11"/>
      <c r="S11" s="11"/>
    </row>
    <row r="12" spans="1:19" ht="15.75" thickBot="1" x14ac:dyDescent="0.3">
      <c r="A12" s="6"/>
      <c r="B12" s="33"/>
      <c r="C12" s="21"/>
      <c r="D12" s="21"/>
      <c r="E12" s="45"/>
      <c r="F12" s="45"/>
      <c r="G12" s="21"/>
      <c r="H12" s="21"/>
      <c r="I12" s="35"/>
      <c r="J12" s="68"/>
      <c r="K12" s="40"/>
      <c r="L12" s="53"/>
      <c r="M12" s="53"/>
      <c r="N12" s="53"/>
      <c r="O12" s="34"/>
      <c r="P12" s="34"/>
      <c r="Q12" s="11"/>
      <c r="R12" s="11"/>
      <c r="S12" s="11"/>
    </row>
    <row r="13" spans="1:19" ht="15.75" thickBot="1" x14ac:dyDescent="0.3">
      <c r="A13" s="6"/>
      <c r="B13" s="33"/>
      <c r="C13" s="21"/>
      <c r="D13" s="21"/>
      <c r="E13" s="45"/>
      <c r="F13" s="45"/>
      <c r="G13" s="21"/>
      <c r="H13" s="21"/>
      <c r="I13" s="35"/>
      <c r="J13" s="68"/>
      <c r="K13" s="40"/>
      <c r="L13" s="53"/>
      <c r="M13" s="53"/>
      <c r="N13" s="53"/>
      <c r="O13" s="34"/>
      <c r="P13" s="34"/>
      <c r="Q13" s="11"/>
      <c r="R13" s="11"/>
      <c r="S13" s="11"/>
    </row>
    <row r="14" spans="1:19" ht="15.75" thickBot="1" x14ac:dyDescent="0.3">
      <c r="A14" s="6"/>
      <c r="B14" s="33"/>
      <c r="C14" s="21"/>
      <c r="D14" s="21"/>
      <c r="E14" s="45"/>
      <c r="F14" s="45"/>
      <c r="G14" s="21"/>
      <c r="H14" s="21"/>
      <c r="I14" s="35"/>
      <c r="J14" s="68"/>
      <c r="K14" s="40"/>
      <c r="L14" s="53"/>
      <c r="M14" s="53"/>
      <c r="N14" s="53"/>
      <c r="O14" s="34"/>
      <c r="P14" s="34"/>
      <c r="Q14" s="11"/>
      <c r="R14" s="11"/>
      <c r="S14" s="11"/>
    </row>
    <row r="15" spans="1:19" ht="15.75" thickBot="1" x14ac:dyDescent="0.3">
      <c r="A15" s="13"/>
      <c r="B15" s="33"/>
      <c r="C15" s="21"/>
      <c r="D15" s="21"/>
      <c r="E15" s="45"/>
      <c r="F15" s="45"/>
      <c r="G15" s="21"/>
      <c r="H15" s="21"/>
      <c r="I15" s="35"/>
      <c r="J15" s="68"/>
      <c r="K15" s="40"/>
      <c r="L15" s="12"/>
      <c r="M15" s="12"/>
      <c r="N15" s="12"/>
      <c r="O15" s="34"/>
      <c r="P15" s="34"/>
      <c r="Q15" s="11"/>
      <c r="R15" s="11"/>
      <c r="S15" s="11"/>
    </row>
    <row r="16" spans="1:19" ht="15.75" thickBot="1" x14ac:dyDescent="0.3">
      <c r="A16" s="6"/>
      <c r="B16" s="33"/>
      <c r="C16" s="21"/>
      <c r="D16" s="21"/>
      <c r="E16" s="45"/>
      <c r="F16" s="45"/>
      <c r="G16" s="21"/>
      <c r="H16" s="21"/>
      <c r="I16" s="35"/>
      <c r="J16" s="68"/>
      <c r="K16" s="40"/>
      <c r="L16" s="12"/>
      <c r="M16" s="12"/>
      <c r="N16" s="12"/>
      <c r="O16" s="9"/>
      <c r="P16" s="9"/>
      <c r="Q16" s="11"/>
      <c r="R16" s="11"/>
      <c r="S16" s="11"/>
    </row>
    <row r="17" spans="1:19" ht="15.75" thickBot="1" x14ac:dyDescent="0.3">
      <c r="A17" s="6"/>
      <c r="B17" s="33"/>
      <c r="C17" s="21"/>
      <c r="D17" s="21"/>
      <c r="E17" s="45"/>
      <c r="F17" s="45"/>
      <c r="G17" s="21"/>
      <c r="H17" s="21"/>
      <c r="I17" s="35"/>
      <c r="J17" s="40"/>
      <c r="K17" s="40"/>
      <c r="L17" s="12"/>
      <c r="M17" s="12"/>
      <c r="N17" s="12"/>
      <c r="O17" s="9"/>
      <c r="P17" s="9"/>
      <c r="Q17" s="11"/>
      <c r="R17" s="11"/>
      <c r="S17" s="11"/>
    </row>
    <row r="18" spans="1:19" ht="15.75" thickBot="1" x14ac:dyDescent="0.3">
      <c r="A18" s="6"/>
      <c r="B18" s="33"/>
      <c r="C18" s="21"/>
      <c r="D18" s="21"/>
      <c r="E18" s="44"/>
      <c r="F18" s="44"/>
      <c r="G18" s="21"/>
      <c r="H18" s="21"/>
      <c r="I18" s="35"/>
      <c r="J18" s="40"/>
      <c r="K18" s="40"/>
      <c r="L18" s="12"/>
      <c r="M18" s="12"/>
      <c r="N18" s="12"/>
      <c r="O18" s="9"/>
      <c r="P18" s="9"/>
      <c r="Q18" s="11"/>
      <c r="R18" s="11"/>
      <c r="S18" s="11"/>
    </row>
    <row r="19" spans="1:19" ht="15.75" thickBot="1" x14ac:dyDescent="0.3">
      <c r="A19" s="13"/>
      <c r="B19" s="33"/>
      <c r="C19" s="21"/>
      <c r="D19" s="21"/>
      <c r="E19" s="44"/>
      <c r="F19" s="44"/>
      <c r="G19" s="21"/>
      <c r="H19" s="21"/>
      <c r="I19" s="35"/>
      <c r="J19" s="40"/>
      <c r="K19" s="40"/>
      <c r="L19" s="12"/>
      <c r="M19" s="12"/>
      <c r="N19" s="12"/>
      <c r="O19" s="9"/>
      <c r="P19" s="9"/>
      <c r="Q19" s="11"/>
      <c r="R19" s="11"/>
      <c r="S19" s="11"/>
    </row>
    <row r="20" spans="1:19" ht="15.75" thickBot="1" x14ac:dyDescent="0.3">
      <c r="A20" s="13"/>
      <c r="B20" s="33"/>
      <c r="C20" s="21"/>
      <c r="D20" s="21"/>
      <c r="E20" s="44"/>
      <c r="F20" s="44"/>
      <c r="G20" s="21"/>
      <c r="H20" s="21"/>
      <c r="I20" s="35"/>
      <c r="J20" s="40"/>
      <c r="K20" s="40"/>
      <c r="L20" s="12"/>
      <c r="M20" s="12"/>
      <c r="N20" s="12"/>
      <c r="O20" s="9"/>
      <c r="P20" s="9"/>
      <c r="Q20" s="11"/>
      <c r="R20" s="11"/>
      <c r="S20" s="11"/>
    </row>
    <row r="21" spans="1:19" ht="15.75" thickBot="1" x14ac:dyDescent="0.3">
      <c r="A21" s="6"/>
      <c r="B21" s="33"/>
      <c r="C21" s="21"/>
      <c r="D21" s="21"/>
      <c r="E21" s="44"/>
      <c r="F21" s="44"/>
      <c r="G21" s="21"/>
      <c r="H21" s="21"/>
      <c r="I21" s="6"/>
      <c r="J21" s="69"/>
      <c r="K21" s="69"/>
      <c r="L21" s="12"/>
      <c r="M21" s="12"/>
      <c r="N21" s="12"/>
      <c r="O21" s="9"/>
      <c r="P21" s="9"/>
      <c r="Q21" s="11"/>
      <c r="R21" s="11"/>
      <c r="S21" s="11"/>
    </row>
    <row r="22" spans="1:19" ht="15.75" thickBot="1" x14ac:dyDescent="0.3">
      <c r="A22" s="6"/>
      <c r="B22" s="33"/>
      <c r="C22" s="21"/>
      <c r="D22" s="21"/>
      <c r="E22" s="44"/>
      <c r="F22" s="44"/>
      <c r="G22" s="21"/>
      <c r="H22" s="21"/>
      <c r="I22" s="6"/>
      <c r="J22" s="69"/>
      <c r="K22" s="69"/>
      <c r="L22" s="12"/>
      <c r="M22" s="12"/>
      <c r="N22" s="12"/>
      <c r="O22" s="9"/>
      <c r="P22" s="9"/>
      <c r="Q22" s="11"/>
      <c r="R22" s="11"/>
      <c r="S22" s="11"/>
    </row>
    <row r="23" spans="1:19" ht="15.75" thickBot="1" x14ac:dyDescent="0.3">
      <c r="A23" s="13"/>
      <c r="B23" s="33"/>
      <c r="C23" s="21"/>
      <c r="D23" s="21"/>
      <c r="E23" s="44"/>
      <c r="F23" s="44"/>
      <c r="G23" s="21"/>
      <c r="H23" s="21"/>
      <c r="I23" s="6"/>
      <c r="J23" s="69"/>
      <c r="K23" s="69"/>
      <c r="L23" s="12"/>
      <c r="M23" s="12"/>
      <c r="N23" s="12"/>
      <c r="O23" s="9"/>
      <c r="P23" s="9"/>
      <c r="Q23" s="11"/>
      <c r="R23" s="11"/>
      <c r="S23" s="11"/>
    </row>
    <row r="24" spans="1:19" ht="15.75" thickBot="1" x14ac:dyDescent="0.3">
      <c r="A24" s="6"/>
      <c r="B24" s="33"/>
      <c r="C24" s="21"/>
      <c r="D24" s="21"/>
      <c r="E24" s="44"/>
      <c r="F24" s="44"/>
      <c r="G24" s="21"/>
      <c r="H24" s="21"/>
      <c r="I24" s="6"/>
      <c r="J24" s="69"/>
      <c r="K24" s="69"/>
      <c r="L24" s="12"/>
      <c r="M24" s="12"/>
      <c r="N24" s="12"/>
      <c r="O24" s="9"/>
      <c r="P24" s="9"/>
      <c r="Q24" s="11"/>
      <c r="R24" s="11"/>
      <c r="S24" s="11"/>
    </row>
    <row r="25" spans="1:19" ht="15.75" thickBot="1" x14ac:dyDescent="0.3">
      <c r="A25" s="6"/>
      <c r="B25" s="33"/>
      <c r="C25" s="21"/>
      <c r="D25" s="21"/>
      <c r="E25" s="44"/>
      <c r="F25" s="44"/>
      <c r="G25" s="21"/>
      <c r="H25" s="21"/>
      <c r="I25" s="6"/>
      <c r="J25" s="69"/>
      <c r="K25" s="69"/>
      <c r="L25" s="12"/>
      <c r="M25" s="12"/>
      <c r="N25" s="12"/>
      <c r="O25" s="9"/>
      <c r="P25" s="9"/>
      <c r="Q25" s="11"/>
      <c r="R25" s="11"/>
      <c r="S25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B2E8-504D-407B-9BDE-2B414A79A9F6}">
  <dimension ref="A1:S25"/>
  <sheetViews>
    <sheetView workbookViewId="0">
      <selection activeCell="U15" sqref="U15"/>
    </sheetView>
  </sheetViews>
  <sheetFormatPr defaultRowHeight="15" x14ac:dyDescent="0.25"/>
  <sheetData>
    <row r="1" spans="1:19" ht="64.5" thickBot="1" x14ac:dyDescent="0.3">
      <c r="A1" s="27" t="s">
        <v>0</v>
      </c>
      <c r="B1" s="27" t="s">
        <v>1</v>
      </c>
      <c r="C1" s="41" t="s">
        <v>30</v>
      </c>
      <c r="D1" s="41" t="s">
        <v>40</v>
      </c>
      <c r="E1" s="41" t="s">
        <v>10</v>
      </c>
      <c r="F1" s="41" t="s">
        <v>11</v>
      </c>
      <c r="G1" s="41" t="s">
        <v>12</v>
      </c>
      <c r="H1" s="41" t="s">
        <v>13</v>
      </c>
      <c r="I1" s="29" t="s">
        <v>32</v>
      </c>
      <c r="J1" s="66" t="s">
        <v>41</v>
      </c>
      <c r="K1" s="67" t="s">
        <v>42</v>
      </c>
      <c r="L1" s="52" t="s">
        <v>35</v>
      </c>
      <c r="M1" s="52" t="s">
        <v>36</v>
      </c>
      <c r="N1" s="52" t="s">
        <v>37</v>
      </c>
      <c r="O1" s="28" t="s">
        <v>38</v>
      </c>
      <c r="P1" s="28" t="s">
        <v>39</v>
      </c>
      <c r="Q1" s="32" t="s">
        <v>43</v>
      </c>
      <c r="R1" s="32" t="s">
        <v>44</v>
      </c>
      <c r="S1" s="32" t="s">
        <v>27</v>
      </c>
    </row>
    <row r="2" spans="1:19" ht="15.75" thickBot="1" x14ac:dyDescent="0.3">
      <c r="A2" s="13"/>
      <c r="B2" s="33"/>
      <c r="C2" s="21"/>
      <c r="D2" s="21"/>
      <c r="E2" s="45"/>
      <c r="F2" s="45"/>
      <c r="G2" s="21"/>
      <c r="H2" s="21"/>
      <c r="I2" s="35"/>
      <c r="J2" s="68"/>
      <c r="K2" s="40"/>
      <c r="L2" s="53"/>
      <c r="M2" s="53"/>
      <c r="N2" s="53"/>
      <c r="O2" s="34"/>
      <c r="P2" s="34"/>
      <c r="Q2" s="11"/>
      <c r="R2" s="11"/>
      <c r="S2" s="11"/>
    </row>
    <row r="3" spans="1:19" ht="15.75" thickBot="1" x14ac:dyDescent="0.3">
      <c r="A3" s="6"/>
      <c r="B3" s="33"/>
      <c r="C3" s="21"/>
      <c r="D3" s="21"/>
      <c r="E3" s="45"/>
      <c r="F3" s="45"/>
      <c r="G3" s="21"/>
      <c r="H3" s="21"/>
      <c r="I3" s="35"/>
      <c r="J3" s="68"/>
      <c r="K3" s="40"/>
      <c r="L3" s="53"/>
      <c r="M3" s="53"/>
      <c r="N3" s="53"/>
      <c r="O3" s="34"/>
      <c r="P3" s="34"/>
      <c r="Q3" s="11"/>
      <c r="R3" s="11"/>
      <c r="S3" s="11"/>
    </row>
    <row r="4" spans="1:19" ht="15.75" thickBot="1" x14ac:dyDescent="0.3">
      <c r="A4" s="6"/>
      <c r="B4" s="33"/>
      <c r="C4" s="21"/>
      <c r="D4" s="21"/>
      <c r="E4" s="45"/>
      <c r="F4" s="45"/>
      <c r="G4" s="21"/>
      <c r="H4" s="21"/>
      <c r="I4" s="35"/>
      <c r="J4" s="68"/>
      <c r="K4" s="40"/>
      <c r="L4" s="53"/>
      <c r="M4" s="53"/>
      <c r="N4" s="53"/>
      <c r="O4" s="34"/>
      <c r="P4" s="34"/>
      <c r="Q4" s="11"/>
      <c r="R4" s="11"/>
      <c r="S4" s="11"/>
    </row>
    <row r="5" spans="1:19" ht="15.75" thickBot="1" x14ac:dyDescent="0.3">
      <c r="A5" s="6"/>
      <c r="B5" s="33"/>
      <c r="C5" s="21"/>
      <c r="D5" s="21"/>
      <c r="E5" s="45"/>
      <c r="F5" s="45"/>
      <c r="G5" s="21"/>
      <c r="H5" s="21"/>
      <c r="I5" s="35"/>
      <c r="J5" s="68"/>
      <c r="K5" s="40"/>
      <c r="L5" s="53"/>
      <c r="M5" s="53"/>
      <c r="N5" s="53"/>
      <c r="O5" s="34"/>
      <c r="P5" s="34"/>
      <c r="Q5" s="11"/>
      <c r="R5" s="11"/>
      <c r="S5" s="11"/>
    </row>
    <row r="6" spans="1:19" ht="15.75" thickBot="1" x14ac:dyDescent="0.3">
      <c r="A6" s="13"/>
      <c r="B6" s="33"/>
      <c r="C6" s="21"/>
      <c r="D6" s="21"/>
      <c r="E6" s="45"/>
      <c r="F6" s="45"/>
      <c r="G6" s="21"/>
      <c r="H6" s="21"/>
      <c r="I6" s="35"/>
      <c r="J6" s="68"/>
      <c r="K6" s="40"/>
      <c r="L6" s="53"/>
      <c r="M6" s="53"/>
      <c r="N6" s="53"/>
      <c r="O6" s="34"/>
      <c r="P6" s="34"/>
      <c r="Q6" s="11"/>
      <c r="R6" s="11"/>
      <c r="S6" s="11"/>
    </row>
    <row r="7" spans="1:19" ht="15.75" thickBot="1" x14ac:dyDescent="0.3">
      <c r="A7" s="13"/>
      <c r="B7" s="33"/>
      <c r="C7" s="21"/>
      <c r="D7" s="21"/>
      <c r="E7" s="45"/>
      <c r="F7" s="45"/>
      <c r="G7" s="21"/>
      <c r="H7" s="21"/>
      <c r="I7" s="35"/>
      <c r="J7" s="68"/>
      <c r="K7" s="40"/>
      <c r="L7" s="53"/>
      <c r="M7" s="53"/>
      <c r="N7" s="53"/>
      <c r="O7" s="34"/>
      <c r="P7" s="34"/>
      <c r="Q7" s="11"/>
      <c r="R7" s="11"/>
      <c r="S7" s="11"/>
    </row>
    <row r="8" spans="1:19" ht="15.75" thickBot="1" x14ac:dyDescent="0.3">
      <c r="A8" s="6"/>
      <c r="B8" s="33"/>
      <c r="C8" s="21"/>
      <c r="D8" s="21"/>
      <c r="E8" s="45"/>
      <c r="F8" s="45"/>
      <c r="G8" s="21"/>
      <c r="H8" s="21"/>
      <c r="I8" s="35"/>
      <c r="J8" s="68"/>
      <c r="K8" s="40"/>
      <c r="L8" s="53"/>
      <c r="M8" s="53"/>
      <c r="N8" s="53"/>
      <c r="O8" s="34"/>
      <c r="P8" s="34"/>
      <c r="Q8" s="11"/>
      <c r="R8" s="11"/>
      <c r="S8" s="11"/>
    </row>
    <row r="9" spans="1:19" ht="15.75" thickBot="1" x14ac:dyDescent="0.3">
      <c r="A9" s="6"/>
      <c r="B9" s="33"/>
      <c r="C9" s="21"/>
      <c r="D9" s="21"/>
      <c r="E9" s="45"/>
      <c r="F9" s="45"/>
      <c r="G9" s="21"/>
      <c r="H9" s="21"/>
      <c r="I9" s="35"/>
      <c r="J9" s="68"/>
      <c r="K9" s="40"/>
      <c r="L9" s="53"/>
      <c r="M9" s="53"/>
      <c r="N9" s="53"/>
      <c r="O9" s="34"/>
      <c r="P9" s="34"/>
      <c r="Q9" s="11"/>
      <c r="R9" s="11"/>
      <c r="S9" s="11"/>
    </row>
    <row r="10" spans="1:19" ht="15.75" thickBot="1" x14ac:dyDescent="0.3">
      <c r="A10" s="13"/>
      <c r="B10" s="33"/>
      <c r="C10" s="21"/>
      <c r="D10" s="21"/>
      <c r="E10" s="45"/>
      <c r="F10" s="45"/>
      <c r="G10" s="21"/>
      <c r="H10" s="21"/>
      <c r="I10" s="35"/>
      <c r="J10" s="68"/>
      <c r="K10" s="40"/>
      <c r="L10" s="53"/>
      <c r="M10" s="53"/>
      <c r="N10" s="53"/>
      <c r="O10" s="34"/>
      <c r="P10" s="34"/>
      <c r="Q10" s="11"/>
      <c r="R10" s="11"/>
      <c r="S10" s="11"/>
    </row>
    <row r="11" spans="1:19" ht="15.75" thickBot="1" x14ac:dyDescent="0.3">
      <c r="A11" s="13"/>
      <c r="B11" s="33"/>
      <c r="C11" s="21"/>
      <c r="D11" s="21"/>
      <c r="E11" s="45"/>
      <c r="F11" s="45"/>
      <c r="G11" s="21"/>
      <c r="H11" s="21"/>
      <c r="I11" s="35"/>
      <c r="J11" s="68"/>
      <c r="K11" s="40"/>
      <c r="L11" s="53"/>
      <c r="M11" s="53"/>
      <c r="N11" s="53"/>
      <c r="O11" s="34"/>
      <c r="P11" s="34"/>
      <c r="Q11" s="11"/>
      <c r="R11" s="11"/>
      <c r="S11" s="11"/>
    </row>
    <row r="12" spans="1:19" ht="15.75" thickBot="1" x14ac:dyDescent="0.3">
      <c r="A12" s="6"/>
      <c r="B12" s="33"/>
      <c r="C12" s="21"/>
      <c r="D12" s="21"/>
      <c r="E12" s="45"/>
      <c r="F12" s="45"/>
      <c r="G12" s="21"/>
      <c r="H12" s="21"/>
      <c r="I12" s="35"/>
      <c r="J12" s="68"/>
      <c r="K12" s="40"/>
      <c r="L12" s="53"/>
      <c r="M12" s="53"/>
      <c r="N12" s="53"/>
      <c r="O12" s="34"/>
      <c r="P12" s="34"/>
      <c r="Q12" s="11"/>
      <c r="R12" s="11"/>
      <c r="S12" s="11"/>
    </row>
    <row r="13" spans="1:19" ht="15.75" thickBot="1" x14ac:dyDescent="0.3">
      <c r="A13" s="6"/>
      <c r="B13" s="33"/>
      <c r="C13" s="21"/>
      <c r="D13" s="21"/>
      <c r="E13" s="45"/>
      <c r="F13" s="45"/>
      <c r="G13" s="21"/>
      <c r="H13" s="21"/>
      <c r="I13" s="35"/>
      <c r="J13" s="68"/>
      <c r="K13" s="40"/>
      <c r="L13" s="53"/>
      <c r="M13" s="53"/>
      <c r="N13" s="53"/>
      <c r="O13" s="34"/>
      <c r="P13" s="34"/>
      <c r="Q13" s="11"/>
      <c r="R13" s="11"/>
      <c r="S13" s="11"/>
    </row>
    <row r="14" spans="1:19" ht="15.75" thickBot="1" x14ac:dyDescent="0.3">
      <c r="A14" s="6"/>
      <c r="B14" s="33"/>
      <c r="C14" s="21"/>
      <c r="D14" s="21"/>
      <c r="E14" s="45"/>
      <c r="F14" s="45"/>
      <c r="G14" s="21"/>
      <c r="H14" s="21"/>
      <c r="I14" s="35"/>
      <c r="J14" s="68"/>
      <c r="K14" s="40"/>
      <c r="L14" s="53"/>
      <c r="M14" s="53"/>
      <c r="N14" s="53"/>
      <c r="O14" s="34"/>
      <c r="P14" s="34"/>
      <c r="Q14" s="11"/>
      <c r="R14" s="11"/>
      <c r="S14" s="11"/>
    </row>
    <row r="15" spans="1:19" ht="15.75" thickBot="1" x14ac:dyDescent="0.3">
      <c r="A15" s="13"/>
      <c r="B15" s="33"/>
      <c r="C15" s="21"/>
      <c r="D15" s="21"/>
      <c r="E15" s="45"/>
      <c r="F15" s="45"/>
      <c r="G15" s="21"/>
      <c r="H15" s="21"/>
      <c r="I15" s="35"/>
      <c r="J15" s="68"/>
      <c r="K15" s="40"/>
      <c r="L15" s="12"/>
      <c r="M15" s="12"/>
      <c r="N15" s="12"/>
      <c r="O15" s="34"/>
      <c r="P15" s="34"/>
      <c r="Q15" s="11"/>
      <c r="R15" s="11"/>
      <c r="S15" s="11"/>
    </row>
    <row r="16" spans="1:19" ht="15.75" thickBot="1" x14ac:dyDescent="0.3">
      <c r="A16" s="6"/>
      <c r="B16" s="33"/>
      <c r="C16" s="21"/>
      <c r="D16" s="21"/>
      <c r="E16" s="45"/>
      <c r="F16" s="45"/>
      <c r="G16" s="21"/>
      <c r="H16" s="21"/>
      <c r="I16" s="35"/>
      <c r="J16" s="68"/>
      <c r="K16" s="40"/>
      <c r="L16" s="12"/>
      <c r="M16" s="12"/>
      <c r="N16" s="12"/>
      <c r="O16" s="9"/>
      <c r="P16" s="9"/>
      <c r="Q16" s="11"/>
      <c r="R16" s="11"/>
      <c r="S16" s="11"/>
    </row>
    <row r="17" spans="1:19" ht="15.75" thickBot="1" x14ac:dyDescent="0.3">
      <c r="A17" s="6"/>
      <c r="B17" s="33"/>
      <c r="C17" s="21"/>
      <c r="D17" s="21"/>
      <c r="E17" s="45"/>
      <c r="F17" s="45"/>
      <c r="G17" s="21"/>
      <c r="H17" s="21"/>
      <c r="I17" s="35"/>
      <c r="J17" s="40"/>
      <c r="K17" s="40"/>
      <c r="L17" s="12"/>
      <c r="M17" s="12"/>
      <c r="N17" s="12"/>
      <c r="O17" s="9"/>
      <c r="P17" s="9"/>
      <c r="Q17" s="11"/>
      <c r="R17" s="11"/>
      <c r="S17" s="11"/>
    </row>
    <row r="18" spans="1:19" ht="15.75" thickBot="1" x14ac:dyDescent="0.3">
      <c r="A18" s="6"/>
      <c r="B18" s="33"/>
      <c r="C18" s="21"/>
      <c r="D18" s="21"/>
      <c r="E18" s="44"/>
      <c r="F18" s="44"/>
      <c r="G18" s="21"/>
      <c r="H18" s="21"/>
      <c r="I18" s="35"/>
      <c r="J18" s="40"/>
      <c r="K18" s="40"/>
      <c r="L18" s="12"/>
      <c r="M18" s="12"/>
      <c r="N18" s="12"/>
      <c r="O18" s="9"/>
      <c r="P18" s="9"/>
      <c r="Q18" s="11"/>
      <c r="R18" s="11"/>
      <c r="S18" s="11"/>
    </row>
    <row r="19" spans="1:19" ht="15.75" thickBot="1" x14ac:dyDescent="0.3">
      <c r="A19" s="13"/>
      <c r="B19" s="33"/>
      <c r="C19" s="21"/>
      <c r="D19" s="21"/>
      <c r="E19" s="44"/>
      <c r="F19" s="44"/>
      <c r="G19" s="21"/>
      <c r="H19" s="21"/>
      <c r="I19" s="35"/>
      <c r="J19" s="40"/>
      <c r="K19" s="40"/>
      <c r="L19" s="12"/>
      <c r="M19" s="12"/>
      <c r="N19" s="12"/>
      <c r="O19" s="9"/>
      <c r="P19" s="9"/>
      <c r="Q19" s="11"/>
      <c r="R19" s="11"/>
      <c r="S19" s="11"/>
    </row>
    <row r="20" spans="1:19" ht="15.75" thickBot="1" x14ac:dyDescent="0.3">
      <c r="A20" s="13"/>
      <c r="B20" s="33"/>
      <c r="C20" s="21"/>
      <c r="D20" s="21"/>
      <c r="E20" s="44"/>
      <c r="F20" s="44"/>
      <c r="G20" s="21"/>
      <c r="H20" s="21"/>
      <c r="I20" s="35"/>
      <c r="J20" s="40"/>
      <c r="K20" s="40"/>
      <c r="L20" s="12"/>
      <c r="M20" s="12"/>
      <c r="N20" s="12"/>
      <c r="O20" s="9"/>
      <c r="P20" s="9"/>
      <c r="Q20" s="11"/>
      <c r="R20" s="11"/>
      <c r="S20" s="11"/>
    </row>
    <row r="21" spans="1:19" ht="15.75" thickBot="1" x14ac:dyDescent="0.3">
      <c r="A21" s="6"/>
      <c r="B21" s="33"/>
      <c r="C21" s="21"/>
      <c r="D21" s="21"/>
      <c r="E21" s="44"/>
      <c r="F21" s="44"/>
      <c r="G21" s="21"/>
      <c r="H21" s="21"/>
      <c r="I21" s="6"/>
      <c r="J21" s="69"/>
      <c r="K21" s="69"/>
      <c r="L21" s="12"/>
      <c r="M21" s="12"/>
      <c r="N21" s="12"/>
      <c r="O21" s="9"/>
      <c r="P21" s="9"/>
      <c r="Q21" s="11"/>
      <c r="R21" s="11"/>
      <c r="S21" s="11"/>
    </row>
    <row r="22" spans="1:19" ht="15.75" thickBot="1" x14ac:dyDescent="0.3">
      <c r="A22" s="6"/>
      <c r="B22" s="33"/>
      <c r="C22" s="21"/>
      <c r="D22" s="21"/>
      <c r="E22" s="44"/>
      <c r="F22" s="44"/>
      <c r="G22" s="21"/>
      <c r="H22" s="21"/>
      <c r="I22" s="6"/>
      <c r="J22" s="69"/>
      <c r="K22" s="69"/>
      <c r="L22" s="12"/>
      <c r="M22" s="12"/>
      <c r="N22" s="12"/>
      <c r="O22" s="9"/>
      <c r="P22" s="9"/>
      <c r="Q22" s="11"/>
      <c r="R22" s="11"/>
      <c r="S22" s="11"/>
    </row>
    <row r="23" spans="1:19" ht="15.75" thickBot="1" x14ac:dyDescent="0.3">
      <c r="A23" s="13"/>
      <c r="B23" s="33"/>
      <c r="C23" s="21"/>
      <c r="D23" s="21"/>
      <c r="E23" s="44"/>
      <c r="F23" s="44"/>
      <c r="G23" s="21"/>
      <c r="H23" s="21"/>
      <c r="I23" s="6"/>
      <c r="J23" s="69"/>
      <c r="K23" s="69"/>
      <c r="L23" s="12"/>
      <c r="M23" s="12"/>
      <c r="N23" s="12"/>
      <c r="O23" s="9"/>
      <c r="P23" s="9"/>
      <c r="Q23" s="11"/>
      <c r="R23" s="11"/>
      <c r="S23" s="11"/>
    </row>
    <row r="24" spans="1:19" ht="15.75" thickBot="1" x14ac:dyDescent="0.3">
      <c r="A24" s="6"/>
      <c r="B24" s="33"/>
      <c r="C24" s="21"/>
      <c r="D24" s="21"/>
      <c r="E24" s="44"/>
      <c r="F24" s="44"/>
      <c r="G24" s="21"/>
      <c r="H24" s="21"/>
      <c r="I24" s="6"/>
      <c r="J24" s="69"/>
      <c r="K24" s="69"/>
      <c r="L24" s="12"/>
      <c r="M24" s="12"/>
      <c r="N24" s="12"/>
      <c r="O24" s="9"/>
      <c r="P24" s="9"/>
      <c r="Q24" s="11"/>
      <c r="R24" s="11"/>
      <c r="S24" s="11"/>
    </row>
    <row r="25" spans="1:19" ht="15.75" thickBot="1" x14ac:dyDescent="0.3">
      <c r="A25" s="6"/>
      <c r="B25" s="33"/>
      <c r="C25" s="21"/>
      <c r="D25" s="21"/>
      <c r="E25" s="44"/>
      <c r="F25" s="44"/>
      <c r="G25" s="21"/>
      <c r="H25" s="21"/>
      <c r="I25" s="6"/>
      <c r="J25" s="54"/>
      <c r="K25" s="54"/>
      <c r="L25" s="12"/>
      <c r="M25" s="12"/>
      <c r="N25" s="12"/>
      <c r="O25" s="9"/>
      <c r="P25" s="9"/>
      <c r="Q25" s="11"/>
      <c r="R25" s="11"/>
      <c r="S25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C9F5-C1BD-4677-9AD0-962EE7EA4521}">
  <dimension ref="A1:S25"/>
  <sheetViews>
    <sheetView topLeftCell="A7" workbookViewId="0">
      <selection activeCell="O39" sqref="O39"/>
    </sheetView>
  </sheetViews>
  <sheetFormatPr defaultRowHeight="15" x14ac:dyDescent="0.25"/>
  <sheetData>
    <row r="1" spans="1:19" ht="64.5" thickBot="1" x14ac:dyDescent="0.3">
      <c r="A1" s="27" t="s">
        <v>0</v>
      </c>
      <c r="B1" s="27" t="s">
        <v>1</v>
      </c>
      <c r="C1" s="41" t="s">
        <v>30</v>
      </c>
      <c r="D1" s="41" t="s">
        <v>40</v>
      </c>
      <c r="E1" s="41" t="s">
        <v>10</v>
      </c>
      <c r="F1" s="41" t="s">
        <v>11</v>
      </c>
      <c r="G1" s="41" t="s">
        <v>12</v>
      </c>
      <c r="H1" s="41" t="s">
        <v>13</v>
      </c>
      <c r="I1" s="29" t="s">
        <v>32</v>
      </c>
      <c r="J1" s="66" t="s">
        <v>41</v>
      </c>
      <c r="K1" s="67" t="s">
        <v>42</v>
      </c>
      <c r="L1" s="52" t="s">
        <v>35</v>
      </c>
      <c r="M1" s="52" t="s">
        <v>36</v>
      </c>
      <c r="N1" s="52" t="s">
        <v>37</v>
      </c>
      <c r="O1" s="28" t="s">
        <v>38</v>
      </c>
      <c r="P1" s="28" t="s">
        <v>39</v>
      </c>
      <c r="Q1" s="32" t="s">
        <v>43</v>
      </c>
      <c r="R1" s="32" t="s">
        <v>44</v>
      </c>
      <c r="S1" s="32" t="s">
        <v>27</v>
      </c>
    </row>
    <row r="2" spans="1:19" ht="15.75" thickBot="1" x14ac:dyDescent="0.3">
      <c r="A2" s="13"/>
      <c r="B2" s="33"/>
      <c r="C2" s="21"/>
      <c r="D2" s="21"/>
      <c r="E2" s="45"/>
      <c r="F2" s="45"/>
      <c r="G2" s="21"/>
      <c r="H2" s="21"/>
      <c r="I2" s="35"/>
      <c r="J2" s="68"/>
      <c r="K2" s="40"/>
      <c r="L2" s="53"/>
      <c r="M2" s="53"/>
      <c r="N2" s="53"/>
      <c r="O2" s="34"/>
      <c r="P2" s="34"/>
      <c r="Q2" s="11"/>
      <c r="R2" s="11"/>
      <c r="S2" s="11"/>
    </row>
    <row r="3" spans="1:19" ht="15.75" thickBot="1" x14ac:dyDescent="0.3">
      <c r="A3" s="6"/>
      <c r="B3" s="33"/>
      <c r="C3" s="21"/>
      <c r="D3" s="21"/>
      <c r="E3" s="45"/>
      <c r="F3" s="45"/>
      <c r="G3" s="21"/>
      <c r="H3" s="21"/>
      <c r="I3" s="35"/>
      <c r="J3" s="68"/>
      <c r="K3" s="40"/>
      <c r="L3" s="53"/>
      <c r="M3" s="53"/>
      <c r="N3" s="53"/>
      <c r="O3" s="34"/>
      <c r="P3" s="34"/>
      <c r="Q3" s="11"/>
      <c r="R3" s="11"/>
      <c r="S3" s="11"/>
    </row>
    <row r="4" spans="1:19" ht="15.75" thickBot="1" x14ac:dyDescent="0.3">
      <c r="A4" s="6"/>
      <c r="B4" s="33"/>
      <c r="C4" s="21"/>
      <c r="D4" s="21"/>
      <c r="E4" s="45"/>
      <c r="F4" s="45"/>
      <c r="G4" s="21"/>
      <c r="H4" s="21"/>
      <c r="I4" s="35"/>
      <c r="J4" s="68"/>
      <c r="K4" s="40"/>
      <c r="L4" s="53"/>
      <c r="M4" s="53"/>
      <c r="N4" s="53"/>
      <c r="O4" s="34"/>
      <c r="P4" s="34"/>
      <c r="Q4" s="11"/>
      <c r="R4" s="11"/>
      <c r="S4" s="11"/>
    </row>
    <row r="5" spans="1:19" ht="15.75" thickBot="1" x14ac:dyDescent="0.3">
      <c r="A5" s="6"/>
      <c r="B5" s="33"/>
      <c r="C5" s="21"/>
      <c r="D5" s="21"/>
      <c r="E5" s="45"/>
      <c r="F5" s="45"/>
      <c r="G5" s="21"/>
      <c r="H5" s="21"/>
      <c r="I5" s="35"/>
      <c r="J5" s="68"/>
      <c r="K5" s="40"/>
      <c r="L5" s="53"/>
      <c r="M5" s="53"/>
      <c r="N5" s="53"/>
      <c r="O5" s="34"/>
      <c r="P5" s="34"/>
      <c r="Q5" s="11"/>
      <c r="R5" s="11"/>
      <c r="S5" s="11"/>
    </row>
    <row r="6" spans="1:19" ht="15.75" thickBot="1" x14ac:dyDescent="0.3">
      <c r="A6" s="13"/>
      <c r="B6" s="33"/>
      <c r="C6" s="21"/>
      <c r="D6" s="21"/>
      <c r="E6" s="45"/>
      <c r="F6" s="45"/>
      <c r="G6" s="21"/>
      <c r="H6" s="21"/>
      <c r="I6" s="35"/>
      <c r="J6" s="68"/>
      <c r="K6" s="40"/>
      <c r="L6" s="53"/>
      <c r="M6" s="53"/>
      <c r="N6" s="53"/>
      <c r="O6" s="34"/>
      <c r="P6" s="34"/>
      <c r="Q6" s="11"/>
      <c r="R6" s="11"/>
      <c r="S6" s="11"/>
    </row>
    <row r="7" spans="1:19" ht="15.75" thickBot="1" x14ac:dyDescent="0.3">
      <c r="A7" s="13"/>
      <c r="B7" s="33"/>
      <c r="C7" s="21"/>
      <c r="D7" s="21"/>
      <c r="E7" s="45"/>
      <c r="F7" s="45"/>
      <c r="G7" s="21"/>
      <c r="H7" s="21"/>
      <c r="I7" s="35"/>
      <c r="J7" s="68"/>
      <c r="K7" s="40"/>
      <c r="L7" s="53"/>
      <c r="M7" s="53"/>
      <c r="N7" s="53"/>
      <c r="O7" s="34"/>
      <c r="P7" s="34"/>
      <c r="Q7" s="11"/>
      <c r="R7" s="11"/>
      <c r="S7" s="11"/>
    </row>
    <row r="8" spans="1:19" ht="15.75" thickBot="1" x14ac:dyDescent="0.3">
      <c r="A8" s="6"/>
      <c r="B8" s="33"/>
      <c r="C8" s="21"/>
      <c r="D8" s="21"/>
      <c r="E8" s="45"/>
      <c r="F8" s="45"/>
      <c r="G8" s="21"/>
      <c r="H8" s="21"/>
      <c r="I8" s="35"/>
      <c r="J8" s="68"/>
      <c r="K8" s="40"/>
      <c r="L8" s="53"/>
      <c r="M8" s="53"/>
      <c r="N8" s="53"/>
      <c r="O8" s="34"/>
      <c r="P8" s="34"/>
      <c r="Q8" s="11"/>
      <c r="R8" s="11"/>
      <c r="S8" s="11"/>
    </row>
    <row r="9" spans="1:19" ht="15.75" thickBot="1" x14ac:dyDescent="0.3">
      <c r="A9" s="6"/>
      <c r="B9" s="33"/>
      <c r="C9" s="21"/>
      <c r="D9" s="21"/>
      <c r="E9" s="45"/>
      <c r="F9" s="45"/>
      <c r="G9" s="21"/>
      <c r="H9" s="21"/>
      <c r="I9" s="35"/>
      <c r="J9" s="68"/>
      <c r="K9" s="40"/>
      <c r="L9" s="53"/>
      <c r="M9" s="53"/>
      <c r="N9" s="53"/>
      <c r="O9" s="34"/>
      <c r="P9" s="34"/>
      <c r="Q9" s="11"/>
      <c r="R9" s="11"/>
      <c r="S9" s="11"/>
    </row>
    <row r="10" spans="1:19" ht="15.75" thickBot="1" x14ac:dyDescent="0.3">
      <c r="A10" s="13"/>
      <c r="B10" s="33"/>
      <c r="C10" s="21"/>
      <c r="D10" s="21"/>
      <c r="E10" s="45"/>
      <c r="F10" s="45"/>
      <c r="G10" s="21"/>
      <c r="H10" s="21"/>
      <c r="I10" s="35"/>
      <c r="J10" s="68"/>
      <c r="K10" s="40"/>
      <c r="L10" s="53"/>
      <c r="M10" s="53"/>
      <c r="N10" s="53"/>
      <c r="O10" s="34"/>
      <c r="P10" s="34"/>
      <c r="Q10" s="11"/>
      <c r="R10" s="11"/>
      <c r="S10" s="11"/>
    </row>
    <row r="11" spans="1:19" ht="15.75" thickBot="1" x14ac:dyDescent="0.3">
      <c r="A11" s="13"/>
      <c r="B11" s="33"/>
      <c r="C11" s="21"/>
      <c r="D11" s="21"/>
      <c r="E11" s="45"/>
      <c r="F11" s="45"/>
      <c r="G11" s="21"/>
      <c r="H11" s="21"/>
      <c r="I11" s="35"/>
      <c r="J11" s="68"/>
      <c r="K11" s="40"/>
      <c r="L11" s="53"/>
      <c r="M11" s="53"/>
      <c r="N11" s="53"/>
      <c r="O11" s="34"/>
      <c r="P11" s="34"/>
      <c r="Q11" s="11"/>
      <c r="R11" s="11"/>
      <c r="S11" s="11"/>
    </row>
    <row r="12" spans="1:19" ht="15.75" thickBot="1" x14ac:dyDescent="0.3">
      <c r="A12" s="6"/>
      <c r="B12" s="33"/>
      <c r="C12" s="21"/>
      <c r="D12" s="21"/>
      <c r="E12" s="45"/>
      <c r="F12" s="45"/>
      <c r="G12" s="21"/>
      <c r="H12" s="21"/>
      <c r="I12" s="35"/>
      <c r="J12" s="68"/>
      <c r="K12" s="40"/>
      <c r="L12" s="53"/>
      <c r="M12" s="53"/>
      <c r="N12" s="53"/>
      <c r="O12" s="34"/>
      <c r="P12" s="34"/>
      <c r="Q12" s="11"/>
      <c r="R12" s="11"/>
      <c r="S12" s="11"/>
    </row>
    <row r="13" spans="1:19" ht="15.75" thickBot="1" x14ac:dyDescent="0.3">
      <c r="A13" s="6"/>
      <c r="B13" s="33"/>
      <c r="C13" s="21"/>
      <c r="D13" s="21"/>
      <c r="E13" s="45"/>
      <c r="F13" s="45"/>
      <c r="G13" s="21"/>
      <c r="H13" s="21"/>
      <c r="I13" s="35"/>
      <c r="J13" s="68"/>
      <c r="K13" s="40"/>
      <c r="L13" s="53"/>
      <c r="M13" s="53"/>
      <c r="N13" s="53"/>
      <c r="O13" s="34"/>
      <c r="P13" s="34"/>
      <c r="Q13" s="11"/>
      <c r="R13" s="11"/>
      <c r="S13" s="11"/>
    </row>
    <row r="14" spans="1:19" ht="15.75" thickBot="1" x14ac:dyDescent="0.3">
      <c r="A14" s="6"/>
      <c r="B14" s="33"/>
      <c r="C14" s="21"/>
      <c r="D14" s="21"/>
      <c r="E14" s="45"/>
      <c r="F14" s="45"/>
      <c r="G14" s="21"/>
      <c r="H14" s="21"/>
      <c r="I14" s="35"/>
      <c r="J14" s="68"/>
      <c r="K14" s="40"/>
      <c r="L14" s="53"/>
      <c r="M14" s="53"/>
      <c r="N14" s="53"/>
      <c r="O14" s="34"/>
      <c r="P14" s="34"/>
      <c r="Q14" s="11"/>
      <c r="R14" s="11"/>
      <c r="S14" s="11"/>
    </row>
    <row r="15" spans="1:19" ht="15.75" thickBot="1" x14ac:dyDescent="0.3">
      <c r="A15" s="13"/>
      <c r="B15" s="33"/>
      <c r="C15" s="21"/>
      <c r="D15" s="21"/>
      <c r="E15" s="45"/>
      <c r="F15" s="45"/>
      <c r="G15" s="21"/>
      <c r="H15" s="21"/>
      <c r="I15" s="35"/>
      <c r="J15" s="68"/>
      <c r="K15" s="40"/>
      <c r="L15" s="12"/>
      <c r="M15" s="12"/>
      <c r="N15" s="12"/>
      <c r="O15" s="34"/>
      <c r="P15" s="34"/>
      <c r="Q15" s="11"/>
      <c r="R15" s="11"/>
      <c r="S15" s="11"/>
    </row>
    <row r="16" spans="1:19" ht="15.75" thickBot="1" x14ac:dyDescent="0.3">
      <c r="A16" s="6"/>
      <c r="B16" s="33"/>
      <c r="C16" s="21"/>
      <c r="D16" s="21"/>
      <c r="E16" s="45"/>
      <c r="F16" s="45"/>
      <c r="G16" s="21"/>
      <c r="H16" s="21"/>
      <c r="I16" s="35"/>
      <c r="J16" s="68"/>
      <c r="K16" s="40"/>
      <c r="L16" s="12"/>
      <c r="M16" s="12"/>
      <c r="N16" s="12"/>
      <c r="O16" s="9"/>
      <c r="P16" s="9"/>
      <c r="Q16" s="11"/>
      <c r="R16" s="11"/>
      <c r="S16" s="11"/>
    </row>
    <row r="17" spans="1:19" ht="15.75" thickBot="1" x14ac:dyDescent="0.3">
      <c r="A17" s="6"/>
      <c r="B17" s="33"/>
      <c r="C17" s="21"/>
      <c r="D17" s="21"/>
      <c r="E17" s="45"/>
      <c r="F17" s="45"/>
      <c r="G17" s="21"/>
      <c r="H17" s="21"/>
      <c r="I17" s="35"/>
      <c r="J17" s="40"/>
      <c r="K17" s="40"/>
      <c r="L17" s="12"/>
      <c r="M17" s="12"/>
      <c r="N17" s="12"/>
      <c r="O17" s="9"/>
      <c r="P17" s="9"/>
      <c r="Q17" s="11"/>
      <c r="R17" s="11"/>
      <c r="S17" s="11"/>
    </row>
    <row r="18" spans="1:19" ht="15.75" thickBot="1" x14ac:dyDescent="0.3">
      <c r="A18" s="6"/>
      <c r="B18" s="33"/>
      <c r="C18" s="21"/>
      <c r="D18" s="21"/>
      <c r="E18" s="44"/>
      <c r="F18" s="44"/>
      <c r="G18" s="21"/>
      <c r="H18" s="21"/>
      <c r="I18" s="35"/>
      <c r="J18" s="40"/>
      <c r="K18" s="40"/>
      <c r="L18" s="12"/>
      <c r="M18" s="12"/>
      <c r="N18" s="12"/>
      <c r="O18" s="9"/>
      <c r="P18" s="9"/>
      <c r="Q18" s="11"/>
      <c r="R18" s="11"/>
      <c r="S18" s="11"/>
    </row>
    <row r="19" spans="1:19" ht="15.75" thickBot="1" x14ac:dyDescent="0.3">
      <c r="A19" s="13"/>
      <c r="B19" s="33"/>
      <c r="C19" s="21"/>
      <c r="D19" s="21"/>
      <c r="E19" s="44"/>
      <c r="F19" s="44"/>
      <c r="G19" s="21"/>
      <c r="H19" s="21"/>
      <c r="I19" s="35"/>
      <c r="J19" s="40"/>
      <c r="K19" s="40"/>
      <c r="L19" s="12"/>
      <c r="M19" s="12"/>
      <c r="N19" s="12"/>
      <c r="O19" s="9"/>
      <c r="P19" s="9"/>
      <c r="Q19" s="11"/>
      <c r="R19" s="11"/>
      <c r="S19" s="11"/>
    </row>
    <row r="20" spans="1:19" ht="15.75" thickBot="1" x14ac:dyDescent="0.3">
      <c r="A20" s="13"/>
      <c r="B20" s="33"/>
      <c r="C20" s="21"/>
      <c r="D20" s="21"/>
      <c r="E20" s="44"/>
      <c r="F20" s="44"/>
      <c r="G20" s="21"/>
      <c r="H20" s="21"/>
      <c r="I20" s="35"/>
      <c r="J20" s="40"/>
      <c r="K20" s="40"/>
      <c r="L20" s="12"/>
      <c r="M20" s="12"/>
      <c r="N20" s="12"/>
      <c r="O20" s="9"/>
      <c r="P20" s="9"/>
      <c r="Q20" s="11"/>
      <c r="R20" s="11"/>
      <c r="S20" s="11"/>
    </row>
    <row r="21" spans="1:19" ht="15.75" thickBot="1" x14ac:dyDescent="0.3">
      <c r="A21" s="6"/>
      <c r="B21" s="33"/>
      <c r="C21" s="21"/>
      <c r="D21" s="21"/>
      <c r="E21" s="44"/>
      <c r="F21" s="44"/>
      <c r="G21" s="21"/>
      <c r="H21" s="21"/>
      <c r="I21" s="6"/>
      <c r="J21" s="69"/>
      <c r="K21" s="69"/>
      <c r="L21" s="12"/>
      <c r="M21" s="12"/>
      <c r="N21" s="12"/>
      <c r="O21" s="9"/>
      <c r="P21" s="9"/>
      <c r="Q21" s="11"/>
      <c r="R21" s="11"/>
      <c r="S21" s="11"/>
    </row>
    <row r="22" spans="1:19" ht="15.75" thickBot="1" x14ac:dyDescent="0.3">
      <c r="A22" s="6"/>
      <c r="B22" s="33"/>
      <c r="C22" s="21"/>
      <c r="D22" s="21"/>
      <c r="E22" s="44"/>
      <c r="F22" s="44"/>
      <c r="G22" s="21"/>
      <c r="H22" s="21"/>
      <c r="I22" s="6"/>
      <c r="J22" s="69"/>
      <c r="K22" s="69"/>
      <c r="L22" s="12"/>
      <c r="M22" s="12"/>
      <c r="N22" s="12"/>
      <c r="O22" s="9"/>
      <c r="P22" s="9"/>
      <c r="Q22" s="11"/>
      <c r="R22" s="11"/>
      <c r="S22" s="11"/>
    </row>
    <row r="23" spans="1:19" ht="15.75" thickBot="1" x14ac:dyDescent="0.3">
      <c r="A23" s="13"/>
      <c r="B23" s="33"/>
      <c r="C23" s="21"/>
      <c r="D23" s="21"/>
      <c r="E23" s="44"/>
      <c r="F23" s="44"/>
      <c r="G23" s="21"/>
      <c r="H23" s="21"/>
      <c r="I23" s="6"/>
      <c r="J23" s="69"/>
      <c r="K23" s="69"/>
      <c r="L23" s="12"/>
      <c r="M23" s="12"/>
      <c r="N23" s="12"/>
      <c r="O23" s="9"/>
      <c r="P23" s="9"/>
      <c r="Q23" s="11"/>
      <c r="R23" s="11"/>
      <c r="S23" s="11"/>
    </row>
    <row r="24" spans="1:19" ht="15.75" thickBot="1" x14ac:dyDescent="0.3">
      <c r="A24" s="6"/>
      <c r="B24" s="33"/>
      <c r="C24" s="21"/>
      <c r="D24" s="21"/>
      <c r="E24" s="44"/>
      <c r="F24" s="44"/>
      <c r="G24" s="21"/>
      <c r="H24" s="21"/>
      <c r="I24" s="6"/>
      <c r="J24" s="69"/>
      <c r="K24" s="69"/>
      <c r="L24" s="12"/>
      <c r="M24" s="12"/>
      <c r="N24" s="12"/>
      <c r="O24" s="9"/>
      <c r="P24" s="9"/>
      <c r="Q24" s="11"/>
      <c r="R24" s="11"/>
      <c r="S24" s="11"/>
    </row>
    <row r="25" spans="1:19" ht="15.75" thickBot="1" x14ac:dyDescent="0.3">
      <c r="A25" s="6"/>
      <c r="B25" s="33"/>
      <c r="C25" s="21"/>
      <c r="D25" s="21"/>
      <c r="E25" s="44"/>
      <c r="F25" s="44"/>
      <c r="G25" s="21"/>
      <c r="H25" s="21"/>
      <c r="I25" s="6"/>
      <c r="J25" s="69"/>
      <c r="K25" s="69"/>
      <c r="L25" s="12"/>
      <c r="M25" s="12"/>
      <c r="N25" s="12"/>
      <c r="O25" s="9"/>
      <c r="P25" s="9"/>
      <c r="Q25" s="11"/>
      <c r="R25" s="11"/>
      <c r="S2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B119-DB37-462E-9E53-FA8AACA6910A}">
  <dimension ref="A1:S25"/>
  <sheetViews>
    <sheetView workbookViewId="0">
      <selection activeCell="A2" sqref="A2"/>
    </sheetView>
  </sheetViews>
  <sheetFormatPr defaultRowHeight="15" x14ac:dyDescent="0.25"/>
  <sheetData>
    <row r="1" spans="1:19" ht="64.5" thickBot="1" x14ac:dyDescent="0.3">
      <c r="A1" s="27" t="s">
        <v>0</v>
      </c>
      <c r="B1" s="27" t="s">
        <v>1</v>
      </c>
      <c r="C1" s="41" t="s">
        <v>30</v>
      </c>
      <c r="D1" s="41" t="s">
        <v>40</v>
      </c>
      <c r="E1" s="41" t="s">
        <v>10</v>
      </c>
      <c r="F1" s="41" t="s">
        <v>11</v>
      </c>
      <c r="G1" s="41" t="s">
        <v>12</v>
      </c>
      <c r="H1" s="41" t="s">
        <v>13</v>
      </c>
      <c r="I1" s="29" t="s">
        <v>32</v>
      </c>
      <c r="J1" s="66" t="s">
        <v>41</v>
      </c>
      <c r="K1" s="67" t="s">
        <v>42</v>
      </c>
      <c r="L1" s="52" t="s">
        <v>35</v>
      </c>
      <c r="M1" s="52" t="s">
        <v>36</v>
      </c>
      <c r="N1" s="52" t="s">
        <v>37</v>
      </c>
      <c r="O1" s="28" t="s">
        <v>38</v>
      </c>
      <c r="P1" s="28" t="s">
        <v>39</v>
      </c>
      <c r="Q1" s="32" t="s">
        <v>43</v>
      </c>
      <c r="R1" s="32" t="s">
        <v>44</v>
      </c>
      <c r="S1" s="32" t="s">
        <v>27</v>
      </c>
    </row>
    <row r="2" spans="1:19" ht="15.75" thickBot="1" x14ac:dyDescent="0.3">
      <c r="A2" s="13"/>
      <c r="B2" s="33"/>
      <c r="C2" s="21"/>
      <c r="D2" s="21"/>
      <c r="E2" s="45"/>
      <c r="F2" s="45"/>
      <c r="G2" s="21"/>
      <c r="H2" s="21"/>
      <c r="I2" s="35"/>
      <c r="J2" s="68"/>
      <c r="K2" s="40"/>
      <c r="L2" s="53"/>
      <c r="M2" s="53"/>
      <c r="N2" s="53"/>
      <c r="O2" s="34"/>
      <c r="P2" s="34"/>
      <c r="Q2" s="11"/>
      <c r="R2" s="11"/>
      <c r="S2" s="11"/>
    </row>
    <row r="3" spans="1:19" ht="15.75" thickBot="1" x14ac:dyDescent="0.3">
      <c r="A3" s="6"/>
      <c r="B3" s="33"/>
      <c r="C3" s="21"/>
      <c r="D3" s="21"/>
      <c r="E3" s="45"/>
      <c r="F3" s="45"/>
      <c r="G3" s="21"/>
      <c r="H3" s="21"/>
      <c r="I3" s="35"/>
      <c r="J3" s="68"/>
      <c r="K3" s="40"/>
      <c r="L3" s="53"/>
      <c r="M3" s="53"/>
      <c r="N3" s="53"/>
      <c r="O3" s="34"/>
      <c r="P3" s="34"/>
      <c r="Q3" s="11"/>
      <c r="R3" s="11"/>
      <c r="S3" s="11"/>
    </row>
    <row r="4" spans="1:19" ht="15.75" thickBot="1" x14ac:dyDescent="0.3">
      <c r="A4" s="6"/>
      <c r="B4" s="33"/>
      <c r="C4" s="21"/>
      <c r="D4" s="21"/>
      <c r="E4" s="45"/>
      <c r="F4" s="45"/>
      <c r="G4" s="21"/>
      <c r="H4" s="21"/>
      <c r="I4" s="35"/>
      <c r="J4" s="68"/>
      <c r="K4" s="40"/>
      <c r="L4" s="53"/>
      <c r="M4" s="53"/>
      <c r="N4" s="53"/>
      <c r="O4" s="34"/>
      <c r="P4" s="34"/>
      <c r="Q4" s="11"/>
      <c r="R4" s="11"/>
      <c r="S4" s="11"/>
    </row>
    <row r="5" spans="1:19" ht="15.75" thickBot="1" x14ac:dyDescent="0.3">
      <c r="A5" s="6"/>
      <c r="B5" s="33"/>
      <c r="C5" s="21"/>
      <c r="D5" s="21"/>
      <c r="E5" s="45"/>
      <c r="F5" s="45"/>
      <c r="G5" s="21"/>
      <c r="H5" s="21"/>
      <c r="I5" s="35"/>
      <c r="J5" s="68"/>
      <c r="K5" s="40"/>
      <c r="L5" s="53"/>
      <c r="M5" s="53"/>
      <c r="N5" s="53"/>
      <c r="O5" s="34"/>
      <c r="P5" s="34"/>
      <c r="Q5" s="11"/>
      <c r="R5" s="11"/>
      <c r="S5" s="11"/>
    </row>
    <row r="6" spans="1:19" ht="15.75" thickBot="1" x14ac:dyDescent="0.3">
      <c r="A6" s="13"/>
      <c r="B6" s="33"/>
      <c r="C6" s="21"/>
      <c r="D6" s="21"/>
      <c r="E6" s="45"/>
      <c r="F6" s="45"/>
      <c r="G6" s="21"/>
      <c r="H6" s="21"/>
      <c r="I6" s="35"/>
      <c r="J6" s="68"/>
      <c r="K6" s="40"/>
      <c r="L6" s="53"/>
      <c r="M6" s="53"/>
      <c r="N6" s="53"/>
      <c r="O6" s="34"/>
      <c r="P6" s="34"/>
      <c r="Q6" s="11"/>
      <c r="R6" s="11"/>
      <c r="S6" s="11"/>
    </row>
    <row r="7" spans="1:19" ht="15.75" thickBot="1" x14ac:dyDescent="0.3">
      <c r="A7" s="13"/>
      <c r="B7" s="33"/>
      <c r="C7" s="21"/>
      <c r="D7" s="21"/>
      <c r="E7" s="45"/>
      <c r="F7" s="45"/>
      <c r="G7" s="21"/>
      <c r="H7" s="21"/>
      <c r="I7" s="35"/>
      <c r="J7" s="68"/>
      <c r="K7" s="40"/>
      <c r="L7" s="53"/>
      <c r="M7" s="53"/>
      <c r="N7" s="53"/>
      <c r="O7" s="34"/>
      <c r="P7" s="34"/>
      <c r="Q7" s="11"/>
      <c r="R7" s="11"/>
      <c r="S7" s="11"/>
    </row>
    <row r="8" spans="1:19" ht="15.75" thickBot="1" x14ac:dyDescent="0.3">
      <c r="A8" s="6"/>
      <c r="B8" s="33"/>
      <c r="C8" s="21"/>
      <c r="D8" s="21"/>
      <c r="E8" s="45"/>
      <c r="F8" s="45"/>
      <c r="G8" s="21"/>
      <c r="H8" s="21"/>
      <c r="I8" s="35"/>
      <c r="J8" s="68"/>
      <c r="K8" s="40"/>
      <c r="L8" s="53"/>
      <c r="M8" s="53"/>
      <c r="N8" s="53"/>
      <c r="O8" s="34"/>
      <c r="P8" s="34"/>
      <c r="Q8" s="11"/>
      <c r="R8" s="11"/>
      <c r="S8" s="11"/>
    </row>
    <row r="9" spans="1:19" ht="15.75" thickBot="1" x14ac:dyDescent="0.3">
      <c r="A9" s="6"/>
      <c r="B9" s="33"/>
      <c r="C9" s="21"/>
      <c r="D9" s="21"/>
      <c r="E9" s="45"/>
      <c r="F9" s="45"/>
      <c r="G9" s="21"/>
      <c r="H9" s="21"/>
      <c r="I9" s="35"/>
      <c r="J9" s="68"/>
      <c r="K9" s="40"/>
      <c r="L9" s="53"/>
      <c r="M9" s="53"/>
      <c r="N9" s="53"/>
      <c r="O9" s="34"/>
      <c r="P9" s="34"/>
      <c r="Q9" s="11"/>
      <c r="R9" s="11"/>
      <c r="S9" s="11"/>
    </row>
    <row r="10" spans="1:19" ht="15.75" thickBot="1" x14ac:dyDescent="0.3">
      <c r="A10" s="13"/>
      <c r="B10" s="33"/>
      <c r="C10" s="21"/>
      <c r="D10" s="21"/>
      <c r="E10" s="45"/>
      <c r="F10" s="45"/>
      <c r="G10" s="21"/>
      <c r="H10" s="21"/>
      <c r="I10" s="35"/>
      <c r="J10" s="68"/>
      <c r="K10" s="40"/>
      <c r="L10" s="53"/>
      <c r="M10" s="53"/>
      <c r="N10" s="53"/>
      <c r="O10" s="34"/>
      <c r="P10" s="34"/>
      <c r="Q10" s="11"/>
      <c r="R10" s="11"/>
      <c r="S10" s="11"/>
    </row>
    <row r="11" spans="1:19" ht="15.75" thickBot="1" x14ac:dyDescent="0.3">
      <c r="A11" s="13"/>
      <c r="B11" s="33"/>
      <c r="C11" s="21"/>
      <c r="D11" s="21"/>
      <c r="E11" s="45"/>
      <c r="F11" s="45"/>
      <c r="G11" s="21"/>
      <c r="H11" s="21"/>
      <c r="I11" s="35"/>
      <c r="J11" s="68"/>
      <c r="K11" s="40"/>
      <c r="L11" s="53"/>
      <c r="M11" s="53"/>
      <c r="N11" s="53"/>
      <c r="O11" s="34"/>
      <c r="P11" s="34"/>
      <c r="Q11" s="11"/>
      <c r="R11" s="11"/>
      <c r="S11" s="11"/>
    </row>
    <row r="12" spans="1:19" ht="15.75" thickBot="1" x14ac:dyDescent="0.3">
      <c r="A12" s="6"/>
      <c r="B12" s="33"/>
      <c r="C12" s="21"/>
      <c r="D12" s="21"/>
      <c r="E12" s="45"/>
      <c r="F12" s="45"/>
      <c r="G12" s="21"/>
      <c r="H12" s="21"/>
      <c r="I12" s="35"/>
      <c r="J12" s="68"/>
      <c r="K12" s="40"/>
      <c r="L12" s="53"/>
      <c r="M12" s="53"/>
      <c r="N12" s="53"/>
      <c r="O12" s="34"/>
      <c r="P12" s="34"/>
      <c r="Q12" s="11"/>
      <c r="R12" s="11"/>
      <c r="S12" s="11"/>
    </row>
    <row r="13" spans="1:19" ht="15.75" thickBot="1" x14ac:dyDescent="0.3">
      <c r="A13" s="6"/>
      <c r="B13" s="33"/>
      <c r="C13" s="21"/>
      <c r="D13" s="21"/>
      <c r="E13" s="45"/>
      <c r="F13" s="45"/>
      <c r="G13" s="21"/>
      <c r="H13" s="21"/>
      <c r="I13" s="35"/>
      <c r="J13" s="68"/>
      <c r="K13" s="40"/>
      <c r="L13" s="53"/>
      <c r="M13" s="53"/>
      <c r="N13" s="53"/>
      <c r="O13" s="34"/>
      <c r="P13" s="34"/>
      <c r="Q13" s="11"/>
      <c r="R13" s="11"/>
      <c r="S13" s="11"/>
    </row>
    <row r="14" spans="1:19" ht="15.75" thickBot="1" x14ac:dyDescent="0.3">
      <c r="A14" s="6"/>
      <c r="B14" s="33"/>
      <c r="C14" s="21"/>
      <c r="D14" s="21"/>
      <c r="E14" s="45"/>
      <c r="F14" s="45"/>
      <c r="G14" s="21"/>
      <c r="H14" s="21"/>
      <c r="I14" s="35"/>
      <c r="J14" s="68"/>
      <c r="K14" s="40"/>
      <c r="L14" s="53"/>
      <c r="M14" s="53"/>
      <c r="N14" s="53"/>
      <c r="O14" s="34"/>
      <c r="P14" s="34"/>
      <c r="Q14" s="11"/>
      <c r="R14" s="11"/>
      <c r="S14" s="11"/>
    </row>
    <row r="15" spans="1:19" ht="15.75" thickBot="1" x14ac:dyDescent="0.3">
      <c r="A15" s="13"/>
      <c r="B15" s="33"/>
      <c r="C15" s="21"/>
      <c r="D15" s="21"/>
      <c r="E15" s="45"/>
      <c r="F15" s="45"/>
      <c r="G15" s="21"/>
      <c r="H15" s="21"/>
      <c r="I15" s="35"/>
      <c r="J15" s="68"/>
      <c r="K15" s="40"/>
      <c r="L15" s="12"/>
      <c r="M15" s="12"/>
      <c r="N15" s="12"/>
      <c r="O15" s="34"/>
      <c r="P15" s="34"/>
      <c r="Q15" s="11"/>
      <c r="R15" s="11"/>
      <c r="S15" s="11"/>
    </row>
    <row r="16" spans="1:19" ht="15.75" thickBot="1" x14ac:dyDescent="0.3">
      <c r="A16" s="6"/>
      <c r="B16" s="33"/>
      <c r="C16" s="21"/>
      <c r="D16" s="21"/>
      <c r="E16" s="45"/>
      <c r="F16" s="45"/>
      <c r="G16" s="21"/>
      <c r="H16" s="21"/>
      <c r="I16" s="35"/>
      <c r="J16" s="68"/>
      <c r="K16" s="40"/>
      <c r="L16" s="12"/>
      <c r="M16" s="12"/>
      <c r="N16" s="12"/>
      <c r="O16" s="9"/>
      <c r="P16" s="9"/>
      <c r="Q16" s="11"/>
      <c r="R16" s="11"/>
      <c r="S16" s="11"/>
    </row>
    <row r="17" spans="1:19" ht="15.75" thickBot="1" x14ac:dyDescent="0.3">
      <c r="A17" s="6"/>
      <c r="B17" s="33"/>
      <c r="C17" s="21"/>
      <c r="D17" s="21"/>
      <c r="E17" s="45"/>
      <c r="F17" s="45"/>
      <c r="G17" s="21"/>
      <c r="H17" s="21"/>
      <c r="I17" s="35"/>
      <c r="J17" s="40"/>
      <c r="K17" s="40"/>
      <c r="L17" s="12"/>
      <c r="M17" s="12"/>
      <c r="N17" s="12"/>
      <c r="O17" s="9"/>
      <c r="P17" s="9"/>
      <c r="Q17" s="11"/>
      <c r="R17" s="11"/>
      <c r="S17" s="11"/>
    </row>
    <row r="18" spans="1:19" ht="15.75" thickBot="1" x14ac:dyDescent="0.3">
      <c r="A18" s="6"/>
      <c r="B18" s="33"/>
      <c r="C18" s="21"/>
      <c r="D18" s="21"/>
      <c r="E18" s="44"/>
      <c r="F18" s="44"/>
      <c r="G18" s="21"/>
      <c r="H18" s="21"/>
      <c r="I18" s="35"/>
      <c r="J18" s="40"/>
      <c r="K18" s="40"/>
      <c r="L18" s="12"/>
      <c r="M18" s="12"/>
      <c r="N18" s="12"/>
      <c r="O18" s="9"/>
      <c r="P18" s="9"/>
      <c r="Q18" s="11"/>
      <c r="R18" s="11"/>
      <c r="S18" s="11"/>
    </row>
    <row r="19" spans="1:19" ht="15.75" thickBot="1" x14ac:dyDescent="0.3">
      <c r="A19" s="13"/>
      <c r="B19" s="33"/>
      <c r="C19" s="21"/>
      <c r="D19" s="21"/>
      <c r="E19" s="44"/>
      <c r="F19" s="44"/>
      <c r="G19" s="21"/>
      <c r="H19" s="21"/>
      <c r="I19" s="35"/>
      <c r="J19" s="40"/>
      <c r="K19" s="40"/>
      <c r="L19" s="12"/>
      <c r="M19" s="12"/>
      <c r="N19" s="12"/>
      <c r="O19" s="9"/>
      <c r="P19" s="9"/>
      <c r="Q19" s="11"/>
      <c r="R19" s="11"/>
      <c r="S19" s="11"/>
    </row>
    <row r="20" spans="1:19" ht="15.75" thickBot="1" x14ac:dyDescent="0.3">
      <c r="A20" s="13"/>
      <c r="B20" s="33"/>
      <c r="C20" s="21"/>
      <c r="D20" s="21"/>
      <c r="E20" s="44"/>
      <c r="F20" s="44"/>
      <c r="G20" s="21"/>
      <c r="H20" s="21"/>
      <c r="I20" s="35"/>
      <c r="J20" s="40"/>
      <c r="K20" s="40"/>
      <c r="L20" s="12"/>
      <c r="M20" s="12"/>
      <c r="N20" s="12"/>
      <c r="O20" s="9"/>
      <c r="P20" s="9"/>
      <c r="Q20" s="11"/>
      <c r="R20" s="11"/>
      <c r="S20" s="11"/>
    </row>
    <row r="21" spans="1:19" ht="15.75" thickBot="1" x14ac:dyDescent="0.3">
      <c r="A21" s="6"/>
      <c r="B21" s="33"/>
      <c r="C21" s="21"/>
      <c r="D21" s="21"/>
      <c r="E21" s="44"/>
      <c r="F21" s="44"/>
      <c r="G21" s="21"/>
      <c r="H21" s="21"/>
      <c r="I21" s="6"/>
      <c r="J21" s="69"/>
      <c r="K21" s="69"/>
      <c r="L21" s="12"/>
      <c r="M21" s="12"/>
      <c r="N21" s="12"/>
      <c r="O21" s="9"/>
      <c r="P21" s="9"/>
      <c r="Q21" s="11"/>
      <c r="R21" s="11"/>
      <c r="S21" s="11"/>
    </row>
    <row r="22" spans="1:19" ht="15.75" thickBot="1" x14ac:dyDescent="0.3">
      <c r="A22" s="6"/>
      <c r="B22" s="33"/>
      <c r="C22" s="21"/>
      <c r="D22" s="21"/>
      <c r="E22" s="44"/>
      <c r="F22" s="44"/>
      <c r="G22" s="21"/>
      <c r="H22" s="21"/>
      <c r="I22" s="6"/>
      <c r="J22" s="69"/>
      <c r="K22" s="69"/>
      <c r="L22" s="12"/>
      <c r="M22" s="12"/>
      <c r="N22" s="12"/>
      <c r="O22" s="9"/>
      <c r="P22" s="9"/>
      <c r="Q22" s="11"/>
      <c r="R22" s="11"/>
      <c r="S22" s="11"/>
    </row>
    <row r="23" spans="1:19" ht="15.75" thickBot="1" x14ac:dyDescent="0.3">
      <c r="A23" s="13"/>
      <c r="B23" s="33"/>
      <c r="C23" s="21"/>
      <c r="D23" s="21"/>
      <c r="E23" s="44"/>
      <c r="F23" s="44"/>
      <c r="G23" s="21"/>
      <c r="H23" s="21"/>
      <c r="I23" s="6"/>
      <c r="J23" s="69"/>
      <c r="K23" s="69"/>
      <c r="L23" s="12"/>
      <c r="M23" s="12"/>
      <c r="N23" s="12"/>
      <c r="O23" s="9"/>
      <c r="P23" s="9"/>
      <c r="Q23" s="11"/>
      <c r="R23" s="11"/>
      <c r="S23" s="11"/>
    </row>
    <row r="24" spans="1:19" ht="15.75" thickBot="1" x14ac:dyDescent="0.3">
      <c r="A24" s="6"/>
      <c r="B24" s="33"/>
      <c r="C24" s="21"/>
      <c r="D24" s="21"/>
      <c r="E24" s="44"/>
      <c r="F24" s="44"/>
      <c r="G24" s="21"/>
      <c r="H24" s="21"/>
      <c r="I24" s="6"/>
      <c r="J24" s="69"/>
      <c r="K24" s="69"/>
      <c r="L24" s="12"/>
      <c r="M24" s="12"/>
      <c r="N24" s="12"/>
      <c r="O24" s="9"/>
      <c r="P24" s="9"/>
      <c r="Q24" s="11"/>
      <c r="R24" s="11"/>
      <c r="S24" s="11"/>
    </row>
    <row r="25" spans="1:19" ht="15.75" thickBot="1" x14ac:dyDescent="0.3">
      <c r="A25" s="6"/>
      <c r="B25" s="33"/>
      <c r="C25" s="21"/>
      <c r="D25" s="21"/>
      <c r="E25" s="44"/>
      <c r="F25" s="44"/>
      <c r="G25" s="21"/>
      <c r="H25" s="21"/>
      <c r="I25" s="6"/>
      <c r="J25" s="69"/>
      <c r="K25" s="69"/>
      <c r="L25" s="12"/>
      <c r="M25" s="12"/>
      <c r="N25" s="12"/>
      <c r="O25" s="9"/>
      <c r="P25" s="9"/>
      <c r="Q25" s="11"/>
      <c r="R25" s="11"/>
      <c r="S25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1A71-9ADD-4486-BA0E-F799A899CF75}">
  <dimension ref="A1:P52"/>
  <sheetViews>
    <sheetView workbookViewId="0">
      <selection activeCell="W16" sqref="W16"/>
    </sheetView>
  </sheetViews>
  <sheetFormatPr defaultRowHeight="15" x14ac:dyDescent="0.25"/>
  <sheetData>
    <row r="1" spans="1:16" ht="75.75" thickBot="1" x14ac:dyDescent="0.3">
      <c r="A1" s="55" t="s">
        <v>45</v>
      </c>
      <c r="B1" s="55" t="s">
        <v>46</v>
      </c>
      <c r="C1" s="55" t="s">
        <v>47</v>
      </c>
      <c r="D1" s="55" t="s">
        <v>48</v>
      </c>
      <c r="E1" s="55" t="s">
        <v>49</v>
      </c>
      <c r="F1" s="55" t="s">
        <v>50</v>
      </c>
      <c r="G1" s="55" t="s">
        <v>51</v>
      </c>
      <c r="H1" s="55" t="s">
        <v>52</v>
      </c>
      <c r="I1" s="55" t="s">
        <v>53</v>
      </c>
      <c r="J1" s="55" t="s">
        <v>54</v>
      </c>
      <c r="K1" s="55" t="s">
        <v>55</v>
      </c>
      <c r="L1" s="55" t="s">
        <v>43</v>
      </c>
      <c r="M1" s="55" t="s">
        <v>44</v>
      </c>
      <c r="N1" s="55" t="s">
        <v>56</v>
      </c>
      <c r="O1" s="11"/>
      <c r="P1" s="11"/>
    </row>
    <row r="2" spans="1:16" ht="15.75" thickBo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78" t="s">
        <v>57</v>
      </c>
      <c r="O2" s="79"/>
      <c r="P2" s="80"/>
    </row>
    <row r="3" spans="1:16" ht="15.75" thickBot="1" x14ac:dyDescent="0.3">
      <c r="A3" s="14"/>
      <c r="B3" s="56"/>
      <c r="C3" s="57"/>
      <c r="D3" s="57"/>
      <c r="E3" s="58"/>
      <c r="F3" s="58"/>
      <c r="G3" s="59" t="e">
        <f t="shared" ref="G3:H3" si="0">AVERAGE(E3,E4)</f>
        <v>#DIV/0!</v>
      </c>
      <c r="H3" s="59" t="e">
        <f t="shared" si="0"/>
        <v>#DIV/0!</v>
      </c>
      <c r="I3" s="11"/>
      <c r="J3" s="11"/>
      <c r="K3" s="11"/>
      <c r="L3" s="11"/>
      <c r="M3" s="11"/>
      <c r="N3" s="78" t="s">
        <v>58</v>
      </c>
      <c r="O3" s="79"/>
      <c r="P3" s="80"/>
    </row>
    <row r="4" spans="1:16" ht="15.75" thickBot="1" x14ac:dyDescent="0.3">
      <c r="A4" s="14"/>
      <c r="B4" s="56"/>
      <c r="C4" s="57"/>
      <c r="D4" s="57"/>
      <c r="E4" s="58"/>
      <c r="F4" s="58"/>
      <c r="G4" s="11"/>
      <c r="H4" s="11"/>
      <c r="I4" s="11"/>
      <c r="J4" s="58" t="e">
        <f t="shared" ref="J4:K4" si="1">AVERAGE(E3:E4)</f>
        <v>#DIV/0!</v>
      </c>
      <c r="K4" s="58" t="e">
        <f t="shared" si="1"/>
        <v>#DIV/0!</v>
      </c>
      <c r="L4" s="57" t="e">
        <f t="shared" ref="L4:M4" si="2">(J4/SUM($J$4:$K$4))*100</f>
        <v>#DIV/0!</v>
      </c>
      <c r="M4" s="57" t="e">
        <f t="shared" si="2"/>
        <v>#DIV/0!</v>
      </c>
      <c r="N4" s="57" t="e">
        <f>SUM(L4:M4)</f>
        <v>#DIV/0!</v>
      </c>
      <c r="O4" s="11"/>
      <c r="P4" s="11"/>
    </row>
    <row r="5" spans="1:16" ht="15.75" thickBot="1" x14ac:dyDescent="0.3">
      <c r="A5" s="14"/>
      <c r="B5" s="56"/>
      <c r="C5" s="57"/>
      <c r="D5" s="57"/>
      <c r="E5" s="58"/>
      <c r="F5" s="58"/>
      <c r="G5" s="59" t="e">
        <f t="shared" ref="G5:H5" si="3">AVERAGE(E5,E6)</f>
        <v>#DIV/0!</v>
      </c>
      <c r="H5" s="59" t="e">
        <f t="shared" si="3"/>
        <v>#DIV/0!</v>
      </c>
      <c r="I5" s="11"/>
      <c r="J5" s="11"/>
      <c r="K5" s="11"/>
      <c r="L5" s="11"/>
      <c r="M5" s="11"/>
      <c r="N5" s="11"/>
      <c r="O5" s="11"/>
      <c r="P5" s="11"/>
    </row>
    <row r="6" spans="1:16" ht="15.75" thickBot="1" x14ac:dyDescent="0.3">
      <c r="A6" s="14"/>
      <c r="B6" s="56"/>
      <c r="C6" s="57"/>
      <c r="D6" s="57"/>
      <c r="E6" s="58"/>
      <c r="F6" s="58"/>
      <c r="G6" s="11"/>
      <c r="H6" s="11"/>
      <c r="I6" s="11"/>
      <c r="J6" s="58" t="e">
        <f t="shared" ref="J6:K6" si="4">AVERAGE(E5:E6)</f>
        <v>#DIV/0!</v>
      </c>
      <c r="K6" s="58" t="e">
        <f t="shared" si="4"/>
        <v>#DIV/0!</v>
      </c>
      <c r="L6" s="57" t="e">
        <f t="shared" ref="L6:M6" si="5">(J6/SUM($J$6:$K$6))*100</f>
        <v>#DIV/0!</v>
      </c>
      <c r="M6" s="57" t="e">
        <f t="shared" si="5"/>
        <v>#DIV/0!</v>
      </c>
      <c r="N6" s="11"/>
      <c r="O6" s="11"/>
      <c r="P6" s="11"/>
    </row>
    <row r="7" spans="1:16" ht="15.75" thickBot="1" x14ac:dyDescent="0.3">
      <c r="A7" s="14"/>
      <c r="B7" s="56"/>
      <c r="C7" s="57"/>
      <c r="D7" s="57"/>
      <c r="E7" s="58"/>
      <c r="F7" s="58"/>
      <c r="G7" s="58" t="e">
        <f t="shared" ref="G7:H7" si="6">AVERAGE(E7,E8)</f>
        <v>#DIV/0!</v>
      </c>
      <c r="H7" s="58" t="e">
        <f t="shared" si="6"/>
        <v>#DIV/0!</v>
      </c>
      <c r="I7" s="11"/>
      <c r="J7" s="11"/>
      <c r="K7" s="11"/>
      <c r="L7" s="11"/>
      <c r="M7" s="11"/>
      <c r="N7" s="11"/>
      <c r="O7" s="11"/>
      <c r="P7" s="11"/>
    </row>
    <row r="8" spans="1:16" ht="15.75" thickBot="1" x14ac:dyDescent="0.3">
      <c r="A8" s="14"/>
      <c r="B8" s="56"/>
      <c r="C8" s="57"/>
      <c r="D8" s="57"/>
      <c r="E8" s="58"/>
      <c r="F8" s="58"/>
      <c r="G8" s="11"/>
      <c r="H8" s="11"/>
      <c r="I8" s="11"/>
      <c r="J8" s="58" t="e">
        <f t="shared" ref="J8:K8" si="7">AVERAGE(E7:E8)</f>
        <v>#DIV/0!</v>
      </c>
      <c r="K8" s="58" t="e">
        <f t="shared" si="7"/>
        <v>#DIV/0!</v>
      </c>
      <c r="L8" s="57" t="e">
        <f t="shared" ref="L8:M8" si="8">(J8/SUM($J$6:$K$6))*100</f>
        <v>#DIV/0!</v>
      </c>
      <c r="M8" s="57" t="e">
        <f t="shared" si="8"/>
        <v>#DIV/0!</v>
      </c>
      <c r="N8" s="11"/>
      <c r="O8" s="11"/>
      <c r="P8" s="11"/>
    </row>
    <row r="9" spans="1:16" ht="15.75" thickBot="1" x14ac:dyDescent="0.3">
      <c r="A9" s="14"/>
      <c r="B9" s="56"/>
      <c r="C9" s="57"/>
      <c r="D9" s="57"/>
      <c r="E9" s="58"/>
      <c r="F9" s="58"/>
      <c r="G9" s="58" t="e">
        <f t="shared" ref="G9:H9" si="9">AVERAGE(E9,E10)</f>
        <v>#DIV/0!</v>
      </c>
      <c r="H9" s="58" t="e">
        <f t="shared" si="9"/>
        <v>#DIV/0!</v>
      </c>
      <c r="I9" s="11"/>
      <c r="J9" s="11"/>
      <c r="K9" s="11"/>
      <c r="L9" s="11"/>
      <c r="M9" s="11"/>
      <c r="N9" s="11"/>
      <c r="O9" s="11"/>
      <c r="P9" s="11"/>
    </row>
    <row r="10" spans="1:16" ht="15.75" thickBot="1" x14ac:dyDescent="0.3">
      <c r="A10" s="14"/>
      <c r="B10" s="56"/>
      <c r="C10" s="57"/>
      <c r="D10" s="57"/>
      <c r="E10" s="58"/>
      <c r="F10" s="58"/>
      <c r="G10" s="11"/>
      <c r="H10" s="11"/>
      <c r="I10" s="11"/>
      <c r="J10" s="60" t="e">
        <f t="shared" ref="J10:K10" si="10">AVERAGE(E9:E10)</f>
        <v>#DIV/0!</v>
      </c>
      <c r="K10" s="60" t="e">
        <f t="shared" si="10"/>
        <v>#DIV/0!</v>
      </c>
      <c r="L10" s="57" t="e">
        <f t="shared" ref="L10:M10" si="11">(J10/SUM($J$6:$K$6))*100</f>
        <v>#DIV/0!</v>
      </c>
      <c r="M10" s="57" t="e">
        <f t="shared" si="11"/>
        <v>#DIV/0!</v>
      </c>
      <c r="N10" s="11"/>
      <c r="O10" s="11"/>
      <c r="P10" s="11"/>
    </row>
    <row r="11" spans="1:16" ht="15.75" thickBot="1" x14ac:dyDescent="0.3">
      <c r="A11" s="14"/>
      <c r="B11" s="56"/>
      <c r="C11" s="57"/>
      <c r="D11" s="57"/>
      <c r="E11" s="58"/>
      <c r="F11" s="58"/>
      <c r="G11" s="58" t="e">
        <f t="shared" ref="G11:H11" si="12">AVERAGE(E11,E12)</f>
        <v>#DIV/0!</v>
      </c>
      <c r="H11" s="58" t="e">
        <f t="shared" si="12"/>
        <v>#DIV/0!</v>
      </c>
      <c r="I11" s="11"/>
      <c r="J11" s="11"/>
      <c r="K11" s="11"/>
      <c r="L11" s="11"/>
      <c r="M11" s="11"/>
      <c r="N11" s="11"/>
      <c r="O11" s="11"/>
      <c r="P11" s="11"/>
    </row>
    <row r="12" spans="1:16" ht="15.75" thickBot="1" x14ac:dyDescent="0.3">
      <c r="A12" s="14"/>
      <c r="B12" s="56"/>
      <c r="C12" s="57"/>
      <c r="D12" s="57"/>
      <c r="E12" s="58"/>
      <c r="F12" s="58"/>
      <c r="G12" s="11"/>
      <c r="H12" s="11"/>
      <c r="I12" s="11"/>
      <c r="J12" s="60" t="e">
        <f t="shared" ref="J12:K12" si="13">AVERAGE(E11:E12)</f>
        <v>#DIV/0!</v>
      </c>
      <c r="K12" s="60" t="e">
        <f t="shared" si="13"/>
        <v>#DIV/0!</v>
      </c>
      <c r="L12" s="57" t="e">
        <f t="shared" ref="L12:M12" si="14">(J12/SUM($J$6:$K$6))*100</f>
        <v>#DIV/0!</v>
      </c>
      <c r="M12" s="57" t="e">
        <f t="shared" si="14"/>
        <v>#DIV/0!</v>
      </c>
      <c r="N12" s="11"/>
      <c r="O12" s="11"/>
      <c r="P12" s="11"/>
    </row>
    <row r="13" spans="1:16" ht="15.75" thickBot="1" x14ac:dyDescent="0.3">
      <c r="A13" s="14"/>
      <c r="B13" s="56"/>
      <c r="C13" s="57"/>
      <c r="D13" s="57"/>
      <c r="E13" s="58"/>
      <c r="F13" s="58"/>
      <c r="G13" s="58" t="e">
        <f t="shared" ref="G13:H13" si="15">AVERAGE(E13,E14)</f>
        <v>#DIV/0!</v>
      </c>
      <c r="H13" s="58" t="e">
        <f t="shared" si="15"/>
        <v>#DIV/0!</v>
      </c>
      <c r="I13" s="11"/>
      <c r="J13" s="11"/>
      <c r="K13" s="11"/>
      <c r="L13" s="11"/>
      <c r="M13" s="11"/>
      <c r="N13" s="11"/>
      <c r="O13" s="11"/>
      <c r="P13" s="11"/>
    </row>
    <row r="14" spans="1:16" ht="15.75" thickBot="1" x14ac:dyDescent="0.3">
      <c r="A14" s="14"/>
      <c r="B14" s="56"/>
      <c r="C14" s="57"/>
      <c r="D14" s="57"/>
      <c r="E14" s="58"/>
      <c r="F14" s="58"/>
      <c r="G14" s="11"/>
      <c r="H14" s="11"/>
      <c r="I14" s="11"/>
      <c r="J14" s="60" t="e">
        <f t="shared" ref="J14:K14" si="16">AVERAGE(E13:E14)</f>
        <v>#DIV/0!</v>
      </c>
      <c r="K14" s="60" t="e">
        <f t="shared" si="16"/>
        <v>#DIV/0!</v>
      </c>
      <c r="L14" s="57" t="e">
        <f t="shared" ref="L14:M14" si="17">(J14/SUM($J$6:$K$6))*100</f>
        <v>#DIV/0!</v>
      </c>
      <c r="M14" s="57" t="e">
        <f t="shared" si="17"/>
        <v>#DIV/0!</v>
      </c>
      <c r="N14" s="11"/>
      <c r="O14" s="11"/>
      <c r="P14" s="11"/>
    </row>
    <row r="15" spans="1:16" ht="15.75" thickBot="1" x14ac:dyDescent="0.3">
      <c r="A15" s="14"/>
      <c r="B15" s="56"/>
      <c r="C15" s="57"/>
      <c r="D15" s="57"/>
      <c r="E15" s="58"/>
      <c r="F15" s="58"/>
      <c r="G15" s="58" t="e">
        <f>AVERAGE(E15:E16)</f>
        <v>#DIV/0!</v>
      </c>
      <c r="H15" s="58" t="e">
        <f>AVERAGE(F15,F16)</f>
        <v>#DIV/0!</v>
      </c>
      <c r="I15" s="11"/>
      <c r="J15" s="11"/>
      <c r="K15" s="11"/>
      <c r="L15" s="11"/>
      <c r="M15" s="11"/>
      <c r="N15" s="11"/>
      <c r="O15" s="11"/>
      <c r="P15" s="11"/>
    </row>
    <row r="16" spans="1:16" ht="15.75" thickBot="1" x14ac:dyDescent="0.3">
      <c r="A16" s="14"/>
      <c r="B16" s="56"/>
      <c r="C16" s="57"/>
      <c r="D16" s="57"/>
      <c r="E16" s="58"/>
      <c r="F16" s="58"/>
      <c r="G16" s="11"/>
      <c r="H16" s="11"/>
      <c r="I16" s="11"/>
      <c r="J16" s="60" t="e">
        <f t="shared" ref="J16:K16" si="18">AVERAGE(E15:E16)</f>
        <v>#DIV/0!</v>
      </c>
      <c r="K16" s="60" t="e">
        <f t="shared" si="18"/>
        <v>#DIV/0!</v>
      </c>
      <c r="L16" s="57" t="e">
        <f t="shared" ref="L16:M16" si="19">(J16/SUM($J$6:$K$6))*100</f>
        <v>#DIV/0!</v>
      </c>
      <c r="M16" s="57" t="e">
        <f t="shared" si="19"/>
        <v>#DIV/0!</v>
      </c>
      <c r="N16" s="11"/>
      <c r="O16" s="11"/>
      <c r="P16" s="11"/>
    </row>
    <row r="17" spans="1:16" ht="15.75" thickBot="1" x14ac:dyDescent="0.3">
      <c r="A17" s="14"/>
      <c r="B17" s="56"/>
      <c r="C17" s="57"/>
      <c r="D17" s="57"/>
      <c r="E17" s="58"/>
      <c r="F17" s="58"/>
      <c r="G17" s="58" t="e">
        <f>AVERAGE(E17:E18)</f>
        <v>#DIV/0!</v>
      </c>
      <c r="H17" s="58" t="e">
        <f>AVERAGE(F17,F18)</f>
        <v>#DIV/0!</v>
      </c>
      <c r="I17" s="11"/>
      <c r="J17" s="11"/>
      <c r="K17" s="11"/>
      <c r="L17" s="11"/>
      <c r="M17" s="11"/>
      <c r="N17" s="11"/>
      <c r="O17" s="11"/>
      <c r="P17" s="11"/>
    </row>
    <row r="18" spans="1:16" ht="15.75" thickBot="1" x14ac:dyDescent="0.3">
      <c r="A18" s="14"/>
      <c r="B18" s="56"/>
      <c r="C18" s="57"/>
      <c r="D18" s="57"/>
      <c r="E18" s="58"/>
      <c r="F18" s="58"/>
      <c r="G18" s="11"/>
      <c r="H18" s="11"/>
      <c r="I18" s="11"/>
      <c r="J18" s="60" t="e">
        <f t="shared" ref="J18:K18" si="20">AVERAGE(E17:E18)</f>
        <v>#DIV/0!</v>
      </c>
      <c r="K18" s="60" t="e">
        <f t="shared" si="20"/>
        <v>#DIV/0!</v>
      </c>
      <c r="L18" s="57" t="e">
        <f t="shared" ref="L18:M18" si="21">(J18/SUM($J$6:$K$6))*100</f>
        <v>#DIV/0!</v>
      </c>
      <c r="M18" s="57" t="e">
        <f t="shared" si="21"/>
        <v>#DIV/0!</v>
      </c>
      <c r="N18" s="11"/>
      <c r="O18" s="11"/>
      <c r="P18" s="11"/>
    </row>
    <row r="19" spans="1:16" ht="15.75" thickBot="1" x14ac:dyDescent="0.3">
      <c r="A19" s="61"/>
      <c r="B19" s="56"/>
      <c r="C19" s="57"/>
      <c r="D19" s="57"/>
      <c r="E19" s="58"/>
      <c r="F19" s="58"/>
      <c r="G19" s="58" t="e">
        <f>AVERAGE(E19:E20)</f>
        <v>#DIV/0!</v>
      </c>
      <c r="H19" s="58" t="e">
        <f>AVERAGE(F19,F20)</f>
        <v>#DIV/0!</v>
      </c>
      <c r="I19" s="11"/>
      <c r="J19" s="11"/>
      <c r="K19" s="11"/>
      <c r="L19" s="11"/>
      <c r="M19" s="11"/>
      <c r="N19" s="11"/>
      <c r="O19" s="11"/>
      <c r="P19" s="11"/>
    </row>
    <row r="20" spans="1:16" ht="15.75" thickBot="1" x14ac:dyDescent="0.3">
      <c r="A20" s="61"/>
      <c r="B20" s="56"/>
      <c r="C20" s="57"/>
      <c r="D20" s="57"/>
      <c r="E20" s="58"/>
      <c r="F20" s="58"/>
      <c r="G20" s="11"/>
      <c r="H20" s="11"/>
      <c r="I20" s="11"/>
      <c r="J20" s="60" t="e">
        <f t="shared" ref="J20:K20" si="22">AVERAGE(E19:E20)</f>
        <v>#DIV/0!</v>
      </c>
      <c r="K20" s="60" t="e">
        <f t="shared" si="22"/>
        <v>#DIV/0!</v>
      </c>
      <c r="L20" s="57" t="e">
        <f t="shared" ref="L20:M20" si="23">(J20/SUM($J$6:$K$6))*100</f>
        <v>#DIV/0!</v>
      </c>
      <c r="M20" s="57" t="e">
        <f t="shared" si="23"/>
        <v>#DIV/0!</v>
      </c>
      <c r="N20" s="11"/>
      <c r="O20" s="11"/>
      <c r="P20" s="11"/>
    </row>
    <row r="21" spans="1:16" ht="15.75" thickBot="1" x14ac:dyDescent="0.3">
      <c r="A21" s="61"/>
      <c r="B21" s="56"/>
      <c r="C21" s="57"/>
      <c r="D21" s="57"/>
      <c r="E21" s="58"/>
      <c r="F21" s="58"/>
      <c r="G21" s="58" t="e">
        <f>AVERAGE(E21:E22)</f>
        <v>#DIV/0!</v>
      </c>
      <c r="H21" s="58" t="e">
        <f>AVERAGE(F21,F22)</f>
        <v>#DIV/0!</v>
      </c>
      <c r="I21" s="11"/>
      <c r="J21" s="11"/>
      <c r="K21" s="11"/>
      <c r="L21" s="11"/>
      <c r="M21" s="11"/>
      <c r="N21" s="11"/>
      <c r="O21" s="11"/>
      <c r="P21" s="11"/>
    </row>
    <row r="22" spans="1:16" ht="15.75" thickBot="1" x14ac:dyDescent="0.3">
      <c r="A22" s="61"/>
      <c r="B22" s="56"/>
      <c r="C22" s="57"/>
      <c r="D22" s="57"/>
      <c r="E22" s="58"/>
      <c r="F22" s="58"/>
      <c r="G22" s="11"/>
      <c r="H22" s="11"/>
      <c r="I22" s="11"/>
      <c r="J22" s="60" t="e">
        <f t="shared" ref="J22:K22" si="24">AVERAGE(E21:E22)</f>
        <v>#DIV/0!</v>
      </c>
      <c r="K22" s="60" t="e">
        <f t="shared" si="24"/>
        <v>#DIV/0!</v>
      </c>
      <c r="L22" s="57" t="e">
        <f t="shared" ref="L22:M22" si="25">(J22/SUM($J$6:$K$6))*100</f>
        <v>#DIV/0!</v>
      </c>
      <c r="M22" s="57" t="e">
        <f t="shared" si="25"/>
        <v>#DIV/0!</v>
      </c>
      <c r="N22" s="11"/>
      <c r="O22" s="11"/>
      <c r="P22" s="11"/>
    </row>
    <row r="23" spans="1:16" ht="15.75" thickBot="1" x14ac:dyDescent="0.3">
      <c r="A23" s="61"/>
      <c r="B23" s="56"/>
      <c r="C23" s="57"/>
      <c r="D23" s="57"/>
      <c r="E23" s="58"/>
      <c r="F23" s="58"/>
      <c r="G23" s="58" t="e">
        <f>AVERAGE(E23:E24)</f>
        <v>#DIV/0!</v>
      </c>
      <c r="H23" s="58" t="e">
        <f>AVERAGE(F23,F24)</f>
        <v>#DIV/0!</v>
      </c>
      <c r="I23" s="11"/>
      <c r="J23" s="11"/>
      <c r="K23" s="11"/>
      <c r="L23" s="11"/>
      <c r="M23" s="11"/>
      <c r="N23" s="11"/>
      <c r="O23" s="11"/>
      <c r="P23" s="11"/>
    </row>
    <row r="24" spans="1:16" ht="15.75" thickBot="1" x14ac:dyDescent="0.3">
      <c r="A24" s="61"/>
      <c r="B24" s="56"/>
      <c r="C24" s="57"/>
      <c r="D24" s="57"/>
      <c r="E24" s="58"/>
      <c r="F24" s="58"/>
      <c r="G24" s="11"/>
      <c r="H24" s="11"/>
      <c r="I24" s="11"/>
      <c r="J24" s="60" t="e">
        <f t="shared" ref="J24:K24" si="26">AVERAGE(E23:E24)</f>
        <v>#DIV/0!</v>
      </c>
      <c r="K24" s="60" t="e">
        <f t="shared" si="26"/>
        <v>#DIV/0!</v>
      </c>
      <c r="L24" s="57" t="e">
        <f t="shared" ref="L24:M24" si="27">(J24/SUM($J$6:$K$6))*100</f>
        <v>#DIV/0!</v>
      </c>
      <c r="M24" s="57" t="e">
        <f t="shared" si="27"/>
        <v>#DIV/0!</v>
      </c>
      <c r="N24" s="11"/>
      <c r="O24" s="11"/>
      <c r="P24" s="11"/>
    </row>
    <row r="25" spans="1:16" ht="15.75" thickBot="1" x14ac:dyDescent="0.3">
      <c r="A25" s="62"/>
      <c r="B25" s="56"/>
      <c r="C25" s="57"/>
      <c r="D25" s="57"/>
      <c r="E25" s="58"/>
      <c r="F25" s="58"/>
      <c r="G25" s="58" t="e">
        <f>AVERAGE(E25:E26)</f>
        <v>#DIV/0!</v>
      </c>
      <c r="H25" s="58" t="e">
        <f>AVERAGE(F25,F26)</f>
        <v>#DIV/0!</v>
      </c>
      <c r="I25" s="11"/>
      <c r="J25" s="11"/>
      <c r="K25" s="11"/>
      <c r="L25" s="11"/>
      <c r="M25" s="11"/>
      <c r="N25" s="11"/>
      <c r="O25" s="11"/>
      <c r="P25" s="11"/>
    </row>
    <row r="26" spans="1:16" ht="15.75" thickBot="1" x14ac:dyDescent="0.3">
      <c r="A26" s="62"/>
      <c r="B26" s="56"/>
      <c r="C26" s="57"/>
      <c r="D26" s="57"/>
      <c r="E26" s="58"/>
      <c r="F26" s="58"/>
      <c r="G26" s="11"/>
      <c r="H26" s="11"/>
      <c r="I26" s="11"/>
      <c r="J26" s="60" t="e">
        <f t="shared" ref="J26:K26" si="28">AVERAGE(E25:E26)</f>
        <v>#DIV/0!</v>
      </c>
      <c r="K26" s="60" t="e">
        <f t="shared" si="28"/>
        <v>#DIV/0!</v>
      </c>
      <c r="L26" s="57" t="e">
        <f t="shared" ref="L26:M26" si="29">(J26/SUM($J$6:$K$6))*100</f>
        <v>#DIV/0!</v>
      </c>
      <c r="M26" s="57" t="e">
        <f t="shared" si="29"/>
        <v>#DIV/0!</v>
      </c>
      <c r="N26" s="11"/>
      <c r="O26" s="11"/>
      <c r="P26" s="11"/>
    </row>
    <row r="27" spans="1:16" ht="15.75" thickBot="1" x14ac:dyDescent="0.3">
      <c r="A27" s="62"/>
      <c r="B27" s="56"/>
      <c r="C27" s="57"/>
      <c r="D27" s="57"/>
      <c r="E27" s="58"/>
      <c r="F27" s="58"/>
      <c r="G27" s="58" t="e">
        <f>AVERAGE(E27:E28)</f>
        <v>#DIV/0!</v>
      </c>
      <c r="H27" s="58" t="e">
        <f>AVERAGE(F27,F28)</f>
        <v>#DIV/0!</v>
      </c>
      <c r="I27" s="11"/>
      <c r="J27" s="11"/>
      <c r="K27" s="11"/>
      <c r="L27" s="11"/>
      <c r="M27" s="11"/>
      <c r="N27" s="11"/>
      <c r="O27" s="11"/>
      <c r="P27" s="11"/>
    </row>
    <row r="28" spans="1:16" ht="15.75" thickBot="1" x14ac:dyDescent="0.3">
      <c r="A28" s="62"/>
      <c r="B28" s="56"/>
      <c r="C28" s="57"/>
      <c r="D28" s="57"/>
      <c r="E28" s="58"/>
      <c r="F28" s="58"/>
      <c r="G28" s="11"/>
      <c r="H28" s="11"/>
      <c r="I28" s="11"/>
      <c r="J28" s="60" t="e">
        <f t="shared" ref="J28:K28" si="30">AVERAGE(E27:E28)</f>
        <v>#DIV/0!</v>
      </c>
      <c r="K28" s="60" t="e">
        <f t="shared" si="30"/>
        <v>#DIV/0!</v>
      </c>
      <c r="L28" s="57" t="e">
        <f t="shared" ref="L28:M28" si="31">(J28/SUM($J$6:$K$6))*100</f>
        <v>#DIV/0!</v>
      </c>
      <c r="M28" s="57" t="e">
        <f t="shared" si="31"/>
        <v>#DIV/0!</v>
      </c>
      <c r="N28" s="11"/>
      <c r="O28" s="11"/>
      <c r="P28" s="11"/>
    </row>
    <row r="29" spans="1:16" ht="15.75" thickBot="1" x14ac:dyDescent="0.3">
      <c r="A29" s="62"/>
      <c r="B29" s="56"/>
      <c r="C29" s="57"/>
      <c r="D29" s="57"/>
      <c r="E29" s="58"/>
      <c r="F29" s="58"/>
      <c r="G29" s="58" t="e">
        <f>AVERAGE(E29:E30)</f>
        <v>#DIV/0!</v>
      </c>
      <c r="H29" s="58" t="e">
        <f>AVERAGE(F29,F30)</f>
        <v>#DIV/0!</v>
      </c>
      <c r="I29" s="11"/>
      <c r="J29" s="11"/>
      <c r="K29" s="11"/>
      <c r="L29" s="11"/>
      <c r="M29" s="11"/>
      <c r="N29" s="11"/>
      <c r="O29" s="11"/>
      <c r="P29" s="11"/>
    </row>
    <row r="30" spans="1:16" ht="15.75" thickBot="1" x14ac:dyDescent="0.3">
      <c r="A30" s="62"/>
      <c r="B30" s="56"/>
      <c r="C30" s="57"/>
      <c r="D30" s="57"/>
      <c r="E30" s="58"/>
      <c r="F30" s="58"/>
      <c r="G30" s="11"/>
      <c r="H30" s="11"/>
      <c r="I30" s="11"/>
      <c r="J30" s="60" t="e">
        <f t="shared" ref="J30:K30" si="32">AVERAGE(E29:E30)</f>
        <v>#DIV/0!</v>
      </c>
      <c r="K30" s="60" t="e">
        <f t="shared" si="32"/>
        <v>#DIV/0!</v>
      </c>
      <c r="L30" s="57" t="e">
        <f t="shared" ref="L30:M30" si="33">(J30/SUM($J$6:$K$6))*100</f>
        <v>#DIV/0!</v>
      </c>
      <c r="M30" s="57" t="e">
        <f t="shared" si="33"/>
        <v>#DIV/0!</v>
      </c>
      <c r="N30" s="11"/>
      <c r="O30" s="11"/>
      <c r="P30" s="11"/>
    </row>
    <row r="31" spans="1:16" ht="15.75" thickBot="1" x14ac:dyDescent="0.3">
      <c r="A31" s="62"/>
      <c r="B31" s="56"/>
      <c r="C31" s="57"/>
      <c r="D31" s="57"/>
      <c r="E31" s="58"/>
      <c r="F31" s="58"/>
      <c r="G31" s="58" t="e">
        <f>AVERAGE(E31:E32)</f>
        <v>#DIV/0!</v>
      </c>
      <c r="H31" s="58" t="e">
        <f>AVERAGE(F31,F32)</f>
        <v>#DIV/0!</v>
      </c>
      <c r="I31" s="11"/>
      <c r="J31" s="11"/>
      <c r="K31" s="11"/>
      <c r="L31" s="11"/>
      <c r="M31" s="11"/>
      <c r="N31" s="11"/>
      <c r="O31" s="11"/>
      <c r="P31" s="11"/>
    </row>
    <row r="32" spans="1:16" ht="15.75" thickBot="1" x14ac:dyDescent="0.3">
      <c r="A32" s="62"/>
      <c r="B32" s="56"/>
      <c r="C32" s="57"/>
      <c r="D32" s="57"/>
      <c r="E32" s="58"/>
      <c r="F32" s="58"/>
      <c r="G32" s="11"/>
      <c r="H32" s="11"/>
      <c r="I32" s="11"/>
      <c r="J32" s="60" t="e">
        <f t="shared" ref="J32:K32" si="34">AVERAGE(E31:E32)</f>
        <v>#DIV/0!</v>
      </c>
      <c r="K32" s="60" t="e">
        <f t="shared" si="34"/>
        <v>#DIV/0!</v>
      </c>
      <c r="L32" s="57" t="e">
        <f t="shared" ref="L32:M32" si="35">(J32/SUM($J$6:$K$6))*100</f>
        <v>#DIV/0!</v>
      </c>
      <c r="M32" s="57" t="e">
        <f t="shared" si="35"/>
        <v>#DIV/0!</v>
      </c>
      <c r="N32" s="11"/>
      <c r="O32" s="11"/>
      <c r="P32" s="11"/>
    </row>
    <row r="33" spans="1:16" ht="15.75" thickBot="1" x14ac:dyDescent="0.3">
      <c r="A33" s="63"/>
      <c r="B33" s="56"/>
      <c r="C33" s="57"/>
      <c r="D33" s="57"/>
      <c r="E33" s="58"/>
      <c r="F33" s="58"/>
      <c r="G33" s="58" t="e">
        <f>AVERAGE(E33:E34)</f>
        <v>#DIV/0!</v>
      </c>
      <c r="H33" s="58" t="e">
        <f>AVERAGE(F33,F34)</f>
        <v>#DIV/0!</v>
      </c>
      <c r="I33" s="11"/>
      <c r="J33" s="11"/>
      <c r="K33" s="11"/>
      <c r="L33" s="11"/>
      <c r="M33" s="11"/>
      <c r="N33" s="11"/>
      <c r="O33" s="11"/>
      <c r="P33" s="11"/>
    </row>
    <row r="34" spans="1:16" ht="15.75" thickBot="1" x14ac:dyDescent="0.3">
      <c r="A34" s="63"/>
      <c r="B34" s="56"/>
      <c r="C34" s="57"/>
      <c r="D34" s="57"/>
      <c r="E34" s="58"/>
      <c r="F34" s="58"/>
      <c r="G34" s="11"/>
      <c r="H34" s="11"/>
      <c r="I34" s="11"/>
      <c r="J34" s="60" t="e">
        <f t="shared" ref="J34:K34" si="36">AVERAGE(E33:E34)</f>
        <v>#DIV/0!</v>
      </c>
      <c r="K34" s="60" t="e">
        <f t="shared" si="36"/>
        <v>#DIV/0!</v>
      </c>
      <c r="L34" s="57" t="e">
        <f t="shared" ref="L34:M34" si="37">(J34/SUM($J$6:$K$6))*100</f>
        <v>#DIV/0!</v>
      </c>
      <c r="M34" s="57" t="e">
        <f t="shared" si="37"/>
        <v>#DIV/0!</v>
      </c>
      <c r="N34" s="11"/>
      <c r="O34" s="11"/>
      <c r="P34" s="11"/>
    </row>
    <row r="35" spans="1:16" ht="15.75" thickBot="1" x14ac:dyDescent="0.3">
      <c r="A35" s="63"/>
      <c r="B35" s="56"/>
      <c r="C35" s="57"/>
      <c r="D35" s="57"/>
      <c r="E35" s="58"/>
      <c r="F35" s="58"/>
      <c r="G35" s="58" t="e">
        <f>AVERAGE(E35:E36)</f>
        <v>#DIV/0!</v>
      </c>
      <c r="H35" s="58" t="e">
        <f>AVERAGE(F35,F36)</f>
        <v>#DIV/0!</v>
      </c>
      <c r="I35" s="11"/>
      <c r="J35" s="11"/>
      <c r="K35" s="11"/>
      <c r="L35" s="11"/>
      <c r="M35" s="11"/>
      <c r="N35" s="11"/>
      <c r="O35" s="11"/>
      <c r="P35" s="11"/>
    </row>
    <row r="36" spans="1:16" ht="15.75" thickBot="1" x14ac:dyDescent="0.3">
      <c r="A36" s="63"/>
      <c r="B36" s="56"/>
      <c r="C36" s="57"/>
      <c r="D36" s="57"/>
      <c r="E36" s="58"/>
      <c r="F36" s="58"/>
      <c r="G36" s="11"/>
      <c r="H36" s="11"/>
      <c r="I36" s="11"/>
      <c r="J36" s="60" t="e">
        <f t="shared" ref="J36:K36" si="38">AVERAGE(E35:E36)</f>
        <v>#DIV/0!</v>
      </c>
      <c r="K36" s="60" t="e">
        <f t="shared" si="38"/>
        <v>#DIV/0!</v>
      </c>
      <c r="L36" s="57" t="e">
        <f t="shared" ref="L36:M36" si="39">(J36/SUM($J$6:$K$6))*100</f>
        <v>#DIV/0!</v>
      </c>
      <c r="M36" s="57" t="e">
        <f t="shared" si="39"/>
        <v>#DIV/0!</v>
      </c>
      <c r="N36" s="11"/>
      <c r="O36" s="11"/>
      <c r="P36" s="11"/>
    </row>
    <row r="37" spans="1:16" ht="15.75" thickBot="1" x14ac:dyDescent="0.3">
      <c r="A37" s="61"/>
      <c r="B37" s="64"/>
      <c r="C37" s="57"/>
      <c r="D37" s="57"/>
      <c r="E37" s="58"/>
      <c r="F37" s="58"/>
      <c r="G37" s="58" t="e">
        <f>AVERAGE(E37:E38)</f>
        <v>#DIV/0!</v>
      </c>
      <c r="H37" s="58" t="e">
        <f>AVERAGE(F37,F38)</f>
        <v>#DIV/0!</v>
      </c>
      <c r="I37" s="11"/>
      <c r="J37" s="11"/>
      <c r="K37" s="11"/>
      <c r="L37" s="11"/>
      <c r="M37" s="11"/>
      <c r="N37" s="11"/>
      <c r="O37" s="11"/>
      <c r="P37" s="11"/>
    </row>
    <row r="38" spans="1:16" ht="15.75" thickBot="1" x14ac:dyDescent="0.3">
      <c r="A38" s="61"/>
      <c r="B38" s="64"/>
      <c r="C38" s="57"/>
      <c r="D38" s="57"/>
      <c r="E38" s="58"/>
      <c r="F38" s="58"/>
      <c r="G38" s="11"/>
      <c r="H38" s="11"/>
      <c r="I38" s="11"/>
      <c r="J38" s="60" t="e">
        <f t="shared" ref="J38:K38" si="40">AVERAGE(E37:E38)</f>
        <v>#DIV/0!</v>
      </c>
      <c r="K38" s="60" t="e">
        <f t="shared" si="40"/>
        <v>#DIV/0!</v>
      </c>
      <c r="L38" s="65" t="e">
        <f t="shared" ref="L38:M38" si="41">(J38/SUM($J$6:$K$6))*100</f>
        <v>#DIV/0!</v>
      </c>
      <c r="M38" s="65" t="e">
        <f t="shared" si="41"/>
        <v>#DIV/0!</v>
      </c>
      <c r="N38" s="11"/>
      <c r="O38" s="11"/>
      <c r="P38" s="11"/>
    </row>
    <row r="39" spans="1:16" ht="15.75" thickBot="1" x14ac:dyDescent="0.3">
      <c r="A39" s="61"/>
      <c r="B39" s="64"/>
      <c r="C39" s="57"/>
      <c r="D39" s="57"/>
      <c r="E39" s="58"/>
      <c r="F39" s="58"/>
      <c r="G39" s="58" t="e">
        <f>AVERAGE(E39:E40)</f>
        <v>#DIV/0!</v>
      </c>
      <c r="H39" s="58" t="e">
        <f>AVERAGE(F39,F40)</f>
        <v>#DIV/0!</v>
      </c>
      <c r="I39" s="11"/>
      <c r="J39" s="11"/>
      <c r="K39" s="11"/>
      <c r="L39" s="11"/>
      <c r="M39" s="11"/>
      <c r="N39" s="11"/>
      <c r="O39" s="11"/>
      <c r="P39" s="11"/>
    </row>
    <row r="40" spans="1:16" ht="15.75" thickBot="1" x14ac:dyDescent="0.3">
      <c r="A40" s="61"/>
      <c r="B40" s="64"/>
      <c r="C40" s="57"/>
      <c r="D40" s="57"/>
      <c r="E40" s="58"/>
      <c r="F40" s="58"/>
      <c r="G40" s="11"/>
      <c r="H40" s="11"/>
      <c r="I40" s="11"/>
      <c r="J40" s="60" t="e">
        <f t="shared" ref="J40:K40" si="42">AVERAGE(E39:E40)</f>
        <v>#DIV/0!</v>
      </c>
      <c r="K40" s="60" t="e">
        <f t="shared" si="42"/>
        <v>#DIV/0!</v>
      </c>
      <c r="L40" s="65" t="e">
        <f t="shared" ref="L40:M40" si="43">(J40/SUM($J$6:$K$6))*100</f>
        <v>#DIV/0!</v>
      </c>
      <c r="M40" s="65" t="e">
        <f t="shared" si="43"/>
        <v>#DIV/0!</v>
      </c>
      <c r="N40" s="11"/>
      <c r="O40" s="11"/>
      <c r="P40" s="11"/>
    </row>
    <row r="41" spans="1:16" ht="15.75" thickBot="1" x14ac:dyDescent="0.3">
      <c r="A41" s="14"/>
      <c r="B41" s="64"/>
      <c r="C41" s="57"/>
      <c r="D41" s="57"/>
      <c r="E41" s="58"/>
      <c r="F41" s="58"/>
      <c r="G41" s="58" t="e">
        <f>AVERAGE(E41:E42)</f>
        <v>#DIV/0!</v>
      </c>
      <c r="H41" s="58" t="e">
        <f>AVERAGE(F41,F42)</f>
        <v>#DIV/0!</v>
      </c>
      <c r="I41" s="11"/>
      <c r="J41" s="11"/>
      <c r="K41" s="11"/>
      <c r="L41" s="11"/>
      <c r="M41" s="11"/>
      <c r="N41" s="11"/>
      <c r="O41" s="11"/>
      <c r="P41" s="11"/>
    </row>
    <row r="42" spans="1:16" ht="15.75" thickBot="1" x14ac:dyDescent="0.3">
      <c r="A42" s="14"/>
      <c r="B42" s="64"/>
      <c r="C42" s="57"/>
      <c r="D42" s="57"/>
      <c r="E42" s="58"/>
      <c r="F42" s="58"/>
      <c r="G42" s="11"/>
      <c r="H42" s="11"/>
      <c r="I42" s="11"/>
      <c r="J42" s="60" t="e">
        <f t="shared" ref="J42:K42" si="44">AVERAGE(E41:E42)</f>
        <v>#DIV/0!</v>
      </c>
      <c r="K42" s="60" t="e">
        <f t="shared" si="44"/>
        <v>#DIV/0!</v>
      </c>
      <c r="L42" s="65" t="e">
        <f t="shared" ref="L42:M42" si="45">(J42/SUM($J$6:$K$6))*100</f>
        <v>#DIV/0!</v>
      </c>
      <c r="M42" s="65" t="e">
        <f t="shared" si="45"/>
        <v>#DIV/0!</v>
      </c>
      <c r="N42" s="11"/>
      <c r="O42" s="11"/>
      <c r="P42" s="11"/>
    </row>
    <row r="43" spans="1:16" ht="15.75" thickBot="1" x14ac:dyDescent="0.3">
      <c r="A43" s="14"/>
      <c r="B43" s="64"/>
      <c r="C43" s="57"/>
      <c r="D43" s="57"/>
      <c r="E43" s="58"/>
      <c r="F43" s="58"/>
      <c r="G43" s="58" t="e">
        <f>AVERAGE(E43:E44)</f>
        <v>#DIV/0!</v>
      </c>
      <c r="H43" s="58" t="e">
        <f>AVERAGE(F43,F44)</f>
        <v>#DIV/0!</v>
      </c>
      <c r="I43" s="11"/>
      <c r="J43" s="11"/>
      <c r="K43" s="11"/>
      <c r="L43" s="11"/>
      <c r="M43" s="11"/>
      <c r="N43" s="11"/>
      <c r="O43" s="11"/>
      <c r="P43" s="11"/>
    </row>
    <row r="44" spans="1:16" ht="15.75" thickBot="1" x14ac:dyDescent="0.3">
      <c r="A44" s="14"/>
      <c r="B44" s="64"/>
      <c r="C44" s="57"/>
      <c r="D44" s="57"/>
      <c r="E44" s="58"/>
      <c r="F44" s="58"/>
      <c r="G44" s="11"/>
      <c r="H44" s="11"/>
      <c r="I44" s="11"/>
      <c r="J44" s="60" t="e">
        <f t="shared" ref="J44:K44" si="46">AVERAGE(E43:E44)</f>
        <v>#DIV/0!</v>
      </c>
      <c r="K44" s="60" t="e">
        <f t="shared" si="46"/>
        <v>#DIV/0!</v>
      </c>
      <c r="L44" s="65" t="e">
        <f t="shared" ref="L44:M44" si="47">(J44/SUM($J$6:$K$6))*100</f>
        <v>#DIV/0!</v>
      </c>
      <c r="M44" s="65" t="e">
        <f t="shared" si="47"/>
        <v>#DIV/0!</v>
      </c>
      <c r="N44" s="11"/>
      <c r="O44" s="11"/>
      <c r="P44" s="11"/>
    </row>
    <row r="45" spans="1:16" ht="15.75" thickBot="1" x14ac:dyDescent="0.3">
      <c r="A45" s="14"/>
      <c r="B45" s="64"/>
      <c r="C45" s="57"/>
      <c r="D45" s="57"/>
      <c r="E45" s="58"/>
      <c r="F45" s="58"/>
      <c r="G45" s="58" t="e">
        <f>AVERAGE(E45:E46)</f>
        <v>#DIV/0!</v>
      </c>
      <c r="H45" s="58" t="e">
        <f>AVERAGE(F45,F46)</f>
        <v>#DIV/0!</v>
      </c>
      <c r="I45" s="11"/>
      <c r="J45" s="11"/>
      <c r="K45" s="11"/>
      <c r="L45" s="11"/>
      <c r="M45" s="11"/>
      <c r="N45" s="11"/>
      <c r="O45" s="11"/>
      <c r="P45" s="11"/>
    </row>
    <row r="46" spans="1:16" ht="15.75" thickBot="1" x14ac:dyDescent="0.3">
      <c r="A46" s="14"/>
      <c r="B46" s="64"/>
      <c r="C46" s="57"/>
      <c r="D46" s="57"/>
      <c r="E46" s="58"/>
      <c r="F46" s="58"/>
      <c r="G46" s="11"/>
      <c r="H46" s="11"/>
      <c r="I46" s="11"/>
      <c r="J46" s="60" t="e">
        <f t="shared" ref="J46:K46" si="48">AVERAGE(E45:E46)</f>
        <v>#DIV/0!</v>
      </c>
      <c r="K46" s="60" t="e">
        <f t="shared" si="48"/>
        <v>#DIV/0!</v>
      </c>
      <c r="L46" s="65" t="e">
        <f t="shared" ref="L46:M46" si="49">(J46/SUM($J$6:$K$6))*100</f>
        <v>#DIV/0!</v>
      </c>
      <c r="M46" s="65" t="e">
        <f t="shared" si="49"/>
        <v>#DIV/0!</v>
      </c>
      <c r="N46" s="11"/>
      <c r="O46" s="11"/>
      <c r="P46" s="11"/>
    </row>
    <row r="47" spans="1:16" ht="15.75" thickBot="1" x14ac:dyDescent="0.3">
      <c r="A47" s="14"/>
      <c r="B47" s="64"/>
      <c r="C47" s="57"/>
      <c r="D47" s="57"/>
      <c r="E47" s="58"/>
      <c r="F47" s="58"/>
      <c r="G47" s="58" t="e">
        <f>AVERAGE(E47:E48)</f>
        <v>#DIV/0!</v>
      </c>
      <c r="H47" s="58" t="e">
        <f>AVERAGE(F47,F48)</f>
        <v>#DIV/0!</v>
      </c>
      <c r="I47" s="11"/>
      <c r="J47" s="11"/>
      <c r="K47" s="11"/>
      <c r="L47" s="11"/>
      <c r="M47" s="11"/>
      <c r="N47" s="11"/>
      <c r="O47" s="11"/>
      <c r="P47" s="11"/>
    </row>
    <row r="48" spans="1:16" ht="15.75" thickBot="1" x14ac:dyDescent="0.3">
      <c r="A48" s="14"/>
      <c r="B48" s="64"/>
      <c r="C48" s="57"/>
      <c r="D48" s="57"/>
      <c r="E48" s="58"/>
      <c r="F48" s="58"/>
      <c r="G48" s="11"/>
      <c r="H48" s="11"/>
      <c r="I48" s="11"/>
      <c r="J48" s="60" t="e">
        <f t="shared" ref="J48:K48" si="50">AVERAGE(E47:E48)</f>
        <v>#DIV/0!</v>
      </c>
      <c r="K48" s="60" t="e">
        <f t="shared" si="50"/>
        <v>#DIV/0!</v>
      </c>
      <c r="L48" s="65" t="e">
        <f t="shared" ref="L48:M48" si="51">(J48/SUM($J$6:$K$6))*100</f>
        <v>#DIV/0!</v>
      </c>
      <c r="M48" s="65" t="e">
        <f t="shared" si="51"/>
        <v>#DIV/0!</v>
      </c>
      <c r="N48" s="11"/>
      <c r="O48" s="11"/>
      <c r="P48" s="11"/>
    </row>
    <row r="49" spans="1:16" ht="15.75" thickBot="1" x14ac:dyDescent="0.3">
      <c r="A49" s="61"/>
      <c r="B49" s="64"/>
      <c r="C49" s="57"/>
      <c r="D49" s="57"/>
      <c r="E49" s="58"/>
      <c r="F49" s="58"/>
      <c r="G49" s="58" t="e">
        <f>AVERAGE(E49:E50)</f>
        <v>#DIV/0!</v>
      </c>
      <c r="H49" s="58" t="e">
        <f>AVERAGE(F49,F50)</f>
        <v>#DIV/0!</v>
      </c>
      <c r="I49" s="11"/>
      <c r="J49" s="11"/>
      <c r="K49" s="11"/>
      <c r="L49" s="11"/>
      <c r="M49" s="11"/>
      <c r="N49" s="11"/>
      <c r="O49" s="11"/>
      <c r="P49" s="11"/>
    </row>
    <row r="50" spans="1:16" ht="15.75" thickBot="1" x14ac:dyDescent="0.3">
      <c r="A50" s="61"/>
      <c r="B50" s="64"/>
      <c r="C50" s="57"/>
      <c r="D50" s="57"/>
      <c r="E50" s="58"/>
      <c r="F50" s="58"/>
      <c r="G50" s="11"/>
      <c r="H50" s="11"/>
      <c r="I50" s="11"/>
      <c r="J50" s="60" t="e">
        <f t="shared" ref="J50:K50" si="52">AVERAGE(E49:E50)</f>
        <v>#DIV/0!</v>
      </c>
      <c r="K50" s="60" t="e">
        <f t="shared" si="52"/>
        <v>#DIV/0!</v>
      </c>
      <c r="L50" s="65" t="e">
        <f t="shared" ref="L50:M50" si="53">(J50/SUM($J$6:$K$6))*100</f>
        <v>#DIV/0!</v>
      </c>
      <c r="M50" s="65" t="e">
        <f t="shared" si="53"/>
        <v>#DIV/0!</v>
      </c>
      <c r="N50" s="11"/>
      <c r="O50" s="11"/>
      <c r="P50" s="11"/>
    </row>
    <row r="51" spans="1:16" ht="15.75" thickBot="1" x14ac:dyDescent="0.3">
      <c r="A51" s="61"/>
      <c r="B51" s="64"/>
      <c r="C51" s="57"/>
      <c r="D51" s="57"/>
      <c r="E51" s="58"/>
      <c r="F51" s="58"/>
      <c r="G51" s="58" t="e">
        <f>AVERAGE(E51:E52)</f>
        <v>#DIV/0!</v>
      </c>
      <c r="H51" s="58" t="e">
        <f>AVERAGE(F51,F52)</f>
        <v>#DIV/0!</v>
      </c>
      <c r="I51" s="11"/>
      <c r="J51" s="11"/>
      <c r="K51" s="11"/>
      <c r="L51" s="11"/>
      <c r="M51" s="11"/>
      <c r="N51" s="11"/>
      <c r="O51" s="11"/>
      <c r="P51" s="11"/>
    </row>
    <row r="52" spans="1:16" ht="15.75" thickBot="1" x14ac:dyDescent="0.3">
      <c r="A52" s="61"/>
      <c r="B52" s="64"/>
      <c r="C52" s="57"/>
      <c r="D52" s="57"/>
      <c r="E52" s="58"/>
      <c r="F52" s="58"/>
      <c r="G52" s="11"/>
      <c r="H52" s="11"/>
      <c r="I52" s="11"/>
      <c r="J52" s="60" t="e">
        <f t="shared" ref="J52:K52" si="54">AVERAGE(E51:E52)</f>
        <v>#DIV/0!</v>
      </c>
      <c r="K52" s="60" t="e">
        <f t="shared" si="54"/>
        <v>#DIV/0!</v>
      </c>
      <c r="L52" s="65" t="e">
        <f t="shared" ref="L52:M52" si="55">(J52/SUM($J$6:$K$6))*100</f>
        <v>#DIV/0!</v>
      </c>
      <c r="M52" s="65" t="e">
        <f t="shared" si="55"/>
        <v>#DIV/0!</v>
      </c>
      <c r="N52" s="11"/>
      <c r="O52" s="11"/>
      <c r="P52" s="11"/>
    </row>
  </sheetData>
  <mergeCells count="2">
    <mergeCell ref="N2:P2"/>
    <mergeCell ref="N3:P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0AB9E2D8D5894898F96C1E3D31D56C" ma:contentTypeVersion="16" ma:contentTypeDescription="Create a new document." ma:contentTypeScope="" ma:versionID="1645a2c135c27dc18da10d9d9c0f9291">
  <xsd:schema xmlns:xsd="http://www.w3.org/2001/XMLSchema" xmlns:xs="http://www.w3.org/2001/XMLSchema" xmlns:p="http://schemas.microsoft.com/office/2006/metadata/properties" xmlns:ns3="d633d9b0-d173-42ee-9584-b0cffcfb3934" xmlns:ns4="9c5b454a-81d6-46c5-be72-8d9b04583a2d" targetNamespace="http://schemas.microsoft.com/office/2006/metadata/properties" ma:root="true" ma:fieldsID="965fef0a253887cfc0c63417fd9c318c" ns3:_="" ns4:_="">
    <xsd:import namespace="d633d9b0-d173-42ee-9584-b0cffcfb3934"/>
    <xsd:import namespace="9c5b454a-81d6-46c5-be72-8d9b04583a2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3d9b0-d173-42ee-9584-b0cffcfb39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b454a-81d6-46c5-be72-8d9b04583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5b454a-81d6-46c5-be72-8d9b04583a2d" xsi:nil="true"/>
  </documentManagement>
</p:properties>
</file>

<file path=customXml/itemProps1.xml><?xml version="1.0" encoding="utf-8"?>
<ds:datastoreItem xmlns:ds="http://schemas.openxmlformats.org/officeDocument/2006/customXml" ds:itemID="{8CB42844-FF01-4B15-98B7-C3CA80402D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3d9b0-d173-42ee-9584-b0cffcfb3934"/>
    <ds:schemaRef ds:uri="9c5b454a-81d6-46c5-be72-8d9b04583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526580-5F91-444E-9C5C-AC81F154F3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1F85B-CCE6-4921-8B25-F2D3EB83418B}">
  <ds:schemaRefs>
    <ds:schemaRef ds:uri="9c5b454a-81d6-46c5-be72-8d9b04583a2d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d633d9b0-d173-42ee-9584-b0cffcfb393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RI-FLEX</vt:lpstr>
      <vt:lpstr>R2-FLEX</vt:lpstr>
      <vt:lpstr>R3-FIXED DOME</vt:lpstr>
      <vt:lpstr>R4-FIXED DOME</vt:lpstr>
      <vt:lpstr>MANURE</vt:lpstr>
      <vt:lpstr>BIO-SLURRY R1</vt:lpstr>
      <vt:lpstr>BIO-SLURRY R2</vt:lpstr>
      <vt:lpstr>BIO-SLURRY R3</vt:lpstr>
      <vt:lpstr>BIO-SLURRY R4</vt:lpstr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Mwangi, Stanley (ILRI)</dc:creator>
  <cp:lastModifiedBy>Mwangi, Stanley (ILRI)</cp:lastModifiedBy>
  <dcterms:created xsi:type="dcterms:W3CDTF">2024-01-11T06:48:13Z</dcterms:created>
  <dcterms:modified xsi:type="dcterms:W3CDTF">2025-01-15T13:34:01Z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0x0101008E0AB9E2D8D5894898F96C1E3D31D56C</vt:lpwstr>
  </property>
</Properties>
</file>